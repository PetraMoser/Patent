
<file path=[Content_Types].xml><?xml version="1.0" encoding="utf-8"?>
<Types xmlns="http://schemas.openxmlformats.org/package/2006/content-types">
  <Override PartName="/xl/worksheets/sheet12.xml" ContentType="application/vnd.openxmlformats-officedocument.spreadsheetml.worksheet+xml"/>
  <Override PartName="/xl/worksheets/sheet35.xml" ContentType="application/vnd.openxmlformats-officedocument.spreadsheetml.worksheet+xml"/>
  <Override PartName="/docProps/app.xml" ContentType="application/vnd.openxmlformats-officedocument.extended-properties+xml"/>
  <Override PartName="/xl/worksheets/sheet7.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37.xml" ContentType="application/vnd.openxmlformats-officedocument.spreadsheetml.worksheet+xml"/>
  <Override PartName="/xl/worksheets/sheet41.xml" ContentType="application/vnd.openxmlformats-officedocument.spreadsheetml.worksheet+xml"/>
  <Override PartName="/xl/calcChain.xml" ContentType="application/vnd.openxmlformats-officedocument.spreadsheetml.calcChain+xml"/>
  <Override PartName="/xl/workbook.xml" ContentType="application/vnd.openxmlformats-officedocument.spreadsheetml.sheet.main+xml"/>
  <Override PartName="/xl/worksheets/sheet18.xml" ContentType="application/vnd.openxmlformats-officedocument.spreadsheetml.worksheet+xml"/>
  <Default Extension="xml" ContentType="application/xml"/>
  <Override PartName="/xl/worksheets/sheet39.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sheets/sheet36.xml" ContentType="application/vnd.openxmlformats-officedocument.spreadsheetml.worksheet+xml"/>
  <Override PartName="/xl/worksheets/sheet6.xml" ContentType="application/vnd.openxmlformats-officedocument.spreadsheetml.worksheet+xml"/>
  <Override PartName="/xl/worksheets/sheet23.xml" ContentType="application/vnd.openxmlformats-officedocument.spreadsheetml.worksheet+xml"/>
  <Override PartName="/xl/worksheets/sheet42.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1.xml" ContentType="application/vnd.openxmlformats-officedocument.spreadsheetml.worksheet+xml"/>
  <Override PartName="/xl/worksheets/sheet2.xml" ContentType="application/vnd.openxmlformats-officedocument.spreadsheetml.worksheet+xml"/>
  <Override PartName="/xl/worksheets/sheet27.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38.xml" ContentType="application/vnd.openxmlformats-officedocument.spreadsheetml.worksheet+xml"/>
  <Override PartName="/xl/worksheets/sheet15.xml" ContentType="application/vnd.openxmlformats-officedocument.spreadsheetml.worksheet+xml"/>
  <Default Extension="jpeg" ContentType="image/jpeg"/>
  <Override PartName="/xl/worksheets/sheet16.xml" ContentType="application/vnd.openxmlformats-officedocument.spreadsheetml.worksheet+xml"/>
  <Override PartName="/xl/worksheets/sheet26.xml" ContentType="application/vnd.openxmlformats-officedocument.spreadsheetml.worksheet+xml"/>
  <Override PartName="/xl/worksheets/sheet24.xml" ContentType="application/vnd.openxmlformats-officedocument.spreadsheetml.worksheet+xml"/>
  <Override PartName="/xl/worksheets/sheet20.xml" ContentType="application/vnd.openxmlformats-officedocument.spreadsheetml.worksheet+xml"/>
  <Override PartName="/xl/worksheets/sheet25.xml" ContentType="application/vnd.openxmlformats-officedocument.spreadsheetml.worksheet+xml"/>
  <Override PartName="/xl/worksheets/sheet29.xml" ContentType="application/vnd.openxmlformats-officedocument.spreadsheetml.worksheet+xml"/>
  <Override PartName="/xl/worksheets/sheet40.xml" ContentType="application/vnd.openxmlformats-officedocument.spreadsheetml.worksheet+xml"/>
  <Override PartName="/docProps/core.xml" ContentType="application/vnd.openxmlformats-package.core-properties+xml"/>
  <Override PartName="/xl/worksheets/sheet3.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worksheets/sheet3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Override PartName="/xl/drawings/drawing1.xml" ContentType="application/vnd.openxmlformats-officedocument.drawing+xml"/>
  <Override PartName="/xl/worksheets/sheet28.xml" ContentType="application/vnd.openxmlformats-officedocument.spreadsheetml.worksheet+xml"/>
  <Override PartName="/xl/worksheets/sheet17.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19.xml" ContentType="application/vnd.openxmlformats-officedocument.spreadsheetml.worksheet+xml"/>
</Types>
</file>

<file path=_rels/.rels><?xml version="1.0" encoding="UTF-8" standalone="yes"?>
<Relationships xmlns="http://schemas.openxmlformats.org/package/2006/relationships"><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760" yWindow="0" windowWidth="21840" windowHeight="14660" tabRatio="738"/>
  </bookViews>
  <sheets>
    <sheet name="Pool Index" sheetId="83" r:id="rId1"/>
    <sheet name="pool_chars.csv" sheetId="85" r:id="rId2"/>
    <sheet name="antitrust violations" sheetId="117" r:id="rId3"/>
    <sheet name="Firms" sheetId="3" r:id="rId4"/>
    <sheet name="1919Equi" sheetId="103" r:id="rId5"/>
    <sheet name="1921Cast" sheetId="87" r:id="rId6"/>
    <sheet name="1924Brak" sheetId="105" r:id="rId7"/>
    <sheet name="1924Sand" sheetId="84" r:id="rId8"/>
    <sheet name="1925Vent" sheetId="86" r:id="rId9"/>
    <sheet name="1926Food" sheetId="106" r:id="rId10"/>
    <sheet name="1927Airc" sheetId="97" r:id="rId11"/>
    <sheet name="1927Flur" sheetId="104" r:id="rId12"/>
    <sheet name="1928Rail" sheetId="27" r:id="rId13"/>
    <sheet name="1930Cabl" sheetId="89" r:id="rId14"/>
    <sheet name="1930Wate" sheetId="102" r:id="rId15"/>
    <sheet name="1931Fuel" sheetId="111" r:id="rId16"/>
    <sheet name="1931Mill" sheetId="90" r:id="rId17"/>
    <sheet name="1932Phar" sheetId="107" r:id="rId18"/>
    <sheet name="1932Rail" sheetId="88" r:id="rId19"/>
    <sheet name="1932Text" sheetId="108" r:id="rId20"/>
    <sheet name="1933Hydr" sheetId="10" r:id="rId21"/>
    <sheet name="1933Mach" sheetId="11" r:id="rId22"/>
    <sheet name="1933Phil" sheetId="12" r:id="rId23"/>
    <sheet name="1934Colo" sheetId="100" r:id="rId24"/>
    <sheet name="1934Dry" sheetId="98" r:id="rId25"/>
    <sheet name="1934Elec" sheetId="112" r:id="rId26"/>
    <sheet name="1934Leci" sheetId="91" r:id="rId27"/>
    <sheet name="1934Vari" sheetId="13" r:id="rId28"/>
    <sheet name="1935Airc" sheetId="93" r:id="rId29"/>
    <sheet name="1937Male" sheetId="109" r:id="rId30"/>
    <sheet name="1937Park" sheetId="101" r:id="rId31"/>
    <sheet name="1937Stam" sheetId="92" r:id="rId32"/>
    <sheet name="1937Wrin" sheetId="21" r:id="rId33"/>
    <sheet name="1938Drop" sheetId="15" r:id="rId34"/>
    <sheet name="1938Opht" sheetId="96" r:id="rId35"/>
    <sheet name="1938Slip" sheetId="17" r:id="rId36"/>
    <sheet name="1942Tele" sheetId="95" r:id="rId37"/>
    <sheet name="1946Dayl" sheetId="110" r:id="rId38"/>
    <sheet name="1946Elas" sheetId="94" r:id="rId39"/>
    <sheet name="1948Trac" sheetId="18" r:id="rId40"/>
    <sheet name="pre_pool_pats.csv" sheetId="118" r:id="rId41"/>
    <sheet name="all_pats.csv" sheetId="119" r:id="rId42"/>
    <sheet name="pre_pool_pats_OLD.csv" sheetId="115" r:id="rId43"/>
  </sheets>
  <definedNames>
    <definedName name="HIT_1" localSheetId="0">'Pool Index'!$G$46</definedName>
    <definedName name="HIT_19" localSheetId="0">'Pool Index'!$R$70</definedName>
    <definedName name="PAGE_104_3133" localSheetId="12">'1928Rail'!$A$102</definedName>
    <definedName name="PAGE_104_3133" localSheetId="18">'1932Rail'!#REF!</definedName>
    <definedName name="PAGE_3_7131" localSheetId="12">'1928Rail'!$A$103</definedName>
    <definedName name="PAGE_3_7131" localSheetId="18">'1932Rail'!#REF!</definedName>
    <definedName name="PAGE_4_7131" localSheetId="12">'1928Rail'!#REF!</definedName>
    <definedName name="PAGE_4_7131" localSheetId="18">'1932Rail'!#REF!</definedName>
  </definedNames>
  <calcPr calcId="130407"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E3" i="117"/>
  <c r="E4"/>
  <c r="E5"/>
  <c r="E6"/>
  <c r="E7"/>
  <c r="E8"/>
  <c r="E9"/>
  <c r="E10"/>
  <c r="E11"/>
  <c r="E12"/>
  <c r="E13"/>
  <c r="E14"/>
  <c r="E15"/>
  <c r="E16"/>
  <c r="E17"/>
  <c r="E18"/>
  <c r="E19"/>
  <c r="E20"/>
  <c r="E21"/>
  <c r="E22"/>
  <c r="E23"/>
  <c r="E24"/>
  <c r="E25"/>
  <c r="E26"/>
  <c r="E27"/>
  <c r="E28"/>
  <c r="E29"/>
  <c r="E30"/>
  <c r="E31"/>
  <c r="E32"/>
  <c r="E33"/>
  <c r="E34"/>
  <c r="E35"/>
  <c r="E36"/>
  <c r="E37"/>
  <c r="E2"/>
  <c r="A3" i="3"/>
  <c r="A4"/>
  <c r="A5"/>
  <c r="A6"/>
  <c r="A7"/>
  <c r="A8"/>
  <c r="A9"/>
  <c r="A10"/>
  <c r="A11"/>
  <c r="A12"/>
  <c r="A13"/>
  <c r="A14"/>
  <c r="A15"/>
  <c r="A16"/>
  <c r="A17"/>
  <c r="A18"/>
  <c r="A19"/>
  <c r="A20"/>
  <c r="A21"/>
  <c r="A22"/>
  <c r="A23"/>
  <c r="A24"/>
  <c r="A25"/>
  <c r="A26"/>
  <c r="A27"/>
  <c r="A28"/>
  <c r="A29"/>
  <c r="A30"/>
  <c r="A31"/>
  <c r="A32"/>
  <c r="A33"/>
  <c r="A34"/>
  <c r="A36"/>
  <c r="A37"/>
  <c r="A35"/>
  <c r="A2"/>
  <c r="J39" i="83"/>
  <c r="L39"/>
  <c r="E39"/>
  <c r="F39"/>
  <c r="O39"/>
  <c r="D39"/>
  <c r="E30" i="85"/>
  <c r="E31"/>
  <c r="E32"/>
  <c r="E33"/>
  <c r="E34"/>
  <c r="E35"/>
  <c r="E36"/>
  <c r="E37"/>
  <c r="E29"/>
  <c r="E16"/>
  <c r="E17"/>
  <c r="E18"/>
  <c r="E19"/>
  <c r="E20"/>
  <c r="E21"/>
  <c r="E22"/>
  <c r="E23"/>
  <c r="E24"/>
  <c r="E25"/>
  <c r="E26"/>
  <c r="E15"/>
  <c r="E3"/>
  <c r="E4"/>
  <c r="E5"/>
  <c r="E6"/>
  <c r="E7"/>
  <c r="E8"/>
  <c r="E9"/>
  <c r="E10"/>
  <c r="E11"/>
  <c r="E12"/>
  <c r="E13"/>
  <c r="E2"/>
  <c r="C11"/>
  <c r="C12"/>
  <c r="C13"/>
  <c r="C15"/>
  <c r="C16"/>
  <c r="C17"/>
  <c r="C18"/>
  <c r="C19"/>
  <c r="C20"/>
  <c r="C21"/>
  <c r="C22"/>
  <c r="C23"/>
  <c r="C24"/>
  <c r="C25"/>
  <c r="C26"/>
  <c r="C29"/>
  <c r="C30"/>
  <c r="C31"/>
  <c r="C32"/>
  <c r="C33"/>
  <c r="C39"/>
  <c r="B11"/>
  <c r="D11"/>
  <c r="B12"/>
  <c r="D12"/>
  <c r="B13"/>
  <c r="D13"/>
  <c r="B15"/>
  <c r="D15"/>
  <c r="B16"/>
  <c r="D16"/>
  <c r="B17"/>
  <c r="D17"/>
  <c r="B18"/>
  <c r="D18"/>
  <c r="B19"/>
  <c r="D19"/>
  <c r="B20"/>
  <c r="D20"/>
  <c r="B21"/>
  <c r="D21"/>
  <c r="B22"/>
  <c r="D22"/>
  <c r="B23"/>
  <c r="D23"/>
  <c r="B24"/>
  <c r="D24"/>
  <c r="B25"/>
  <c r="D25"/>
  <c r="B26"/>
  <c r="D26"/>
  <c r="B29"/>
  <c r="D29"/>
  <c r="B30"/>
  <c r="D30"/>
  <c r="B31"/>
  <c r="D31"/>
  <c r="B32"/>
  <c r="D32"/>
  <c r="B33"/>
  <c r="D33"/>
  <c r="D39"/>
  <c r="E39"/>
  <c r="G11"/>
  <c r="G12"/>
  <c r="G13"/>
  <c r="G15"/>
  <c r="G16"/>
  <c r="G17"/>
  <c r="G18"/>
  <c r="G19"/>
  <c r="G20"/>
  <c r="G21"/>
  <c r="G22"/>
  <c r="G23"/>
  <c r="G24"/>
  <c r="G25"/>
  <c r="G26"/>
  <c r="G29"/>
  <c r="G30"/>
  <c r="G31"/>
  <c r="G32"/>
  <c r="G33"/>
  <c r="G39"/>
  <c r="A11"/>
  <c r="H11"/>
  <c r="A12"/>
  <c r="H12"/>
  <c r="A13"/>
  <c r="H13"/>
  <c r="A15"/>
  <c r="H15"/>
  <c r="A16"/>
  <c r="H16"/>
  <c r="A17"/>
  <c r="H17"/>
  <c r="A18"/>
  <c r="H18"/>
  <c r="A19"/>
  <c r="H19"/>
  <c r="A20"/>
  <c r="H20"/>
  <c r="A21"/>
  <c r="H21"/>
  <c r="A22"/>
  <c r="H22"/>
  <c r="A23"/>
  <c r="H23"/>
  <c r="A24"/>
  <c r="H24"/>
  <c r="A25"/>
  <c r="H25"/>
  <c r="A26"/>
  <c r="H26"/>
  <c r="A29"/>
  <c r="H29"/>
  <c r="A30"/>
  <c r="H30"/>
  <c r="A31"/>
  <c r="H31"/>
  <c r="A32"/>
  <c r="H32"/>
  <c r="A33"/>
  <c r="H33"/>
  <c r="H39"/>
  <c r="I39"/>
  <c r="J11"/>
  <c r="J12"/>
  <c r="J13"/>
  <c r="J15"/>
  <c r="J16"/>
  <c r="J17"/>
  <c r="J18"/>
  <c r="J19"/>
  <c r="J20"/>
  <c r="J21"/>
  <c r="J22"/>
  <c r="J23"/>
  <c r="J24"/>
  <c r="J25"/>
  <c r="J26"/>
  <c r="J29"/>
  <c r="J30"/>
  <c r="J31"/>
  <c r="J32"/>
  <c r="J33"/>
  <c r="J39"/>
  <c r="K11"/>
  <c r="K12"/>
  <c r="K13"/>
  <c r="K15"/>
  <c r="K16"/>
  <c r="K17"/>
  <c r="K18"/>
  <c r="K19"/>
  <c r="K20"/>
  <c r="K21"/>
  <c r="K22"/>
  <c r="K23"/>
  <c r="K24"/>
  <c r="K25"/>
  <c r="K26"/>
  <c r="K29"/>
  <c r="K30"/>
  <c r="K31"/>
  <c r="K32"/>
  <c r="K33"/>
  <c r="K39"/>
  <c r="L11"/>
  <c r="L12"/>
  <c r="L13"/>
  <c r="L15"/>
  <c r="L16"/>
  <c r="L17"/>
  <c r="L18"/>
  <c r="L19"/>
  <c r="L20"/>
  <c r="L21"/>
  <c r="L22"/>
  <c r="L23"/>
  <c r="L24"/>
  <c r="L25"/>
  <c r="L26"/>
  <c r="L29"/>
  <c r="L30"/>
  <c r="L31"/>
  <c r="L32"/>
  <c r="L33"/>
  <c r="L39"/>
  <c r="C40"/>
  <c r="D40"/>
  <c r="E40"/>
  <c r="G40"/>
  <c r="H40"/>
  <c r="I40"/>
  <c r="J40"/>
  <c r="K40"/>
  <c r="L40"/>
  <c r="B40"/>
  <c r="B39"/>
  <c r="M3"/>
  <c r="M4"/>
  <c r="M5"/>
  <c r="M6"/>
  <c r="M7"/>
  <c r="M8"/>
  <c r="M9"/>
  <c r="M10"/>
  <c r="M11"/>
  <c r="M12"/>
  <c r="M13"/>
  <c r="M14"/>
  <c r="M15"/>
  <c r="M16"/>
  <c r="M17"/>
  <c r="M18"/>
  <c r="M19"/>
  <c r="M20"/>
  <c r="M21"/>
  <c r="M22"/>
  <c r="M23"/>
  <c r="M24"/>
  <c r="M25"/>
  <c r="M26"/>
  <c r="M27"/>
  <c r="M28"/>
  <c r="M29"/>
  <c r="M30"/>
  <c r="M31"/>
  <c r="M32"/>
  <c r="M33"/>
  <c r="M34"/>
  <c r="M35"/>
  <c r="M36"/>
  <c r="M37"/>
  <c r="M2"/>
  <c r="A2"/>
  <c r="J2"/>
  <c r="A3"/>
  <c r="J3"/>
  <c r="A4"/>
  <c r="J4"/>
  <c r="A5"/>
  <c r="J5"/>
  <c r="A6"/>
  <c r="J6"/>
  <c r="A7"/>
  <c r="J7"/>
  <c r="A8"/>
  <c r="J8"/>
  <c r="A9"/>
  <c r="J9"/>
  <c r="A10"/>
  <c r="J10"/>
  <c r="A14"/>
  <c r="A27"/>
  <c r="A28"/>
  <c r="A34"/>
  <c r="J34"/>
  <c r="A35"/>
  <c r="J35"/>
  <c r="A36"/>
  <c r="J36"/>
  <c r="A37"/>
  <c r="J37"/>
  <c r="H3"/>
  <c r="H4"/>
  <c r="H5"/>
  <c r="H6"/>
  <c r="H7"/>
  <c r="H8"/>
  <c r="H9"/>
  <c r="H10"/>
  <c r="H34"/>
  <c r="H35"/>
  <c r="H36"/>
  <c r="H37"/>
  <c r="H2"/>
  <c r="G3"/>
  <c r="G4"/>
  <c r="G5"/>
  <c r="G6"/>
  <c r="G7"/>
  <c r="G8"/>
  <c r="G9"/>
  <c r="G10"/>
  <c r="G34"/>
  <c r="G35"/>
  <c r="G36"/>
  <c r="G37"/>
  <c r="G2"/>
  <c r="C3"/>
  <c r="B3"/>
  <c r="D3"/>
  <c r="C4"/>
  <c r="B4"/>
  <c r="D4"/>
  <c r="C5"/>
  <c r="B5"/>
  <c r="D5"/>
  <c r="C6"/>
  <c r="B6"/>
  <c r="D6"/>
  <c r="C7"/>
  <c r="B7"/>
  <c r="D7"/>
  <c r="C8"/>
  <c r="B8"/>
  <c r="D8"/>
  <c r="C9"/>
  <c r="B9"/>
  <c r="D9"/>
  <c r="C10"/>
  <c r="B10"/>
  <c r="D10"/>
  <c r="C34"/>
  <c r="B34"/>
  <c r="D34"/>
  <c r="C35"/>
  <c r="B35"/>
  <c r="D35"/>
  <c r="C36"/>
  <c r="B36"/>
  <c r="D36"/>
  <c r="C37"/>
  <c r="B37"/>
  <c r="D37"/>
  <c r="C2"/>
  <c r="B2"/>
  <c r="D2"/>
  <c r="F25"/>
  <c r="F26"/>
  <c r="F29"/>
  <c r="F30"/>
  <c r="F31"/>
  <c r="F32"/>
  <c r="F33"/>
  <c r="F34"/>
  <c r="F35"/>
  <c r="F36"/>
  <c r="F37"/>
  <c r="F3"/>
  <c r="F4"/>
  <c r="F5"/>
  <c r="F6"/>
  <c r="F7"/>
  <c r="F8"/>
  <c r="F9"/>
  <c r="F10"/>
  <c r="F11"/>
  <c r="F12"/>
  <c r="F13"/>
  <c r="F15"/>
  <c r="F16"/>
  <c r="F17"/>
  <c r="F18"/>
  <c r="F19"/>
  <c r="F20"/>
  <c r="F21"/>
  <c r="F22"/>
  <c r="F23"/>
  <c r="F24"/>
  <c r="F2"/>
</calcChain>
</file>

<file path=xl/sharedStrings.xml><?xml version="1.0" encoding="utf-8"?>
<sst xmlns="http://schemas.openxmlformats.org/spreadsheetml/2006/main" count="26775" uniqueCount="4200">
  <si>
    <t>CAV Bosch (UK)</t>
    <phoneticPr fontId="22" type="noConversion"/>
  </si>
  <si>
    <t>Northern Electric Company (Canadian)</t>
    <phoneticPr fontId="22" type="noConversion"/>
  </si>
  <si>
    <t>Hansa (German)</t>
    <phoneticPr fontId="22" type="noConversion"/>
  </si>
  <si>
    <t>Aarhus (Denmark)</t>
    <phoneticPr fontId="22" type="noConversion"/>
  </si>
  <si>
    <t>Westinhouse Electric &amp; Manufacting Company</t>
    <phoneticPr fontId="22" type="noConversion"/>
  </si>
  <si>
    <t>Siemens</t>
    <phoneticPr fontId="22" type="noConversion"/>
  </si>
  <si>
    <t>Prior litigation: Yes (Complaint, p. 6: "During this period of unrestrained competition, American Bosch and Robert Bosch each sought to prevent the other from continuing to sell and distribute in particular markets, and each employed to this and various means, such as, for example, lawsuits which were brought (in the United States, England, and France) by one or the other of the two companies with the object of enjoining the other from use of the name "Bosch").</t>
    <phoneticPr fontId="22" type="noConversion"/>
  </si>
  <si>
    <t>98-99</t>
    <phoneticPr fontId="22" type="noConversion"/>
  </si>
  <si>
    <t>Prior litigation: Yes, evidence of (Kelsey-Hayes' Answers, p.1: "Defendant says that prior to 1933 it had certain differences or controversies concerning patents on certain details of wheel structures or methods of application thereof with Motor Wheel and Budd").</t>
    <phoneticPr fontId="22" type="noConversion"/>
  </si>
  <si>
    <t>Google search: "ophthalmic frame"</t>
    <phoneticPr fontId="22" type="noConversion"/>
  </si>
  <si>
    <t>Prior litigation: Yes (Complaint, p. 35: "American Opticl then brought suit against Universal Optical Corportation for specific performance of the Ful-Vue license agreements….").</t>
    <phoneticPr fontId="22" type="noConversion"/>
  </si>
  <si>
    <t>Hakenfelde</t>
    <phoneticPr fontId="22" type="noConversion"/>
  </si>
  <si>
    <t>Ottico</t>
    <phoneticPr fontId="22" type="noConversion"/>
  </si>
  <si>
    <t>Societe du Carbureteur Zenith (France)</t>
    <phoneticPr fontId="22" type="noConversion"/>
  </si>
  <si>
    <t>Societe Anonima Carburators Zenith (Italy)</t>
    <phoneticPr fontId="22" type="noConversion"/>
  </si>
  <si>
    <t>Solex Ltd (UK)</t>
    <phoneticPr fontId="22" type="noConversion"/>
  </si>
  <si>
    <t>Joseph Lucas, Ltd (Rotax, Ltd)</t>
    <phoneticPr fontId="22" type="noConversion"/>
  </si>
  <si>
    <t>International Carbonic Engineering</t>
  </si>
  <si>
    <t>International Carbonic Engineering</t>
    <phoneticPr fontId="22" type="noConversion"/>
  </si>
  <si>
    <t>13 June, 1934</t>
  </si>
  <si>
    <t xml:space="preserve">Air Reduction Company/Pure </t>
    <phoneticPr fontId="22" type="noConversion"/>
  </si>
  <si>
    <t>Liquid Carbonic Corporation</t>
  </si>
  <si>
    <t>Air Reduction Company/Pure</t>
  </si>
  <si>
    <t>Societe Anonyme Establishments Phillips (France)</t>
    <phoneticPr fontId="22" type="noConversion"/>
  </si>
  <si>
    <t>Vaughan (pp. 57-58): "Prior to 1934, German and Danish corporations exported and sold most of the lecithin used in the United States.  About this time, however, two domestic companies-Glidden of Ohio, and Archer-Daniels-Midland of Minnesota-began to make lecithin in connection with the production of soybean oil.  In 1935, they incorporated the American Lecithin Company…Further, American Lecithin received by assignment 28 patents from abroad and twelve other patents and 28 patent applications from the two domestic copmanies and its own employees and sales representatives.  According to government charges in 1946, American Lecithin issued exclusive licenses under its pooled patents and secret processes to the two original comapneis-Glidden and Archer-Daniels-Midland-for the manufacture of lecithin in the United States and Canada.  The government also claimed that the foreign companies had exclusive rights outside the United States and Canada and received a proportion of American Lecithin's profits.  Beginning about 1939, additional companies had begun to produce lecithin in substantial amounts two of which refused to become licensees...A consent judgment in 1947 dissolved the joint sales agency, terminated suits for infringement prior to 1947, and enjoined questionable practices.  In additiona, it required American Lecithinn to license its "use" patents royalty-free and its "process" patents at uniform, reasonable royalties, all licenses without restrictions."</t>
    <phoneticPr fontId="22" type="noConversion"/>
  </si>
  <si>
    <t>The Kay &amp; Ess Company / Kay &amp; Ess Chemical Corporation</t>
    <phoneticPr fontId="22" type="noConversion"/>
  </si>
  <si>
    <t>Chadeloid Chemical Company</t>
    <phoneticPr fontId="22" type="noConversion"/>
  </si>
  <si>
    <t>Sure-Fit (Joseph A. Krasnov, Samuel Krasnov, and Seymour Krasnov)</t>
    <phoneticPr fontId="22" type="noConversion"/>
  </si>
  <si>
    <t>Charles B. DeVlieg (DeVlieg Engineering Company)</t>
    <phoneticPr fontId="22" type="noConversion"/>
  </si>
  <si>
    <t>Prior Litigation</t>
    <phoneticPr fontId="22" type="noConversion"/>
  </si>
  <si>
    <t>Permutit Company (American)</t>
    <phoneticPr fontId="22" type="noConversion"/>
  </si>
  <si>
    <t>Phelps Dodge (own Phelps Dodge)</t>
    <phoneticPr fontId="22" type="noConversion"/>
  </si>
  <si>
    <t>Pirelli (Italian)</t>
    <phoneticPr fontId="22" type="noConversion"/>
  </si>
  <si>
    <t>Protona (Swiss)</t>
    <phoneticPr fontId="22" type="noConversion"/>
  </si>
  <si>
    <t>Ateliers de Construction Lavelette (France)</t>
    <phoneticPr fontId="22" type="noConversion"/>
  </si>
  <si>
    <t>Robert Bosch GMBH (German)</t>
    <phoneticPr fontId="22" type="noConversion"/>
  </si>
  <si>
    <t>Technology: "Lecithin is a phosphatide containing of a natural organic substance found in many animal and vegetable products such as egg yolks, soy beans, and corn.  Lecithin in used extensively in the food field in lard, oleomargarine, shortening, chocolates, and bakery products, and is also utilized in such other fields as textiles, paints, woo preservatives, leather dressing, and gasoline (Complaint, p. 3).</t>
    <phoneticPr fontId="22" type="noConversion"/>
  </si>
  <si>
    <t>Technology: "Variable condensers are tuning devices used on radios to select broadcasting stations" (Vaughan, p. 52).</t>
    <phoneticPr fontId="22" type="noConversion"/>
  </si>
  <si>
    <t>Technology: Aircraft instruments include such devices and instruments as were the subject of an agreement, dated December 17, 1936, entered into betweem Bendix Aviation Corporation and Siemens Apparate and Maschinen G.m.b.H.</t>
    <phoneticPr fontId="22" type="noConversion"/>
  </si>
  <si>
    <t>Technology: "Railroad springs, spring plates, Universal plates, and Coil-Elliptic devices are sold by defendant spring companies for use both in the maintenance and repair of railway cars and locomotives and in the construction of new railway cars and locomotives." (Complaint, p. 7).</t>
    <phoneticPr fontId="22" type="noConversion"/>
  </si>
  <si>
    <t>Technology: "Full-fashioned hosiery machinery refers to multi-section flat bed machines and replacement parts and the equipment therefor, designed to knit full-fhasioned hosiery." (complaint, pp. 2-3).</t>
    <phoneticPr fontId="22" type="noConversion"/>
  </si>
  <si>
    <t>Technology: "Fluid-filled cable is high tension electrical cable consisting of a conductor or conductors separated and insulated from an outer sheath or jacket by oil or gas under mechanical pressure; or the conductor or conductors may contain a duct or ducts through which oil or gas flows under mechanical pressure" (complaint, p. 3).</t>
    <phoneticPr fontId="22" type="noConversion"/>
  </si>
  <si>
    <t>Firms: American Locomotive Company (initial firm, formally Railway Steel Spring Company), Symington Gould Company (initial firm), Universal Railway Devices Company.</t>
    <phoneticPr fontId="22" type="noConversion"/>
  </si>
  <si>
    <t>Permutit Aktiengesellschaft (German)</t>
    <phoneticPr fontId="22" type="noConversion"/>
  </si>
  <si>
    <t>United Water Softener (English)</t>
    <phoneticPr fontId="22" type="noConversion"/>
  </si>
  <si>
    <t>Technology: "Metals wheels characterized by having a wheel body formed by a metal stamping, sometimes combined with a forging, rolling or other process, as distinguished from a wheel body formed entirely from a casting, and for assembly to and use as a means of mobility on automobiles, buses, trucks, trailers, and like passenger and cargo conveyances designed primarily for use on the highways" (final judgment, pp. 2-3).</t>
    <phoneticPr fontId="22" type="noConversion"/>
  </si>
  <si>
    <t>Technology: "Electric fuse cutout, used in preventing short circuit or overload" (Vaughan, p. 50).</t>
    <phoneticPr fontId="22" type="noConversion"/>
  </si>
  <si>
    <t>type</t>
    <phoneticPr fontId="22" type="noConversion"/>
  </si>
  <si>
    <t>RR</t>
    <phoneticPr fontId="22" type="noConversion"/>
  </si>
  <si>
    <t>RF</t>
    <phoneticPr fontId="22" type="noConversion"/>
  </si>
  <si>
    <t>RR</t>
    <phoneticPr fontId="22" type="noConversion"/>
  </si>
  <si>
    <t>1932Phar</t>
    <phoneticPr fontId="22" type="noConversion"/>
  </si>
  <si>
    <t>1932Rail</t>
    <phoneticPr fontId="22" type="noConversion"/>
  </si>
  <si>
    <t>DP</t>
    <phoneticPr fontId="22" type="noConversion"/>
  </si>
  <si>
    <t>1932Text</t>
    <phoneticPr fontId="22" type="noConversion"/>
  </si>
  <si>
    <t>1933Hydr</t>
    <phoneticPr fontId="22" type="noConversion"/>
  </si>
  <si>
    <t>1933Mach</t>
    <phoneticPr fontId="22" type="noConversion"/>
  </si>
  <si>
    <t>1933Phil</t>
    <phoneticPr fontId="22" type="noConversion"/>
  </si>
  <si>
    <t>1934Colo</t>
    <phoneticPr fontId="22" type="noConversion"/>
  </si>
  <si>
    <t>1934Vari</t>
    <phoneticPr fontId="22" type="noConversion"/>
  </si>
  <si>
    <t>1937Stam</t>
    <phoneticPr fontId="22" type="noConversion"/>
  </si>
  <si>
    <t>1937Wrin</t>
    <phoneticPr fontId="22" type="noConversion"/>
  </si>
  <si>
    <t>1938Drop</t>
    <phoneticPr fontId="22" type="noConversion"/>
  </si>
  <si>
    <t>1938Opht</t>
    <phoneticPr fontId="22" type="noConversion"/>
  </si>
  <si>
    <t>1934Dry</t>
    <phoneticPr fontId="22" type="noConversion"/>
  </si>
  <si>
    <t>1934Elec</t>
    <phoneticPr fontId="43" type="noConversion"/>
  </si>
  <si>
    <t>1930Cabl</t>
    <phoneticPr fontId="22" type="noConversion"/>
  </si>
  <si>
    <t>1938Slip</t>
    <phoneticPr fontId="22" type="noConversion"/>
  </si>
  <si>
    <t>Technology: "electric generators, transformers, motors, and appliances (Vaughan, p. 163).</t>
    <phoneticPr fontId="22" type="noConversion"/>
  </si>
  <si>
    <t>United States v. American Locomotive Co., CCH 1945-47 Trade Cases ¶ 57,621 (N.D. Ind. Civil No. 545; Complaint, 1945; Consent Judgment, 1947).</t>
  </si>
  <si>
    <t>United States v. Westinghouse Electric Mfg. Co., CCH Current Trade Cases 67,501 (D.C.N.J. Civil No. 5152; Complaint, 1945; Consent Judgment, 1953).</t>
  </si>
  <si>
    <t>United States v. American Lecithin Co., CCH 1946-47 Trade Cases 57,542 (N.D. Ohio Civil No. 24115; Complaint, 1946; Consent Judgment, 1947).</t>
  </si>
  <si>
    <t>United States v. American Optical Co., CCH 1948-49 Trade Cases 62,308 (S.D.N.Y. Civil No. 10-391; Complaint, 1940; Final Consent Judgment, 1948).</t>
  </si>
  <si>
    <t>United States v. General Electric Co., CCH 1952-53 Trade Cases 67,585 (D.C.N.J. Civil No. 45-75-C; Complaint, 1945; Final Consent Judgment, 1953).</t>
  </si>
  <si>
    <t>United States v. Sand Spun Patents Corp., 1948-1949 Trade Cases  62,462 (D.N.J. Civil No. 125-49; Complaint, 1949; Consent Judgment, 1949).</t>
  </si>
  <si>
    <t>Technology: "Professional color cinematography as used in the complaint mean photographing, renting special cameras to photograph, and supply and selling negative film for the purpose of photographing motion picture productions in color" (complaint, p. 2).</t>
    <phoneticPr fontId="22" type="noConversion"/>
  </si>
  <si>
    <t>Technology: "CO2 and dry ice have many varied and important uses.  Among other things, CO2 is used in the carbonation of beverages; in mechanical refrigeration; in fire fighting apparatus; in the inflation of life rafts; in the rapid ageing of cement products; in the production of rubber articles, including sponge rubber; and in mining, as a substitute for high explosives.  Dry ice is used as a refrigerant, to freeze and preserve foods and other products in transportation and storage; in airplane and bridge construction to shrink metal parts; in oil viscosity tests; in the manufacture of neon signs and radio tubes; in automobile manufacture, in making expansion fits of valve seats in engine blocks; and in the manufacture of various chemicals." (Complaint, p. 86).</t>
    <phoneticPr fontId="22" type="noConversion"/>
  </si>
  <si>
    <t>Vaughan (pp. 98-99): "In 1948, the three leading producers and distributors of dry ice were Liquid Carbonic Corporation of Chicago, Wyandotte Chemicals of Michigan, and a subsidiary of Air Reducion Company of New York.  Allegations in a government complaint point to their consolidation of dry-ice patents.  In 1934, the three companies organized International Carbonic to hold their patents and those of a company called Engineering, but, in 1939, the three companeis sold their stock interest and therefore their patent rights in International Carbonic to Engineering.  The apparent purpose of the three companies was to become mere licensees and thus avoid the appearance of unlawful activities.  A consent judgment of 1952 enjoined these purchases and other objectionable practices, forbade Internatinoal Carbonic from enforcing its principal patent, and required the defendants to license their other patents to applicants at reasonable royalties."</t>
    <phoneticPr fontId="22" type="noConversion"/>
  </si>
  <si>
    <t>Technology: "To purify water, to eliminate or counteract certain undesirable chemicals, substances or characteristics thereof, or otherwise render it suitable for household and industrial uses" (complaint, pp. 3-4).</t>
    <phoneticPr fontId="22" type="noConversion"/>
  </si>
  <si>
    <t>Technology: "Any and all devices for the feed distribution and injection of fuel in connection with internal combustion engines, including fittings and accessories" (complaint, p. 2).</t>
    <phoneticPr fontId="22" type="noConversion"/>
  </si>
  <si>
    <t>Technology: "Chemicals and pharmaceuticals for medicinal and household purposes." (complaint, pp. 2-3).</t>
    <phoneticPr fontId="22" type="noConversion"/>
  </si>
  <si>
    <t>Five firms: Lodge and Shipley Machine Tool Company, Brown &amp; Sharpe Manufacturing Company, Lucas Machine Tool Company (became Mac Investment Company), Carlton Machine Tool Company Lundberg and Charles B. DeVlieg (DeVlieg Engineering Company).  Formed Associated Patents.</t>
    <phoneticPr fontId="22" type="noConversion"/>
  </si>
  <si>
    <t>Lucas Machine Tool Company (became Mac Investment Company)</t>
    <phoneticPr fontId="22" type="noConversion"/>
  </si>
  <si>
    <t>Carlton Machine Tool Company</t>
  </si>
  <si>
    <t>Henry Printz</t>
  </si>
  <si>
    <t>Emil William Kaul</t>
  </si>
  <si>
    <t>Charles S. Aschenbrenner</t>
  </si>
  <si>
    <t>Thearon Glenwood Stoudt</t>
  </si>
  <si>
    <t>Le Roy White</t>
  </si>
  <si>
    <t>Richard E. Schletter</t>
  </si>
  <si>
    <t>Joseph Held, Herman Scheer</t>
  </si>
  <si>
    <t>Emil William Kaul, Herbert Erich Haehnel</t>
  </si>
  <si>
    <t>D99240</t>
  </si>
  <si>
    <t>14 years term</t>
  </si>
  <si>
    <t>Joseph W. Crawford</t>
  </si>
  <si>
    <t>Google search: "rail joint bar"</t>
    <phoneticPr fontId="22" type="noConversion"/>
  </si>
  <si>
    <t>United States v. Auditorium Conditioning Corp., CCH 1944-45 Trade Cases 57,428 (S.D.N.Y. Civil No. 22-200; Complaint, 1943; Final Judgment, 1945).</t>
  </si>
  <si>
    <t>United States v. Rail Joint Co., CCH 1946-47 Trade Cases ¶ 57,469, (N. D. Ill. Civil No. 43-C-1295; Complaint, 1943; Final Judgment, 1944); McKenna Process Company of Illinois, Appellee, v. Blatchford Corporation, Appellant, Gen. No. 9,464, APPELLATE COURT OF ILLINOIS, SECOND DISTRICT, 304 Ill. App. 101; 25 N.E.2d 916; 1940 Ill. App. LEXIS 921.</t>
  </si>
  <si>
    <t>United States v. General Cable Corp., CCH 1948-49 Trade Cases 62,300 (S.D.N.Y. Civil No. 40-76; Complaint, 1947; Consent Judgment, 1948).</t>
  </si>
  <si>
    <t>United States v. The Permutit Company and W. Spencer Robertson, CCH 1950-51 Trade Cases 62,888 (S.D.N.Y. Civil No. 32-394; Complaint, 1945; Consent Judgment, 1951).</t>
  </si>
  <si>
    <t>Rudolf Puller, Heinrich Kann</t>
  </si>
  <si>
    <t>Paul Paschen, Georg Mohr</t>
  </si>
  <si>
    <t>Re.20962 (2061945)</t>
    <phoneticPr fontId="22" type="noConversion"/>
  </si>
  <si>
    <t>DP</t>
    <phoneticPr fontId="22" type="noConversion"/>
  </si>
  <si>
    <t>Paul Duffing, Walter Hergert</t>
  </si>
  <si>
    <t>Albert Lotz</t>
  </si>
  <si>
    <t>Alfred Grabner</t>
  </si>
  <si>
    <t>Austria</t>
  </si>
  <si>
    <t>Hans Wolters</t>
  </si>
  <si>
    <t>Hermann Neugebauer</t>
  </si>
  <si>
    <t>Reinhold Rüdenberg</t>
  </si>
  <si>
    <t>Victor Gutmann</t>
  </si>
  <si>
    <t>Walter Stockmeyer</t>
  </si>
  <si>
    <t xml:space="preserve">Germany </t>
  </si>
  <si>
    <t>Technology: "A number of diseases for which no satisfactory treatment existed have responded to hormone therapy.  Synthetic hormones are now widely prescribed by physicians for a variety of ailments, including Addion's Disease, maladies attendant upon the menopause, and surgical shock" (complaint, p. 2).</t>
    <phoneticPr fontId="22" type="noConversion"/>
  </si>
  <si>
    <t>Google search: hormone</t>
    <phoneticPr fontId="22" type="noConversion"/>
  </si>
  <si>
    <t>Google search: "fuel injection"</t>
    <phoneticPr fontId="22" type="noConversion"/>
  </si>
  <si>
    <t>Google search: "milling machine"</t>
    <phoneticPr fontId="22" type="noConversion"/>
  </si>
  <si>
    <t>Google search: "hosiery"</t>
    <phoneticPr fontId="22" type="noConversion"/>
  </si>
  <si>
    <t>Herbert O. Wulff</t>
  </si>
  <si>
    <t>Hans Willmann</t>
  </si>
  <si>
    <t>Hans Schirrmeister</t>
  </si>
  <si>
    <t>Eberhard Michelsen</t>
  </si>
  <si>
    <t>Vested in the Alien Property Custodian</t>
  </si>
  <si>
    <t>Carl Hahn, Wilhelm Feldmann</t>
  </si>
  <si>
    <t>Walther Estorff</t>
  </si>
  <si>
    <t>Ernst Ludwig</t>
  </si>
  <si>
    <t>Theodor Kaukewitsch</t>
  </si>
  <si>
    <t>Wilhelm Laubenhimer, Oskar Schmutz</t>
  </si>
  <si>
    <t>Dietrich Müller-Hillebrand, Max Proschmann</t>
  </si>
  <si>
    <t>Max Hüber, Albert Dahms</t>
  </si>
  <si>
    <t>Wilhelm Blumentritt</t>
  </si>
  <si>
    <t>Wilhelm Stroszeck</t>
  </si>
  <si>
    <t>Hans Jordan</t>
  </si>
  <si>
    <t>Walter Meenen</t>
  </si>
  <si>
    <t>Willi Nerlich, Hans Seidel</t>
  </si>
  <si>
    <t>(O) 374382 (Di) 752861</t>
  </si>
  <si>
    <t>Max Steenbeck</t>
  </si>
  <si>
    <t>Hans Beiersdorf</t>
  </si>
  <si>
    <t>Erich Friedländer</t>
  </si>
  <si>
    <t>Fritz Rampacher</t>
  </si>
  <si>
    <t>From Google patents (search "new wrinkle, inc" and "wrinkle finishes)</t>
    <phoneticPr fontId="22" type="noConversion"/>
  </si>
  <si>
    <t>NAR Kansas City</t>
    <phoneticPr fontId="22" type="noConversion"/>
  </si>
  <si>
    <t>August Folgmann</t>
  </si>
  <si>
    <t>Hans Edler</t>
  </si>
  <si>
    <t>Hans Trassl</t>
  </si>
  <si>
    <t>Gabriel Letsch</t>
  </si>
  <si>
    <t>Werner Bruckmann</t>
  </si>
  <si>
    <t>Ernst Siebert</t>
  </si>
  <si>
    <t>Gustav Gastrich, Herbert Erich Haehnel</t>
  </si>
  <si>
    <t>(RN) 1939/12/23</t>
  </si>
  <si>
    <t>Joseph Held</t>
  </si>
  <si>
    <t>Rudolph Hug</t>
  </si>
  <si>
    <t>Paul Krenkel</t>
  </si>
  <si>
    <t>Robert G. Ohlinger</t>
  </si>
  <si>
    <t>Henry C. Pingel</t>
  </si>
  <si>
    <t>Friedrich Max Clauss, Carl Moellerke</t>
  </si>
  <si>
    <t>Alvin L. Brumbach</t>
  </si>
  <si>
    <t>Ernst Lübcke</t>
  </si>
  <si>
    <t>Patents listed in Schedule A of Final Judgment, RR:</t>
    <phoneticPr fontId="22" type="noConversion"/>
  </si>
  <si>
    <t>1932Text</t>
  </si>
  <si>
    <t>D-100860</t>
  </si>
  <si>
    <t>Google search: "peach pitter"</t>
    <phoneticPr fontId="22" type="noConversion"/>
  </si>
  <si>
    <t>Google search: "cast iron pipe"</t>
    <phoneticPr fontId="22" type="noConversion"/>
  </si>
  <si>
    <t>Google search: "hydraulic brake"</t>
    <phoneticPr fontId="22" type="noConversion"/>
  </si>
  <si>
    <t>Google search: "air filter"</t>
    <phoneticPr fontId="22" type="noConversion"/>
  </si>
  <si>
    <t>Wilhelm Ewald, Paul Paschen, Josef Uffinger</t>
  </si>
  <si>
    <t>Hermann Bitter</t>
  </si>
  <si>
    <t>Google search: "parking meter"</t>
    <phoneticPr fontId="22" type="noConversion"/>
  </si>
  <si>
    <t>Google search: "wrinkle finish"</t>
    <phoneticPr fontId="22" type="noConversion"/>
  </si>
  <si>
    <t>Google search: "metal wheel"</t>
    <phoneticPr fontId="22" type="noConversion"/>
  </si>
  <si>
    <t>Number of licensees: 0.  "During the time that Inernational had such right to sublicense any or all of Adico and Engineering patents, rights or applications, it issued no sub-licenses for the manufacture or sale of dry ice to any concern other than concerns that had been previously licensed by Adico or Engineering" (Complaint, p. 6).</t>
    <phoneticPr fontId="22" type="noConversion"/>
  </si>
  <si>
    <t>year</t>
  </si>
  <si>
    <t>untreated</t>
    <phoneticPr fontId="22" type="noConversion"/>
  </si>
  <si>
    <t>treated</t>
    <phoneticPr fontId="22" type="noConversion"/>
  </si>
  <si>
    <t>Licensing restrictions</t>
    <phoneticPr fontId="22" type="noConversion"/>
  </si>
  <si>
    <t>Licensing restrictions?</t>
    <phoneticPr fontId="22" type="noConversion"/>
  </si>
  <si>
    <t>Patent holding company: Yes (International Carbonic)</t>
    <phoneticPr fontId="22" type="noConversion"/>
  </si>
  <si>
    <t>Google search: "electrical cable"</t>
    <phoneticPr fontId="22" type="noConversion"/>
  </si>
  <si>
    <t>Google search: "Television"</t>
    <phoneticPr fontId="22" type="noConversion"/>
  </si>
  <si>
    <t>Google search: "color film"</t>
    <phoneticPr fontId="22" type="noConversion"/>
  </si>
  <si>
    <t>Google search: head screw"</t>
    <phoneticPr fontId="22" type="noConversion"/>
  </si>
  <si>
    <t>Google search: "air condition"</t>
    <phoneticPr fontId="22" type="noConversion"/>
  </si>
  <si>
    <t>Google search: "water condition"</t>
    <phoneticPr fontId="22" type="noConversion"/>
  </si>
  <si>
    <t>Quaker Hosiery Company</t>
    <phoneticPr fontId="22" type="noConversion"/>
  </si>
  <si>
    <t>Otto F. Smetana</t>
  </si>
  <si>
    <t>Herbert Erich Haehnel</t>
  </si>
  <si>
    <t>(O) 183656 (Di) 355888</t>
  </si>
  <si>
    <t>Schedule C</t>
  </si>
  <si>
    <t>William H. Moyer</t>
  </si>
  <si>
    <t>Schletter &amp; Zander, Inc.</t>
    <phoneticPr fontId="22" type="noConversion"/>
  </si>
  <si>
    <t>Emil Richter</t>
  </si>
  <si>
    <t>John George Ennis</t>
  </si>
  <si>
    <t>Fred Autem</t>
  </si>
  <si>
    <t>Henry Janssen</t>
  </si>
  <si>
    <t>Melchior Zwicky</t>
  </si>
  <si>
    <t>Julius Bareiss</t>
  </si>
  <si>
    <t>Textile Machine Works</t>
  </si>
  <si>
    <t>Max Richter</t>
  </si>
  <si>
    <t>Christian F. Meyer</t>
  </si>
  <si>
    <t>Max Krissiep</t>
  </si>
  <si>
    <t>Max Krissiep, Herman Staub</t>
  </si>
  <si>
    <t>Emil Max Müller, Emil Richter</t>
  </si>
  <si>
    <t>(O) 666282 (Di) 724486</t>
  </si>
  <si>
    <t>Herman Staub</t>
  </si>
  <si>
    <t>Friedrich Max Clauss</t>
  </si>
  <si>
    <t>(O) 673985 (Di) 748840</t>
  </si>
  <si>
    <t>Wolfgang E. Schwarzmann, Charles Strniste</t>
  </si>
  <si>
    <t>Hans Hogeman</t>
  </si>
  <si>
    <t>George W. Baierlein</t>
  </si>
  <si>
    <t>Each agreement involved the licensee assigning to U.S. Pipe all patents acquired by, not to manufacture any kind of pipe other than cast iron pipe.</t>
    <phoneticPr fontId="22" type="noConversion"/>
  </si>
  <si>
    <t>Albert Kleindienst, Dietrich Müller</t>
  </si>
  <si>
    <t>Alfred Bierend</t>
  </si>
  <si>
    <t>Herbert König, Walter Meenen, Richard Schnarz, Heinrich Wilbert</t>
  </si>
  <si>
    <t>Ernst Bayha</t>
  </si>
  <si>
    <t>Ernst Schulze</t>
  </si>
  <si>
    <t>Fritz Kesselring,  Floris Koppelmann, Werner Kaufmann</t>
  </si>
  <si>
    <t>Wilhelm Gebhardt, Siegfried Franck</t>
  </si>
  <si>
    <t>Moritz Schenkel</t>
  </si>
  <si>
    <t>Yes, see above: "each agreement involved the licensee assigning to U.S. Pipe all patents acquired by, not to manufacture any kind of pipe other than cast iron pipe."</t>
    <phoneticPr fontId="22" type="noConversion"/>
  </si>
  <si>
    <t>Eberhard Schütz</t>
  </si>
  <si>
    <t>Paul Klein, Kurt Wulsten</t>
  </si>
  <si>
    <t>Joseph Rebhan, Richard Elsner</t>
  </si>
  <si>
    <t>RR</t>
    <phoneticPr fontId="22" type="noConversion"/>
  </si>
  <si>
    <t>Start year: 1930</t>
    <phoneticPr fontId="22" type="noConversion"/>
  </si>
  <si>
    <t>1930Cabl</t>
    <phoneticPr fontId="22" type="noConversion"/>
  </si>
  <si>
    <t>1946Elas</t>
    <phoneticPr fontId="22" type="noConversion"/>
  </si>
  <si>
    <t>num_pats</t>
    <phoneticPr fontId="22" type="noConversion"/>
  </si>
  <si>
    <t>1927Airc</t>
    <phoneticPr fontId="22" type="noConversion"/>
  </si>
  <si>
    <t>Google search: "spring plate"</t>
    <phoneticPr fontId="22" type="noConversion"/>
  </si>
  <si>
    <t>Vienna, Germany??</t>
  </si>
  <si>
    <t>Erwin Kübler, Gerhard Schröder, Wilhelm Brockmann</t>
  </si>
  <si>
    <t>Otto Neumann</t>
  </si>
  <si>
    <t>Paul Düffing</t>
  </si>
  <si>
    <t>Hanns Jung, Günther Scharowsky</t>
  </si>
  <si>
    <t>Franz Günther</t>
  </si>
  <si>
    <t>Joseph Rebhan</t>
  </si>
  <si>
    <t>Ernst Baumann</t>
  </si>
  <si>
    <t>Walter John, Philipp Günther</t>
  </si>
  <si>
    <t>Otto Dalmar, Claus Diehl, Hartmann Pieper</t>
  </si>
  <si>
    <t>Claus Diehl</t>
  </si>
  <si>
    <t>Wilhelm Küssner</t>
  </si>
  <si>
    <t>(O) 307265 (Di) 395444</t>
  </si>
  <si>
    <t>(O) 49822 (Co) 373602</t>
  </si>
  <si>
    <t>Exhibit D - Subdivision 2</t>
  </si>
  <si>
    <t>(O) 171480 (Co) 251598</t>
  </si>
  <si>
    <t>continuation in part - alluded to in the passage</t>
  </si>
  <si>
    <t>vested in the Attorney General of the United States</t>
  </si>
  <si>
    <t>Walter John</t>
  </si>
  <si>
    <t>patent expires 1959/6/29</t>
  </si>
  <si>
    <t>vested in the Alien Property Custodian</t>
  </si>
  <si>
    <t>Otto von Keussler</t>
  </si>
  <si>
    <t>Poland</t>
  </si>
  <si>
    <t>Patents listed in Exhibit D of Final Judgment, RF licensing:</t>
    <phoneticPr fontId="22" type="noConversion"/>
  </si>
  <si>
    <t>Application Date</t>
    <phoneticPr fontId="22" type="noConversion"/>
  </si>
  <si>
    <t>Grant Date</t>
    <phoneticPr fontId="22" type="noConversion"/>
  </si>
  <si>
    <t>D101041</t>
  </si>
  <si>
    <t>D103323</t>
  </si>
  <si>
    <t>D106442</t>
  </si>
  <si>
    <t>D113265</t>
  </si>
  <si>
    <t>D133536</t>
  </si>
  <si>
    <t>Montroy Jeffrey</t>
  </si>
  <si>
    <t>(O) 20541 (Di) 50635</t>
  </si>
  <si>
    <t>Google search: "dry ice"</t>
    <phoneticPr fontId="22" type="noConversion"/>
  </si>
  <si>
    <t>Richard F. Eshleman</t>
  </si>
  <si>
    <t>Carl Reher</t>
  </si>
  <si>
    <t>The American Brass Company</t>
  </si>
  <si>
    <t>Walter R. Hibbard, Ellsworth T. Candee</t>
  </si>
  <si>
    <t>Fritz Kesselring, Friedrich Begrich</t>
  </si>
  <si>
    <t>Ferdinand K. Thun</t>
  </si>
  <si>
    <t>Google search: "hydraulic oil"</t>
    <phoneticPr fontId="22" type="noConversion"/>
  </si>
  <si>
    <t>Foreign firms: No</t>
    <phoneticPr fontId="22" type="noConversion"/>
  </si>
  <si>
    <t>License restrictions</t>
    <phoneticPr fontId="22" type="noConversion"/>
  </si>
  <si>
    <t>Johannes Wegener, Marcel Zühlke, Floris Koppelmann</t>
  </si>
  <si>
    <t>Othmar Grober</t>
  </si>
  <si>
    <t>Hans Vatter</t>
  </si>
  <si>
    <t>Günther Böttinger, Kurt Prange</t>
  </si>
  <si>
    <t>Friedrich Gieffers</t>
  </si>
  <si>
    <t>Carl N. Zellner, Joseph R. Stevens</t>
  </si>
  <si>
    <t>Randolph T. Major, Alphonse Walti</t>
  </si>
  <si>
    <t>Alphonse Walti</t>
  </si>
  <si>
    <t>William H. Engels</t>
  </si>
  <si>
    <t>John Weijlard, Joseph R. Stevens</t>
  </si>
  <si>
    <t>Research Corporation</t>
  </si>
  <si>
    <t>Gustave A. Stein</t>
  </si>
  <si>
    <t>John Weijlard, William H. Engels</t>
  </si>
  <si>
    <t>Everett S. Wallis, Erhard Fernholz</t>
  </si>
  <si>
    <t>John Weijlard, William H. Engels, Christian V. Holland</t>
  </si>
  <si>
    <t>Theodore Deering Perrine</t>
  </si>
  <si>
    <t>Karl Folkers</t>
  </si>
  <si>
    <t>William H. Engels, Joseph R. Stevens</t>
  </si>
  <si>
    <t>William H. Engels, John Weijlard, Remsen T. Schenck</t>
  </si>
  <si>
    <t>Erhard Fernholz</t>
  </si>
  <si>
    <t>Stanton A. Harris</t>
  </si>
  <si>
    <t>Carl N. Zellner</t>
  </si>
  <si>
    <t>Max Tishler, John W. Wellman</t>
  </si>
  <si>
    <t>Joseph R. Stevens, Gustav A. Stein</t>
  </si>
  <si>
    <t>Robert N. Apprich</t>
  </si>
  <si>
    <t>Gustav Gastrich</t>
    <phoneticPr fontId="22" type="noConversion"/>
  </si>
  <si>
    <t>Walter Fouquet</t>
  </si>
  <si>
    <t>Lothar Mirow</t>
  </si>
  <si>
    <t>Werner Espe</t>
  </si>
  <si>
    <t>Hans Kerschbaum, Werner Espe</t>
  </si>
  <si>
    <t>Christian F. Meyer, Melchior Zwicky</t>
  </si>
  <si>
    <t>Rudolph Anke</t>
  </si>
  <si>
    <t>Max Richter</t>
    <phoneticPr fontId="22" type="noConversion"/>
  </si>
  <si>
    <t>Gerhard Schroeder</t>
  </si>
  <si>
    <t>Wilhelm Chladek</t>
  </si>
  <si>
    <t>Karl Etzrodt</t>
  </si>
  <si>
    <t>Leo Brandenburger</t>
  </si>
  <si>
    <t>Curt Knappe, Alfred Siemens</t>
  </si>
  <si>
    <t>Paul Müller</t>
  </si>
  <si>
    <t>Emil Max Müller</t>
  </si>
  <si>
    <t>Max Schwaiger</t>
  </si>
  <si>
    <t>Hermann Kropp</t>
  </si>
  <si>
    <t>Wilhelm Leukert</t>
  </si>
  <si>
    <t>Max Bosch</t>
  </si>
  <si>
    <t>Hubert Dransfeld</t>
  </si>
  <si>
    <t>ENTRY AVAILABLE BUT NO DESCRIPTION AVAILABLE</t>
  </si>
  <si>
    <t>Fritz Kesselring</t>
  </si>
  <si>
    <t>Walter Hartel</t>
  </si>
  <si>
    <t>Martin Döring</t>
  </si>
  <si>
    <t>Ernst Siebert, Wilhelm Kafka</t>
  </si>
  <si>
    <t>Hans H. Willmann</t>
  </si>
  <si>
    <t>Hans Barthelt</t>
  </si>
  <si>
    <t>Otto Dalmer, Eugen Walter</t>
  </si>
  <si>
    <t>Otto Hromatka</t>
  </si>
  <si>
    <t>Patentverwertungs-Gesellschaft mbH "Hermes"</t>
  </si>
  <si>
    <t>Reinhold Reichmann</t>
  </si>
  <si>
    <t>Siegfried Franck, Georg Mohr</t>
  </si>
  <si>
    <t>Hans Kother</t>
  </si>
  <si>
    <t>Frank S. Coe</t>
  </si>
  <si>
    <t>Leslie F. Curtis, Frank S. Coe</t>
  </si>
  <si>
    <t>(O) 324778 - 2239650 (Di) 384483</t>
  </si>
  <si>
    <t>1930Wate</t>
  </si>
  <si>
    <t>Appendix A - Patents</t>
  </si>
  <si>
    <t>Andrew J. Dotterweich</t>
  </si>
  <si>
    <t>Wolfgang E. Schwarzmann, Frank S. Coe, Leon W. Rosenthal</t>
  </si>
  <si>
    <t>John F. Martin, Wolfgang E. Schwarzmann, Edward M. Bach</t>
  </si>
  <si>
    <t>Frank S. Coe, Robert H. Gibson</t>
  </si>
  <si>
    <t>Robert H. Gibson, William D. Crocker</t>
  </si>
  <si>
    <t>Theodore A. Erickson</t>
  </si>
  <si>
    <t>Ludvig P. Kongsted, William O. Henschke</t>
  </si>
  <si>
    <t>Carl H. Nystrom</t>
  </si>
  <si>
    <t>Deschamps Fuel Injection Corporation</t>
  </si>
  <si>
    <t>Charles E. Guertin</t>
  </si>
  <si>
    <t>Assignee (if not, inventor name)</t>
    <phoneticPr fontId="22" type="noConversion"/>
  </si>
  <si>
    <t>Frederick W. Ruehling, Herbert Erich Haehnel</t>
  </si>
  <si>
    <t>Kurt G. Esche</t>
  </si>
  <si>
    <t>Exhibit C - Subdivision 3</t>
  </si>
  <si>
    <t>1932Text</t>
    <phoneticPr fontId="22" type="noConversion"/>
  </si>
  <si>
    <t>Schedule A</t>
  </si>
  <si>
    <t>Berkshire Knitting Mills</t>
    <phoneticPr fontId="22" type="noConversion"/>
  </si>
  <si>
    <t>Hugo Hemmerich</t>
  </si>
  <si>
    <t>Patents listed in Schedule B of Final Judgment, RF:</t>
    <phoneticPr fontId="22" type="noConversion"/>
  </si>
  <si>
    <t>PoolID</t>
    <phoneticPr fontId="22" type="noConversion"/>
  </si>
  <si>
    <t>Re.19662 (2002888)</t>
    <phoneticPr fontId="22" type="noConversion"/>
  </si>
  <si>
    <t>Karl Tamele, Alois Schmitt</t>
  </si>
  <si>
    <t>Joseph Behringer</t>
  </si>
  <si>
    <t>Paul Düffing, Joseph Behringer</t>
  </si>
  <si>
    <t>Georg Hoppe</t>
  </si>
  <si>
    <t>Arno Pahl</t>
  </si>
  <si>
    <t>Paul Düffing, Franz Günther</t>
  </si>
  <si>
    <t>Walter Schilling</t>
  </si>
  <si>
    <t>Richard Ernst Schletter</t>
  </si>
  <si>
    <t>Josef-Johann Gutbrod, Kurt Matthies, Paul Scholz</t>
  </si>
  <si>
    <t>Google search: "variable condenser"</t>
    <phoneticPr fontId="22" type="noConversion"/>
  </si>
  <si>
    <t>Google search: "lecithin"</t>
    <phoneticPr fontId="22" type="noConversion"/>
  </si>
  <si>
    <t>Günther Scharowsky, Jürgen von Issendorff</t>
  </si>
  <si>
    <t>Kurt Schönfelder</t>
  </si>
  <si>
    <t>Josef Tittel</t>
  </si>
  <si>
    <t>Jürgen von Issendorff</t>
  </si>
  <si>
    <t>Johannes Falk</t>
  </si>
  <si>
    <t>Siegfried Brockhaus</t>
  </si>
  <si>
    <t>Ernst Schröder</t>
  </si>
  <si>
    <t>Hanns Läpple</t>
  </si>
  <si>
    <t>Max Steenbeck, Reinhold Wedel</t>
  </si>
  <si>
    <t>Paul Duffing</t>
  </si>
  <si>
    <t>Floris Koppelmann, Werner Kaufmann, Fritz Kesselring</t>
  </si>
  <si>
    <t>Emil Köttgen</t>
  </si>
  <si>
    <t>Hermann Philippi</t>
  </si>
  <si>
    <t>Wilhelm Fries</t>
  </si>
  <si>
    <t>Jürgen von Issendorff, Karl Maertens</t>
  </si>
  <si>
    <t>Richard Wilke</t>
  </si>
  <si>
    <t>D-136444</t>
  </si>
  <si>
    <t>Arthur S. Allen</t>
  </si>
  <si>
    <t>D-9472</t>
    <phoneticPr fontId="22" type="noConversion"/>
  </si>
  <si>
    <t>Textile Machine Works</t>
    <phoneticPr fontId="22" type="noConversion"/>
  </si>
  <si>
    <t>(O) 722245 - 2055458 (Di) 93566</t>
  </si>
  <si>
    <t>Hans Stockinger</t>
  </si>
  <si>
    <t>Alfred Loos</t>
  </si>
  <si>
    <t>Hans Adler</t>
  </si>
  <si>
    <t>Gustave J. Lang, Louis Beeh, John F. Martin</t>
  </si>
  <si>
    <t>John F. Martin, Hermann Waker</t>
  </si>
  <si>
    <t>Fritz Kesselring, Paul Düffing, Joseph Behringer</t>
  </si>
  <si>
    <t>Otto Eisenschmid</t>
  </si>
  <si>
    <t>Otto Müller</t>
  </si>
  <si>
    <t>(O) 452950 (Di) 485115</t>
  </si>
  <si>
    <t>John N. Good</t>
  </si>
  <si>
    <t>Arthur G. Larson, Cecil S. Kelley</t>
  </si>
  <si>
    <t>Content Does Not Match; Dates Do Not Match; Patent # Also Regresses; Probably an Error</t>
  </si>
  <si>
    <t>Julius E. Wild, Wolfgang E. Schwarzmann</t>
  </si>
  <si>
    <t>Carl F. Graesser</t>
  </si>
  <si>
    <t>Sidney Sussman</t>
  </si>
  <si>
    <t>Wesley E. Brittin</t>
  </si>
  <si>
    <t>Norman E. Brice</t>
  </si>
  <si>
    <t>John Gilbert Dean, Randall Helligman, Ray Riley</t>
  </si>
  <si>
    <t>Ray Riley, Frederick C. Nachod</t>
  </si>
  <si>
    <t>Willem Rudolfs, Harry W. Gehm</t>
  </si>
  <si>
    <t>John C. Keresztesy, Joseph R. Stevens</t>
  </si>
  <si>
    <t>Kurt O. Waechtler, Herbert M. Suess</t>
  </si>
  <si>
    <t>Paul Schmidt</t>
  </si>
  <si>
    <t>Samuel Edward Kalbach</t>
  </si>
  <si>
    <t>Emil Richter, Paul Schmidt</t>
  </si>
  <si>
    <t>Patents listed in Exhibit C of Final Judgment (royalty-free licensing):</t>
    <phoneticPr fontId="22" type="noConversion"/>
  </si>
  <si>
    <t>Exhibit D - Subdivision 1</t>
  </si>
  <si>
    <t>Otto Dalmer, Claus Diehl</t>
  </si>
  <si>
    <t>Henry Janssen</t>
    <phoneticPr fontId="22" type="noConversion"/>
  </si>
  <si>
    <t>Judson A. Cook</t>
  </si>
  <si>
    <t>Adolf Bay, Paul Schmidt</t>
  </si>
  <si>
    <t>Norman E. Richards</t>
  </si>
  <si>
    <t>Edward R. Ammon</t>
  </si>
  <si>
    <t>Ludwig Filberich, Otto Schiele, Karl Seethaler</t>
  </si>
  <si>
    <t>Patents listed in Exhibit A of final judgment, DP:</t>
    <phoneticPr fontId="22" type="noConversion"/>
  </si>
  <si>
    <t>Rudolf Brey</t>
  </si>
  <si>
    <t>Richard Schnarz</t>
  </si>
  <si>
    <t>Theodor Deeg</t>
  </si>
  <si>
    <t>Heinrich Schewe</t>
  </si>
  <si>
    <t>Oskar Schmutz, Otto Werner</t>
  </si>
  <si>
    <t>Robert Stix</t>
  </si>
  <si>
    <t>Carl Theodor Buff</t>
  </si>
  <si>
    <t>Karl Stuckardt, Reinhold Reichmann</t>
  </si>
  <si>
    <t>Martin Göttler</t>
  </si>
  <si>
    <t>Otto Dalmer, Hermann Wieters</t>
  </si>
  <si>
    <t>Otto Dalmer, John Niemann</t>
  </si>
  <si>
    <t>Willy Heinrich Küssner</t>
  </si>
  <si>
    <t>Carl Kühnel</t>
  </si>
  <si>
    <t>Gottfried Stolberg</t>
  </si>
  <si>
    <t>Otto Wolfes, Otto Hromatka</t>
  </si>
  <si>
    <t>Arno Belz</t>
  </si>
  <si>
    <t>Fritz Geise</t>
  </si>
  <si>
    <t>Wolfgang Steinbauer, Hans Kother, Paul Müller</t>
  </si>
  <si>
    <t>Bernhard Rapp, Friedrich K. Russow</t>
  </si>
  <si>
    <t>(O) 181150 (Di) 308998</t>
  </si>
  <si>
    <t>Erwin Kübler</t>
  </si>
  <si>
    <t>Karl Seethaler</t>
  </si>
  <si>
    <t>(O) 101429 (Di) 101430</t>
  </si>
  <si>
    <t>Franz Erich Eidmann</t>
  </si>
  <si>
    <t>Otto Dalmer, Kurt Heyns</t>
  </si>
  <si>
    <t>Otto Zima</t>
  </si>
  <si>
    <t>Fritz von Werder</t>
  </si>
  <si>
    <t>Fritz Jung</t>
  </si>
  <si>
    <t>Oskar Schmutz</t>
  </si>
  <si>
    <t>Carl Vogel</t>
  </si>
  <si>
    <t>Klaus Freudenhammer</t>
  </si>
  <si>
    <t>Rbert H. Gibson, William D. Crocker</t>
  </si>
  <si>
    <t>These patents are listed in Schedule A of the Final Judgment, reasonable royalties:</t>
    <phoneticPr fontId="22" type="noConversion"/>
  </si>
  <si>
    <t>Paul E. Hochstetter</t>
  </si>
  <si>
    <t>John F. Martin, William D. Crocker</t>
  </si>
  <si>
    <t>Filed in country</t>
    <phoneticPr fontId="22" type="noConversion"/>
  </si>
  <si>
    <t>Filing date</t>
    <phoneticPr fontId="22" type="noConversion"/>
  </si>
  <si>
    <t>General Water Treatment Corporation</t>
  </si>
  <si>
    <t>The Permutit Company</t>
  </si>
  <si>
    <t>Eugene Staegemann</t>
  </si>
  <si>
    <t>Samuel B. Applebaum</t>
  </si>
  <si>
    <t>The Duro Company</t>
  </si>
  <si>
    <t>Arthur C. Zimmerman</t>
  </si>
  <si>
    <t>Thomas B. Clark</t>
  </si>
  <si>
    <t>Eric Pick</t>
  </si>
  <si>
    <t>Orland R. Sweeney, Thomas B. Clark</t>
  </si>
  <si>
    <t>Edward T. Turner</t>
  </si>
  <si>
    <t>Walter J. Hughes</t>
  </si>
  <si>
    <t>Charles H. Spaulding</t>
  </si>
  <si>
    <t>Alexander Campbell Inch</t>
  </si>
  <si>
    <t>Filed in country</t>
    <phoneticPr fontId="22" type="noConversion"/>
  </si>
  <si>
    <t>Filing date</t>
    <phoneticPr fontId="22" type="noConversion"/>
  </si>
  <si>
    <t>Patent</t>
    <phoneticPr fontId="22" type="noConversion"/>
  </si>
  <si>
    <t>Type of Compulsory Licensing</t>
    <phoneticPr fontId="22" type="noConversion"/>
  </si>
  <si>
    <t>RF</t>
    <phoneticPr fontId="22" type="noConversion"/>
  </si>
  <si>
    <t>Alvah O. Ericksberg</t>
  </si>
  <si>
    <t>Joseph T. Osterman, Alvah O. Ericksberg</t>
  </si>
  <si>
    <t>Desire J. Deschamps, Douglas C. Clarke, Frank E. Ferguson</t>
  </si>
  <si>
    <t>Richard W. Lamphere</t>
  </si>
  <si>
    <t>Chipman Knitting Mills</t>
    <phoneticPr fontId="22" type="noConversion"/>
  </si>
  <si>
    <t>Benjamin Haytock, Jr.</t>
  </si>
  <si>
    <t>Re.19843 (1941296)</t>
    <phoneticPr fontId="22" type="noConversion"/>
  </si>
  <si>
    <t>Re.19662(2002888)</t>
    <phoneticPr fontId="22" type="noConversion"/>
  </si>
  <si>
    <t>Günther Böttinger</t>
  </si>
  <si>
    <t>Hermann Harz, Volkmar Türck</t>
  </si>
  <si>
    <t>Patents listed in Schedule C of Final Judgment, RR:</t>
    <phoneticPr fontId="22" type="noConversion"/>
  </si>
  <si>
    <t>1932Text</t>
    <phoneticPr fontId="22" type="noConversion"/>
  </si>
  <si>
    <t>RR</t>
    <phoneticPr fontId="22" type="noConversion"/>
  </si>
  <si>
    <t>Friedrich Geise</t>
  </si>
  <si>
    <t>Karl Töfflinger</t>
  </si>
  <si>
    <t>Marcel Zühlke</t>
  </si>
  <si>
    <t>Westinghouse Electric &amp; Manufacturing Company</t>
  </si>
  <si>
    <t>Hans Klemperer</t>
  </si>
  <si>
    <t>Germany 8/23/1933</t>
  </si>
  <si>
    <t>Randolph T. Major, William L. Ruigh</t>
  </si>
  <si>
    <t>Merck &amp; Co.</t>
  </si>
  <si>
    <t>Thomas Haegland</t>
  </si>
  <si>
    <t>John Weijlard</t>
  </si>
  <si>
    <t>William H. Engels, Harold J. Becker</t>
  </si>
  <si>
    <t>Joseph Stolz, Josef Hanke, Gottlob Lux, Richard Logstädt</t>
  </si>
  <si>
    <t>Kurt Wulsten</t>
  </si>
  <si>
    <t>Randolph T. Major, Howard T. Bonnett</t>
  </si>
  <si>
    <t>Otto Werner</t>
  </si>
  <si>
    <t>Erwin Janetschke</t>
  </si>
  <si>
    <t>William E. Sheeler</t>
  </si>
  <si>
    <t>D-101819</t>
  </si>
  <si>
    <t>Henry D. Miller</t>
  </si>
  <si>
    <t>D-118074</t>
  </si>
  <si>
    <t>Randolph T. Major, Elmer W. Cook</t>
  </si>
  <si>
    <t>Joseph R. Stevens</t>
  </si>
  <si>
    <t>Robert H. Gibson</t>
  </si>
  <si>
    <t>Louis Beeh, Wolfgang E. Schwarzmann</t>
  </si>
  <si>
    <t>Wesley R. McCurdy, John W. Boyle</t>
  </si>
  <si>
    <t>Gottlob Bitzer</t>
  </si>
  <si>
    <t>United American Bosch Corporations</t>
  </si>
  <si>
    <t>Hermann Waker</t>
  </si>
  <si>
    <t>George L. Cotter</t>
  </si>
  <si>
    <t>Burton S. Aikman</t>
  </si>
  <si>
    <t>William H. Glass</t>
  </si>
  <si>
    <t>(O) 463892 (Di) 504702</t>
  </si>
  <si>
    <t>Leslie F. Curtis, William F. Cotter, Leonard E. Eastman</t>
  </si>
  <si>
    <t>William F. Cotter, Ludvig P. Kongsted</t>
  </si>
  <si>
    <t>Cecil S. Kelley</t>
  </si>
  <si>
    <t>Clyde C. Farmer</t>
  </si>
  <si>
    <t>Joseph C. McCune</t>
  </si>
  <si>
    <t>Carlton D. Stewart, Howard R. Hughes</t>
  </si>
  <si>
    <t>Pierre L. Lobez, Stephen Vorech</t>
  </si>
  <si>
    <t>Roy R. Stevens</t>
  </si>
  <si>
    <t>(O) 485114 (Di) 523656</t>
  </si>
  <si>
    <t>Harry C. May</t>
  </si>
  <si>
    <t>Ellis E. Hewitt</t>
  </si>
  <si>
    <t>(O) 463915 (Di) 580258</t>
  </si>
  <si>
    <t>(O) 452950 (Di) 512007</t>
  </si>
  <si>
    <t>(O) 463792 - 2383278(Di) 504701</t>
  </si>
  <si>
    <t>(O) 500630 (Di) 544584</t>
  </si>
  <si>
    <t>Arthur G. Larson</t>
  </si>
  <si>
    <t>Ellis E. Hewitt, Robert E. Watson</t>
  </si>
  <si>
    <t>(O) 533145 (Di) 589640</t>
  </si>
  <si>
    <t>(O) 528691 (Di)  580223</t>
  </si>
  <si>
    <t>(O) 448167 (Di) 492987</t>
  </si>
  <si>
    <t>Thomas J. Webb</t>
  </si>
  <si>
    <t>Max Tishler</t>
  </si>
  <si>
    <t>Eric T. Stiller</t>
  </si>
  <si>
    <t>Max Tishler, Norman L. Wendler</t>
  </si>
  <si>
    <t>Ethan E. Lauer</t>
  </si>
  <si>
    <t>William Geroge Prescott, Ewart Ingham Akeroyd, Eric Leighton Holmes</t>
  </si>
  <si>
    <t>Great Britain 11/12/1943</t>
  </si>
  <si>
    <t>Charles S. Salvesen</t>
  </si>
  <si>
    <t>Des.159225</t>
  </si>
  <si>
    <t>Arnold D. Way</t>
  </si>
  <si>
    <t>Otto von Keussler, Daniel Peters</t>
  </si>
  <si>
    <t>Otto Wolfes</t>
  </si>
  <si>
    <t>Gustave J. Lang, John F. Martin</t>
  </si>
  <si>
    <t>United American</t>
  </si>
  <si>
    <t>Samuel Edward Kalbach, Max Poeschmann</t>
  </si>
  <si>
    <t>Wilhelm Kafka, Walter Meenen</t>
  </si>
  <si>
    <t>Karl Waimann</t>
  </si>
  <si>
    <t>Year out of conventional bounds; Topic - Campbed; An Error?</t>
  </si>
  <si>
    <t>Max Richter, Julius Bareiss</t>
  </si>
  <si>
    <t>Henry W. Sherman</t>
  </si>
  <si>
    <t>Max Poeschmann</t>
  </si>
  <si>
    <t>Erich Friedländer, Oskar Schmutz</t>
  </si>
  <si>
    <t>Percy S. Curry</t>
  </si>
  <si>
    <t>Charles G. Newton</t>
  </si>
  <si>
    <t>Gustav J. Lang, John F. Martin, William D. Crocker</t>
  </si>
  <si>
    <t>Marion E. Bond</t>
  </si>
  <si>
    <t>Karl Pohlhausen</t>
  </si>
  <si>
    <t>Edmond Peter Garvey</t>
  </si>
  <si>
    <t>Chester L. Walker, Daniel R. Moatz, William Russell Allen III</t>
  </si>
  <si>
    <t>Otto Dalmer, Fritz von Werder</t>
  </si>
  <si>
    <t>Otto Dalmer, Claus Diehl, Hartmann Pieper</t>
  </si>
  <si>
    <t>(O) 731464 (Di) 96969</t>
  </si>
  <si>
    <t>(O) 744168 - 2094000 (Di) 128160</t>
  </si>
  <si>
    <t>(O) 734510 (Di) 101410</t>
  </si>
  <si>
    <t>Otto Dalmer, Claus Diehl, Eugen Walter</t>
  </si>
  <si>
    <t>(O) 101430 (Di) 101429</t>
  </si>
  <si>
    <t>Leonard E. Eastman, Clarence B. Knudson</t>
  </si>
  <si>
    <t>Lawrence W. Lindberg</t>
  </si>
  <si>
    <t>William Russell Allen, III</t>
  </si>
  <si>
    <t>American Bosch Corporation</t>
  </si>
  <si>
    <t>Walter John, Otto Dalmer</t>
  </si>
  <si>
    <t>Type of Compulsory Licensing</t>
    <phoneticPr fontId="22" type="noConversion"/>
  </si>
  <si>
    <t>RF</t>
    <phoneticPr fontId="22" type="noConversion"/>
  </si>
  <si>
    <t>RF</t>
    <phoneticPr fontId="22" type="noConversion"/>
  </si>
  <si>
    <t>William D. Crocker</t>
  </si>
  <si>
    <t>X</t>
    <phoneticPr fontId="22" type="noConversion"/>
  </si>
  <si>
    <t>Assignee (if not, inventor name)</t>
    <phoneticPr fontId="22" type="noConversion"/>
  </si>
  <si>
    <t>Type of Compulsory Licensing</t>
    <phoneticPr fontId="22" type="noConversion"/>
  </si>
  <si>
    <t>Gustave J. Lang, John F. Martin, William D. Crocker</t>
  </si>
  <si>
    <t>RR</t>
    <phoneticPr fontId="22" type="noConversion"/>
  </si>
  <si>
    <t>RF</t>
    <phoneticPr fontId="22" type="noConversion"/>
  </si>
  <si>
    <t>Leslie F. Curtis, Paul B. Scharf</t>
  </si>
  <si>
    <t>John G. Dean</t>
  </si>
  <si>
    <t>The defendant Schering Corporation has combined and conspired with Schering of Berlin to restrain trade and commerce in hormones and hormone products by entering into four agreements as of January 1, 1938, with  Schering of Berlin….defendant Roche-Organon has combined and conspired to restrain trade and commerce in hormones and hormone products by entering into an agreement as of January 1938 with N. V. Organon.</t>
    <phoneticPr fontId="22" type="noConversion"/>
  </si>
  <si>
    <t>Compulsory licensing: None</t>
    <phoneticPr fontId="22" type="noConversion"/>
  </si>
  <si>
    <t>Schering Corporation</t>
  </si>
  <si>
    <t>Schering Corporation</t>
    <phoneticPr fontId="22" type="noConversion"/>
  </si>
  <si>
    <t>Schering of Berlin</t>
    <phoneticPr fontId="22" type="noConversion"/>
  </si>
  <si>
    <t>Roche-Organon</t>
  </si>
  <si>
    <t>Roche-Organon</t>
    <phoneticPr fontId="22" type="noConversion"/>
  </si>
  <si>
    <t>Karl P. McElroy</t>
  </si>
  <si>
    <t>Howard L. Tiger</t>
  </si>
  <si>
    <t>William D. Crocker, Frank S. Coe</t>
  </si>
  <si>
    <t>Conrad A. Teichert</t>
  </si>
  <si>
    <t>William O. Henschke</t>
  </si>
  <si>
    <t>Oscar L. Bachman</t>
  </si>
  <si>
    <t>(O) 557710 (Di) 611788</t>
  </si>
  <si>
    <t>Ray Riley, William McAfee Bruce</t>
  </si>
  <si>
    <t>Herbert L. Bowers, Ray Riley</t>
  </si>
  <si>
    <t>Edward P. Schinman</t>
  </si>
  <si>
    <t>Ray Riley</t>
  </si>
  <si>
    <t>Paul C. Goetz</t>
  </si>
  <si>
    <t>William McAfee Bruce, Ray Riley</t>
  </si>
  <si>
    <t>Wolfgang E. Schwarzmann, Edward M. Bach</t>
  </si>
  <si>
    <t>Joseph T. Osterman</t>
  </si>
  <si>
    <t>See Packet for Ownership Details</t>
  </si>
  <si>
    <t>Re.21436 (2142168)</t>
    <phoneticPr fontId="22" type="noConversion"/>
  </si>
  <si>
    <t>Re.22362 (2265769)</t>
    <phoneticPr fontId="22" type="noConversion"/>
  </si>
  <si>
    <t>(A) 322643 (Co) 703318</t>
  </si>
  <si>
    <t>William Donald Eaches</t>
  </si>
  <si>
    <t>Joseph D. Marks</t>
  </si>
  <si>
    <t>Wolfgang E. Meyer</t>
  </si>
  <si>
    <t>Richard W. Lamphere, Joseph T. Osterman</t>
  </si>
  <si>
    <t>Gregor L. Lang</t>
  </si>
  <si>
    <t>Heraclio Alfaro</t>
  </si>
  <si>
    <t>1934Elec</t>
    <phoneticPr fontId="43" type="noConversion"/>
  </si>
  <si>
    <t>X</t>
    <phoneticPr fontId="22" type="noConversion"/>
  </si>
  <si>
    <t>Exhibit C - Subdivision 1</t>
  </si>
  <si>
    <t>Gustave J. Lang</t>
  </si>
  <si>
    <t>Ludvig P. Kongsted</t>
  </si>
  <si>
    <t>S. Smith &amp; Sons</t>
    <phoneticPr fontId="22" type="noConversion"/>
  </si>
  <si>
    <t>Carl R. Addinall, Randolph T. Major</t>
  </si>
  <si>
    <t>Merck &amp; Co.</t>
    <phoneticPr fontId="22" type="noConversion"/>
  </si>
  <si>
    <t>William F. Cotter</t>
  </si>
  <si>
    <t>Ludwig Vollmar</t>
  </si>
  <si>
    <t>Leonard E. Eastman</t>
  </si>
  <si>
    <t>Leo Kresser</t>
  </si>
  <si>
    <t>William H. Engels, John Weijlard</t>
  </si>
  <si>
    <t>Georg Roeder</t>
  </si>
  <si>
    <t>Randolph T. Major, Albert B. Boese</t>
  </si>
  <si>
    <t>Everett S. Wallis, Willis A. Yarnall</t>
  </si>
  <si>
    <t>Stanley Ward Burnham</t>
  </si>
  <si>
    <t>Randolph T. Major</t>
  </si>
  <si>
    <t>predates "pool"</t>
    <phoneticPr fontId="22" type="noConversion"/>
  </si>
  <si>
    <t>Number of licensees: 0</t>
    <phoneticPr fontId="22" type="noConversion"/>
  </si>
  <si>
    <r>
      <t>Pool members (added patents)</t>
    </r>
    <r>
      <rPr>
        <sz val="10"/>
        <rFont val="Verdana"/>
      </rPr>
      <t>:</t>
    </r>
    <phoneticPr fontId="22" type="noConversion"/>
  </si>
  <si>
    <t>Assignee (if not, inventor name)</t>
    <phoneticPr fontId="22" type="noConversion"/>
  </si>
  <si>
    <t>Vaughan (p. 157): "Certain hormones, manufactured synthetically within recent years and used to counteract shock from wounds and burns, have been produced and sold according to cartel agreements.  According to a government complaint of 1941, four domestic companies conspired with two European corporations to prevent others from manufacturing hormones in the United States or importing them, to allocate among themselves various countries as markets, and to maintain arbitrary prices by withholding patent rights from competitors and by having restrictions in license agreements.  A consent decree of the same date forbade the carrying out of these illegal practices."</t>
    <phoneticPr fontId="22" type="noConversion"/>
  </si>
  <si>
    <t>Claude M. Hines</t>
  </si>
  <si>
    <t>(O) 521798 (Di) 570103</t>
  </si>
  <si>
    <t>Harry C. May, East McKeesport, Roy R. Stevens</t>
  </si>
  <si>
    <t>Paul C. Goetz, Howard L. Tiger</t>
  </si>
  <si>
    <t>Calvin Calmon</t>
  </si>
  <si>
    <t>Eric Pick, Joseph J. Carlson</t>
  </si>
  <si>
    <t>Richard J. Lukeman</t>
  </si>
  <si>
    <t>Frederick C. Nachod, William Wood</t>
  </si>
  <si>
    <t>Ellis E. Hewitt, Arthur G. Larson</t>
  </si>
  <si>
    <t>Raymond E. Miller</t>
  </si>
  <si>
    <t>Harry M. Linhart</t>
  </si>
  <si>
    <t>Patent</t>
    <phoneticPr fontId="22" type="noConversion"/>
  </si>
  <si>
    <t>Patent expires 1965/8/30</t>
  </si>
  <si>
    <t>Bernard Abel Sard</t>
  </si>
  <si>
    <t>Eric Leighton Holmes, Lucie Evelyn Holmes</t>
  </si>
  <si>
    <t>United American B</t>
  </si>
  <si>
    <t>Appendix A - Patent Applications</t>
  </si>
  <si>
    <t>Roland Thomas Pemberton, Eric Leighton Holmes</t>
  </si>
  <si>
    <t>5-6-1878</t>
  </si>
  <si>
    <t>Wilhelm Kafka</t>
  </si>
  <si>
    <t>Heinrich Kann</t>
  </si>
  <si>
    <t>Rudolf Voigt</t>
  </si>
  <si>
    <t>(RN) 1934/4/28</t>
  </si>
  <si>
    <t>Arthur T. Murray</t>
  </si>
  <si>
    <t>Ben G. Parsons</t>
  </si>
  <si>
    <t>John F. Martin, Ludvig P. Kongsted</t>
  </si>
  <si>
    <t>Julius E. Wild, Hans Hogeman</t>
  </si>
  <si>
    <t>Carl August Mayer</t>
  </si>
  <si>
    <t>Louis Beeh, John F. Martin</t>
  </si>
  <si>
    <t>Melchior Zwicky, Rudolf Anke</t>
  </si>
  <si>
    <t>Lothar Gerb</t>
  </si>
  <si>
    <t>Canada</t>
  </si>
  <si>
    <t>Berkshire Knitting Mills</t>
  </si>
  <si>
    <t>(sixth conspiracy, "Bosch Agreements")</t>
    <phoneticPr fontId="22" type="noConversion"/>
  </si>
  <si>
    <t>1931Fuel</t>
  </si>
  <si>
    <t>Exhibit A</t>
  </si>
  <si>
    <t>American Bosch Magneto Corporation</t>
    <phoneticPr fontId="38" type="noConversion"/>
  </si>
  <si>
    <t>Patents listed in Appendix A of Final Judgment, RR:</t>
    <phoneticPr fontId="22" type="noConversion"/>
  </si>
  <si>
    <t>Patents listed in Exhibit A of final judgment, RR:</t>
    <phoneticPr fontId="22" type="noConversion"/>
  </si>
  <si>
    <t>RR</t>
    <phoneticPr fontId="22" type="noConversion"/>
  </si>
  <si>
    <t>Frank B. Thomas</t>
  </si>
  <si>
    <t>Sidney G. Down</t>
  </si>
  <si>
    <t>William M. Cady</t>
  </si>
  <si>
    <t>Harry J. Winter</t>
  </si>
  <si>
    <t>Patrick H. Donovan</t>
  </si>
  <si>
    <t>Carlton D. Stewart</t>
  </si>
  <si>
    <t>United American Bosch Corporation</t>
  </si>
  <si>
    <t>John F. Martin</t>
  </si>
  <si>
    <t>Ken L. Henderson</t>
  </si>
  <si>
    <t>James M. Montgomery, William W. Aultman</t>
  </si>
  <si>
    <t>Great Britain</t>
  </si>
  <si>
    <t>Samuel L. Williams</t>
  </si>
  <si>
    <t>Eugene L. Beecher</t>
  </si>
  <si>
    <t>Andrew C. Mathieson</t>
  </si>
  <si>
    <t>William H. Engels, Gustav A. Stein</t>
  </si>
  <si>
    <t>Wolfgang E. Schwarzmann</t>
  </si>
  <si>
    <t>Louis Beeh</t>
  </si>
  <si>
    <t>Benedict V. K. French, Monte Cohen</t>
  </si>
  <si>
    <t>Societe Anonyme Solex (French firm)</t>
    <phoneticPr fontId="22" type="noConversion"/>
  </si>
  <si>
    <t>Tokyo Keiki Seisakusho</t>
    <phoneticPr fontId="22" type="noConversion"/>
  </si>
  <si>
    <t>James M. Montgomery, Eric Pick</t>
  </si>
  <si>
    <t>Norman E. Brice, Charles M. Guldner</t>
  </si>
  <si>
    <t>Charles M. Guldner, Eric Pick</t>
  </si>
  <si>
    <t>Patent expires 1966/10/29</t>
  </si>
  <si>
    <t>Nils Berglund</t>
  </si>
  <si>
    <t>Samuel W. Waisbrot</t>
  </si>
  <si>
    <t>Jesse Baar Davis, Eric Pick</t>
  </si>
  <si>
    <t>Start year: 1937</t>
    <phoneticPr fontId="22" type="noConversion"/>
  </si>
  <si>
    <t>End year: 1941 (consent decree)</t>
    <phoneticPr fontId="22" type="noConversion"/>
  </si>
  <si>
    <t>There were other "causes of action" (seven in total).</t>
    <phoneticPr fontId="22" type="noConversion"/>
  </si>
  <si>
    <t>Harry C. May, East McKeesport</t>
  </si>
  <si>
    <t>Ralph T. Whitney</t>
  </si>
  <si>
    <t>Universal Oil Products Company</t>
  </si>
  <si>
    <t>Robert J. Newman</t>
  </si>
  <si>
    <t>Harry C. May, Roy R. Stevens</t>
  </si>
  <si>
    <t>(O) 541218 - 2454509 (Di) 541218</t>
  </si>
  <si>
    <t>Firms: Southern States Equipment Corporation, and the Line Material Company</t>
    <phoneticPr fontId="22" type="noConversion"/>
  </si>
  <si>
    <t>Compulsory licensing: RR</t>
    <phoneticPr fontId="22" type="noConversion"/>
  </si>
  <si>
    <t>(fourth conspiracy, "Zenith Agreement")</t>
    <phoneticPr fontId="22" type="noConversion"/>
  </si>
  <si>
    <t>William F. Cotter, Marion E. Bond</t>
  </si>
  <si>
    <t>Leslie F. Curtis</t>
  </si>
  <si>
    <t>Norman Cooperson, Albert W. Kingsbury</t>
  </si>
  <si>
    <t>Durando Miller</t>
  </si>
  <si>
    <t>Theodore Roger Ernest Kressman</t>
  </si>
  <si>
    <t>William Wood</t>
  </si>
  <si>
    <t>assignor of one-half to P. De C. Ball</t>
  </si>
  <si>
    <t>Desire J. Deschamps</t>
  </si>
  <si>
    <t>Nicholas Raskhodoff</t>
  </si>
  <si>
    <t>Leslie F. Curtis, Kenneth L. Henderson</t>
  </si>
  <si>
    <t>Otto Liebknecht, Herbert Corte</t>
  </si>
  <si>
    <t>Otto Liebknecht, Lothar Gerb</t>
  </si>
  <si>
    <t>(fifth conspiracy, "Smith Agreements")</t>
    <phoneticPr fontId="22" type="noConversion"/>
  </si>
  <si>
    <t>Martin E. Gilwood</t>
  </si>
  <si>
    <t>Proposed Applications - does not have US patent serial number</t>
  </si>
  <si>
    <t>Patents listed in Appendix B of Final Judgment, RF:</t>
    <phoneticPr fontId="22" type="noConversion"/>
  </si>
  <si>
    <t>Robert Bosch G.m.b.H.</t>
    <phoneticPr fontId="22" type="noConversion"/>
  </si>
  <si>
    <t>Societe Anonyme Air-Equipment</t>
    <phoneticPr fontId="22" type="noConversion"/>
  </si>
  <si>
    <t>Societa Anonima Carburatore Zenith (Italian firm)</t>
    <phoneticPr fontId="22" type="noConversion"/>
  </si>
  <si>
    <t>Societe Generale des Carburateurs (Swiss firm)</t>
    <phoneticPr fontId="22" type="noConversion"/>
  </si>
  <si>
    <t>Zenith Carbureter Company (UK firm)</t>
    <phoneticPr fontId="22" type="noConversion"/>
  </si>
  <si>
    <t>Mitsui Bussan Kaishi</t>
    <phoneticPr fontId="22" type="noConversion"/>
  </si>
  <si>
    <t>Siemens A.M.</t>
    <phoneticPr fontId="22" type="noConversion"/>
  </si>
  <si>
    <t>Compulsory licensing: RF</t>
    <phoneticPr fontId="22" type="noConversion"/>
  </si>
  <si>
    <t>Patent holding company: No</t>
    <phoneticPr fontId="22" type="noConversion"/>
  </si>
  <si>
    <t>Filing date</t>
  </si>
  <si>
    <t>Comment</t>
  </si>
  <si>
    <t>1924Brak</t>
  </si>
  <si>
    <t>Theodore R. E. Kressman</t>
  </si>
  <si>
    <t>(seventh conspiracy, "Lucas," "Rotax," and "Northern" Agreements)</t>
    <phoneticPr fontId="22" type="noConversion"/>
  </si>
  <si>
    <t>Southern States Equipment Corporation</t>
    <phoneticPr fontId="22" type="noConversion"/>
  </si>
  <si>
    <t>X</t>
    <phoneticPr fontId="22" type="noConversion"/>
  </si>
  <si>
    <t>N. V. Organon (Dutch firm)</t>
  </si>
  <si>
    <t>Schering A.G. (German firm)</t>
    <phoneticPr fontId="22" type="noConversion"/>
  </si>
  <si>
    <t>Maybe not pool - have requested the complaint from Chicago Archives</t>
    <phoneticPr fontId="22" type="noConversion"/>
  </si>
  <si>
    <t>No compulsory licensing</t>
    <phoneticPr fontId="22" type="noConversion"/>
  </si>
  <si>
    <t>Number of licensees: 10</t>
    <phoneticPr fontId="22" type="noConversion"/>
  </si>
  <si>
    <t>Foreign firms: No</t>
    <phoneticPr fontId="22" type="noConversion"/>
  </si>
  <si>
    <t>Start year: 1938</t>
    <phoneticPr fontId="22" type="noConversion"/>
  </si>
  <si>
    <t>End year: 1948 (final judgment)</t>
    <phoneticPr fontId="22" type="noConversion"/>
  </si>
  <si>
    <t>Southern States Equipment Corporation</t>
    <phoneticPr fontId="22" type="noConversion"/>
  </si>
  <si>
    <t>N. V. Organon</t>
    <phoneticPr fontId="22" type="noConversion"/>
  </si>
  <si>
    <t>Ciba Pharmaceutical Products</t>
  </si>
  <si>
    <t>Firms: Schering Corporation, Roche-Organon, Ciba Pharmaceutical Products, Rare Chemicals, Schering A.G. (German firm), and N. V. Organon (Dutch firm).</t>
  </si>
  <si>
    <t>Rare Chemicals</t>
  </si>
  <si>
    <t>Herbert L. Bowers</t>
  </si>
  <si>
    <t>Howard L. Tiger, Paul C. Goetz</t>
  </si>
  <si>
    <t>Francis Norwood Bard</t>
  </si>
  <si>
    <t>William McAfee Bruce</t>
  </si>
  <si>
    <t>George A. Lewis</t>
  </si>
  <si>
    <t>Eugene Staegemann, deceased, by Jessie L. Staegemann</t>
  </si>
  <si>
    <t>Frank S. Coe</t>
    <phoneticPr fontId="38" type="noConversion"/>
  </si>
  <si>
    <t>Gustave J. Lang, John F. Martin</t>
    <phoneticPr fontId="38" type="noConversion"/>
  </si>
  <si>
    <t>N.V. Octroolen-Maatschappij "Activit"</t>
  </si>
  <si>
    <t>Pieter Smit</t>
  </si>
  <si>
    <t>Netherlands</t>
  </si>
  <si>
    <t>Eric Leighton Holmes</t>
  </si>
  <si>
    <t>James M. Montgomery</t>
  </si>
  <si>
    <t>Gustave J. Lang, Joseph F. Drennan, Barthold E. Schlesinger</t>
    <phoneticPr fontId="38" type="noConversion"/>
  </si>
  <si>
    <t>Alfred E. Ischinger</t>
  </si>
  <si>
    <t>Hans Westkott</t>
  </si>
  <si>
    <t>Gustav Gastrich</t>
  </si>
  <si>
    <t>Arthur T. Murray, John F. Martin</t>
    <phoneticPr fontId="38" type="noConversion"/>
  </si>
  <si>
    <t>Carl A. Mayer</t>
    <phoneticPr fontId="38" type="noConversion"/>
  </si>
  <si>
    <t>John Frederick Martin</t>
    <phoneticPr fontId="38" type="noConversion"/>
  </si>
  <si>
    <t>Leslie F. Curtis, Frank S. Coe</t>
    <phoneticPr fontId="38" type="noConversion"/>
  </si>
  <si>
    <t>Wolfgang E. Schwarzman</t>
    <phoneticPr fontId="38" type="noConversion"/>
  </si>
  <si>
    <r>
      <t>Old notes</t>
    </r>
    <r>
      <rPr>
        <sz val="10"/>
        <rFont val="Verdana"/>
      </rPr>
      <t>:</t>
    </r>
    <phoneticPr fontId="22" type="noConversion"/>
  </si>
  <si>
    <t>RR</t>
    <phoneticPr fontId="22" type="noConversion"/>
  </si>
  <si>
    <t>Line Material Company</t>
    <phoneticPr fontId="22" type="noConversion"/>
  </si>
  <si>
    <t>On or about December 17, 1936, Bendix and co-conspirator Siemens A.M. entered into a written agreement.  Under the terms of the agreement, Bendix was given the exclusive right to manufacture and sell certain enumerated aircraft instruments in the United States and Canada, and Siemens A.M. was given the exclusive right to manufacture and sell the enumerated instruments in the German Reich and in certain territories (p. 8-9).</t>
    <phoneticPr fontId="22" type="noConversion"/>
  </si>
  <si>
    <t>Vaughan (pp. 163-64): "According to a government complaint of 1945, Westinghouse Electric and two "Siemens" companies of Germany divided markets for electric generators, transformers, motors, and appliances, and exchanged exclusively among themselves both rights and know-how under their present and future patents.  A consent decree of 1953 required Westinghouse to dedicate approximately 250 United States patents acquired from the German companies and enjoined any future restrictive agreements between these companies."</t>
    <phoneticPr fontId="22" type="noConversion"/>
  </si>
  <si>
    <t>Westinhouse Electric &amp; Manufacting Company</t>
    <phoneticPr fontId="22" type="noConversion"/>
  </si>
  <si>
    <t>Foreign firms: Yes</t>
    <phoneticPr fontId="22" type="noConversion"/>
  </si>
  <si>
    <t>End year: 1946 (consent decree)</t>
    <phoneticPr fontId="22" type="noConversion"/>
  </si>
  <si>
    <t>Start year: 1936</t>
    <phoneticPr fontId="22" type="noConversion"/>
  </si>
  <si>
    <t>Application Date II</t>
  </si>
  <si>
    <t>Assignee (if not, inventor name)</t>
  </si>
  <si>
    <t>Inventor Name</t>
  </si>
  <si>
    <t>Filed in country</t>
  </si>
  <si>
    <t>Ernest A. Hansen</t>
  </si>
  <si>
    <t>William Vaughan</t>
  </si>
  <si>
    <t>Eric Leighton Holmes, Lucie Evelyn Holmes, William George Prescott</t>
  </si>
  <si>
    <t>Bradford J. Clark</t>
  </si>
  <si>
    <t>Herbert L. Bowers, Eric Pick</t>
  </si>
  <si>
    <t>William Brewster Gurney</t>
  </si>
  <si>
    <t>The Westinghouse Air Brake Company</t>
  </si>
  <si>
    <t>Jules Marie Joseph Dormoy</t>
  </si>
  <si>
    <t>1921Cast</t>
    <phoneticPr fontId="22" type="noConversion"/>
  </si>
  <si>
    <t>Serial No.</t>
  </si>
  <si>
    <t>Herbert L. Bowers, Norman E. Brice</t>
  </si>
  <si>
    <t>John F. Martin, Frank E Watts</t>
    <phoneticPr fontId="38" type="noConversion"/>
  </si>
  <si>
    <t>John F. Martin</t>
    <phoneticPr fontId="38" type="noConversion"/>
  </si>
  <si>
    <t>United American Bosch Magneto Corporation</t>
    <phoneticPr fontId="38" type="noConversion"/>
  </si>
  <si>
    <t>Louis Beeh, Wolfgang E. Schwarzman</t>
    <phoneticPr fontId="38" type="noConversion"/>
  </si>
  <si>
    <t>Leslie F. Curtis</t>
    <phoneticPr fontId="38" type="noConversion"/>
  </si>
  <si>
    <t>American Bosch Magneto Corporation</t>
  </si>
  <si>
    <t>Joseph D. Yoder</t>
  </si>
  <si>
    <t>Northern Electric Company</t>
    <phoneticPr fontId="22" type="noConversion"/>
  </si>
  <si>
    <t>Kimberly-Clark Corporation</t>
    <phoneticPr fontId="22" type="noConversion"/>
  </si>
  <si>
    <t>General Motors</t>
    <phoneticPr fontId="22" type="noConversion"/>
  </si>
  <si>
    <t xml:space="preserve">GE </t>
    <phoneticPr fontId="22" type="noConversion"/>
  </si>
  <si>
    <t>Since the execution of the License Agreement of 1934, Technicolor in most of its business of professional color cinematography has continued to employ the "three-strip" method of color photography rather than the "monopack" method.</t>
    <phoneticPr fontId="22" type="noConversion"/>
  </si>
  <si>
    <t>Compulsory licensing: RF, RR</t>
    <phoneticPr fontId="22" type="noConversion"/>
  </si>
  <si>
    <t>Patent holding company: No</t>
    <phoneticPr fontId="22" type="noConversion"/>
  </si>
  <si>
    <t>End year: 1950</t>
    <phoneticPr fontId="22" type="noConversion"/>
  </si>
  <si>
    <t>RR</t>
    <phoneticPr fontId="22" type="noConversion"/>
  </si>
  <si>
    <t>SN 581713</t>
    <phoneticPr fontId="22" type="noConversion"/>
  </si>
  <si>
    <t>SN 580831</t>
    <phoneticPr fontId="22" type="noConversion"/>
  </si>
  <si>
    <t>SN 580909</t>
    <phoneticPr fontId="22" type="noConversion"/>
  </si>
  <si>
    <r>
      <t xml:space="preserve">Firms: Bendix Aviation Corporation, Siemens Apparate and Maschinen Gesellschaft mit beschrankter Haptflicht (Siemens A.M. who owns Siemens),  Luftfahrtgeratewerke Hakenfelde Geseelschaft mit beschrankter Haptpflicht (succeeded to the aircraft business of Siemens A.M.), Ottico, Tokyo Keiki Seisakusho, Mitsui Bussan </t>
    </r>
    <r>
      <rPr>
        <sz val="10"/>
        <rFont val="Verdana"/>
      </rPr>
      <t>Kaishi, Societe Generale des Carburateurs (Swiss firm), Zenith Carbureter Company (UK firm), Societe Anonyme Solex (French firm), Societa Anonima Carburatore Zenith (Italian firm), S. Smith &amp; Sons, Robert Bosch, G.m.b.H., Eclipse Aviation, Joseph Lucas, Ltd.</t>
    </r>
    <phoneticPr fontId="22" type="noConversion"/>
  </si>
  <si>
    <t xml:space="preserve">Firms: Metal Textile Corporation, Reed Air Filter Company, American Air Filter Company (patent holding company). </t>
    <phoneticPr fontId="22" type="noConversion"/>
  </si>
  <si>
    <t>Prior to the month of July 1925, Anders Jordahl, operating through a corporation known as Midwest Steel and Supply Company had been engaged in interstate trade and commerce in ventilating air filters.  William Reed, operating through Reed Air Filer Company, had been similarly engaged.  In 1925, they created American Air Filter to pool all of the patent owned or controlled by their respective companies (p. 7).</t>
    <phoneticPr fontId="22" type="noConversion"/>
  </si>
  <si>
    <t>Otto Liebknecht</t>
  </si>
  <si>
    <t>Germany</t>
  </si>
  <si>
    <t>(O) 10127 (Di) 264036</t>
  </si>
  <si>
    <t>Bendix Aviation Corporation</t>
    <phoneticPr fontId="22" type="noConversion"/>
  </si>
  <si>
    <t>1935Airc</t>
    <phoneticPr fontId="22" type="noConversion"/>
  </si>
  <si>
    <t>(second conspiracy, "Ottico Agreement")</t>
    <phoneticPr fontId="22" type="noConversion"/>
  </si>
  <si>
    <t>(third conspiracy, "Tokyo Agreement")</t>
    <phoneticPr fontId="22" type="noConversion"/>
  </si>
  <si>
    <t>Grant Date</t>
    <phoneticPr fontId="22" type="noConversion"/>
  </si>
  <si>
    <t>Line Material Company</t>
    <phoneticPr fontId="22" type="noConversion"/>
  </si>
  <si>
    <t>(first conspiracy, "Siemens Agreement")</t>
    <phoneticPr fontId="22" type="noConversion"/>
  </si>
  <si>
    <t>SN 18844</t>
    <phoneticPr fontId="22" type="noConversion"/>
  </si>
  <si>
    <t>SN 48226</t>
    <phoneticPr fontId="22" type="noConversion"/>
  </si>
  <si>
    <t>SN 66528</t>
    <phoneticPr fontId="22" type="noConversion"/>
  </si>
  <si>
    <t>Technicolor</t>
    <phoneticPr fontId="22" type="noConversion"/>
  </si>
  <si>
    <t>SN 70195</t>
    <phoneticPr fontId="22" type="noConversion"/>
  </si>
  <si>
    <t>SN 74727</t>
    <phoneticPr fontId="22" type="noConversion"/>
  </si>
  <si>
    <t>SN 129112</t>
    <phoneticPr fontId="22" type="noConversion"/>
  </si>
  <si>
    <t>1934Colo</t>
    <phoneticPr fontId="22" type="noConversion"/>
  </si>
  <si>
    <t>Schedule A of Final Judgment (RR licensing, applications):</t>
    <phoneticPr fontId="22" type="noConversion"/>
  </si>
  <si>
    <t>Technicolor Motion Picture Corporation</t>
    <phoneticPr fontId="22" type="noConversion"/>
  </si>
  <si>
    <t>Eastman Kodak Company</t>
    <phoneticPr fontId="22" type="noConversion"/>
  </si>
  <si>
    <t>SN 471367</t>
    <phoneticPr fontId="22" type="noConversion"/>
  </si>
  <si>
    <t>SN 606716</t>
    <phoneticPr fontId="22" type="noConversion"/>
  </si>
  <si>
    <t>SN 501178</t>
    <phoneticPr fontId="22" type="noConversion"/>
  </si>
  <si>
    <t>SN 512970</t>
    <phoneticPr fontId="22" type="noConversion"/>
  </si>
  <si>
    <t>SN 504904</t>
    <phoneticPr fontId="22" type="noConversion"/>
  </si>
  <si>
    <t>SN 606716</t>
    <phoneticPr fontId="22" type="noConversion"/>
  </si>
  <si>
    <t>Independent Air Filter Co.</t>
    <phoneticPr fontId="22" type="noConversion"/>
  </si>
  <si>
    <t>** Photocopy final judgment</t>
    <phoneticPr fontId="22" type="noConversion"/>
  </si>
  <si>
    <t>Appendix A from Final Judgment (RR):</t>
    <phoneticPr fontId="22" type="noConversion"/>
  </si>
  <si>
    <t>1934Dry</t>
    <phoneticPr fontId="22" type="noConversion"/>
  </si>
  <si>
    <t>N</t>
    <phoneticPr fontId="22" type="noConversion"/>
  </si>
  <si>
    <t>Type of Compulsory Licensing</t>
    <phoneticPr fontId="22" type="noConversion"/>
  </si>
  <si>
    <t>1937Stam</t>
    <phoneticPr fontId="22" type="noConversion"/>
  </si>
  <si>
    <t>Motor Wheel Corporation</t>
    <phoneticPr fontId="22" type="noConversion"/>
  </si>
  <si>
    <t>Reissue 21960</t>
    <phoneticPr fontId="22" type="noConversion"/>
  </si>
  <si>
    <t xml:space="preserve">Open licensing: </t>
    <phoneticPr fontId="22" type="noConversion"/>
  </si>
  <si>
    <t>SN 61253</t>
    <phoneticPr fontId="22" type="noConversion"/>
  </si>
  <si>
    <t>SN 106244</t>
    <phoneticPr fontId="22" type="noConversion"/>
  </si>
  <si>
    <t>SN 2569228</t>
    <phoneticPr fontId="22" type="noConversion"/>
  </si>
  <si>
    <t>SN 80388</t>
    <phoneticPr fontId="22" type="noConversion"/>
  </si>
  <si>
    <t>SN 80153</t>
    <phoneticPr fontId="22" type="noConversion"/>
  </si>
  <si>
    <t>Patent holding company: No</t>
    <phoneticPr fontId="22" type="noConversion"/>
  </si>
  <si>
    <t>SN 788891</t>
    <phoneticPr fontId="22" type="noConversion"/>
  </si>
  <si>
    <t>SN 15863</t>
    <phoneticPr fontId="22" type="noConversion"/>
  </si>
  <si>
    <t>RR</t>
    <phoneticPr fontId="22" type="noConversion"/>
  </si>
  <si>
    <t>1934Colo</t>
    <phoneticPr fontId="22" type="noConversion"/>
  </si>
  <si>
    <t>Independent licensing:</t>
    <phoneticPr fontId="22" type="noConversion"/>
  </si>
  <si>
    <t>Number of licensees: 0</t>
    <phoneticPr fontId="22" type="noConversion"/>
  </si>
  <si>
    <t>Open licensing: No</t>
    <phoneticPr fontId="22" type="noConversion"/>
  </si>
  <si>
    <t>Compulsory licensing: DP</t>
    <phoneticPr fontId="22" type="noConversion"/>
  </si>
  <si>
    <t>Harry M. Danner</t>
  </si>
  <si>
    <t>Egon Zentner</t>
  </si>
  <si>
    <t>Czechoslovakia</t>
  </si>
  <si>
    <t>Number of licensees: 4 (American Air Filter granted other companies, particularly after unsuccessful attempts to purchase them, licenses with restrictions as to types of filter, price, territory, and purchase of mesh and other supplies)</t>
    <phoneticPr fontId="22" type="noConversion"/>
  </si>
  <si>
    <t>General Air Filters Corp.</t>
    <phoneticPr fontId="22" type="noConversion"/>
  </si>
  <si>
    <r>
      <t>Companies acquired by patent holding company</t>
    </r>
    <r>
      <rPr>
        <sz val="10"/>
        <rFont val="Verdana"/>
      </rPr>
      <t>:</t>
    </r>
    <phoneticPr fontId="22" type="noConversion"/>
  </si>
  <si>
    <t>Foreign firms: Yes</t>
    <phoneticPr fontId="22" type="noConversion"/>
  </si>
  <si>
    <t>SN 580802</t>
    <phoneticPr fontId="22" type="noConversion"/>
  </si>
  <si>
    <t>End year: 1953 (consent decree).</t>
    <phoneticPr fontId="22" type="noConversion"/>
  </si>
  <si>
    <t>Spraco</t>
    <phoneticPr fontId="22" type="noConversion"/>
  </si>
  <si>
    <t>Spray Engineering Company</t>
    <phoneticPr fontId="22" type="noConversion"/>
  </si>
  <si>
    <t>American Air Filtration Corporation</t>
    <phoneticPr fontId="22" type="noConversion"/>
  </si>
  <si>
    <t>Hines Air Filter</t>
    <phoneticPr fontId="22" type="noConversion"/>
  </si>
  <si>
    <t>National Air Filter Company</t>
    <phoneticPr fontId="22" type="noConversion"/>
  </si>
  <si>
    <t>Holland Furnace Company</t>
    <phoneticPr fontId="22" type="noConversion"/>
  </si>
  <si>
    <t>Fred Kling</t>
    <phoneticPr fontId="22" type="noConversion"/>
  </si>
  <si>
    <t>Freyn Engineering Company</t>
    <phoneticPr fontId="22" type="noConversion"/>
  </si>
  <si>
    <t>During the years 1930 to 1934 the defendants entered into a series of substantially identical cross-license agreements.  By said agreements each of the defendants, as licensor, granted to each of the other defendants a license under the present and future patents and technological information owned or controlled by said defendant licensor and relating to fluid-filled cable and accessories.</t>
    <phoneticPr fontId="22" type="noConversion"/>
  </si>
  <si>
    <t>RR</t>
    <phoneticPr fontId="22" type="noConversion"/>
  </si>
  <si>
    <t>Schedule A of final judgment - Pirelli patents as to which all defendants have certain rights:</t>
    <phoneticPr fontId="22" type="noConversion"/>
  </si>
  <si>
    <t>SN 763001</t>
    <phoneticPr fontId="22" type="noConversion"/>
  </si>
  <si>
    <t>SN 580832</t>
    <phoneticPr fontId="22" type="noConversion"/>
  </si>
  <si>
    <t>Number of licensees: 11 (see below, note: individual independent licenses from pool members so do we count them?)</t>
    <phoneticPr fontId="22" type="noConversion"/>
  </si>
  <si>
    <t>Start year: 1934</t>
    <phoneticPr fontId="22" type="noConversion"/>
  </si>
  <si>
    <t>predates "pool"</t>
    <phoneticPr fontId="22" type="noConversion"/>
  </si>
  <si>
    <r>
      <t>Notes from answers by Kelsey-Hayes</t>
    </r>
    <r>
      <rPr>
        <sz val="10"/>
        <rFont val="Verdana"/>
      </rPr>
      <t xml:space="preserve"> </t>
    </r>
    <phoneticPr fontId="22" type="noConversion"/>
  </si>
  <si>
    <t>Defendant says that it entered into a non-exclusive royalty-free cross-license agreement with Motor Wheel and The Budd Wheel Company dated April 6, 1937 limited in scope and covering only certain patent applications in interferences.</t>
    <phoneticPr fontId="22" type="noConversion"/>
  </si>
  <si>
    <t>Kelsey-Hayes Wheel Company</t>
    <phoneticPr fontId="22" type="noConversion"/>
  </si>
  <si>
    <t>The Budd Company</t>
    <phoneticPr fontId="22" type="noConversion"/>
  </si>
  <si>
    <t>Motor Wheel Corporation</t>
    <phoneticPr fontId="22" type="noConversion"/>
  </si>
  <si>
    <r>
      <t>Licensees of pool members</t>
    </r>
    <r>
      <rPr>
        <sz val="10"/>
        <rFont val="Verdana"/>
      </rPr>
      <t>:</t>
    </r>
    <phoneticPr fontId="22" type="noConversion"/>
  </si>
  <si>
    <t>Ford Motor Company</t>
    <phoneticPr fontId="22" type="noConversion"/>
  </si>
  <si>
    <t>(from Kelsey-Hayes' answers)</t>
    <phoneticPr fontId="22" type="noConversion"/>
  </si>
  <si>
    <t>Durafer, Inc</t>
    <phoneticPr fontId="22" type="noConversion"/>
  </si>
  <si>
    <t>(from Budd's answers)</t>
    <phoneticPr fontId="22" type="noConversion"/>
  </si>
  <si>
    <t>Reed Air Filter Company</t>
    <phoneticPr fontId="22" type="noConversion"/>
  </si>
  <si>
    <t>Drying Systems Inc.</t>
    <phoneticPr fontId="22" type="noConversion"/>
  </si>
  <si>
    <t>Electric Wheel Company</t>
    <phoneticPr fontId="22" type="noConversion"/>
  </si>
  <si>
    <t>(from Motor Wheel answers)</t>
    <phoneticPr fontId="22" type="noConversion"/>
  </si>
  <si>
    <t>Bendix Aviation Corporation</t>
    <phoneticPr fontId="22" type="noConversion"/>
  </si>
  <si>
    <t>** Final judgments? Did not grant licenses to third parties after 1934.</t>
    <phoneticPr fontId="22" type="noConversion"/>
  </si>
  <si>
    <t>SN 1446</t>
    <phoneticPr fontId="22" type="noConversion"/>
  </si>
  <si>
    <t>SN 548688</t>
    <phoneticPr fontId="22" type="noConversion"/>
  </si>
  <si>
    <t>SN 82865</t>
    <phoneticPr fontId="22" type="noConversion"/>
  </si>
  <si>
    <t>SN 92449</t>
    <phoneticPr fontId="22" type="noConversion"/>
  </si>
  <si>
    <t>RR licensing - patents listed in Appendix A of Final Judgment:</t>
    <phoneticPr fontId="22" type="noConversion"/>
  </si>
  <si>
    <t>SN 106797</t>
    <phoneticPr fontId="22" type="noConversion"/>
  </si>
  <si>
    <t>SN 58327</t>
    <phoneticPr fontId="22" type="noConversion"/>
  </si>
  <si>
    <t>RR</t>
    <phoneticPr fontId="22" type="noConversion"/>
  </si>
  <si>
    <t>Technicolor</t>
    <phoneticPr fontId="22" type="noConversion"/>
  </si>
  <si>
    <t>Technicolor</t>
    <phoneticPr fontId="22" type="noConversion"/>
  </si>
  <si>
    <t>SN 690770</t>
    <phoneticPr fontId="22" type="noConversion"/>
  </si>
  <si>
    <t>SN 690772</t>
    <phoneticPr fontId="22" type="noConversion"/>
  </si>
  <si>
    <t>Technicolor</t>
    <phoneticPr fontId="22" type="noConversion"/>
  </si>
  <si>
    <t>SN 742242</t>
    <phoneticPr fontId="22" type="noConversion"/>
  </si>
  <si>
    <t>Firms: General Cable Corporation, General Electric, Phelps Dodge Copper Products Corporation, Okonite-Callendar Cable Company, Societa' Italiana Pirelli (Italian firm), Protona AG (Swiss firm).</t>
    <phoneticPr fontId="22" type="noConversion"/>
  </si>
  <si>
    <t>Protona</t>
    <phoneticPr fontId="22" type="noConversion"/>
  </si>
  <si>
    <t>Okonite-Callender Cable Company</t>
    <phoneticPr fontId="22" type="noConversion"/>
  </si>
  <si>
    <t>Permutit Company</t>
    <phoneticPr fontId="22" type="noConversion"/>
  </si>
  <si>
    <t>United Water Softener</t>
    <phoneticPr fontId="22" type="noConversion"/>
  </si>
  <si>
    <t>Foreign firms: Yes</t>
    <phoneticPr fontId="22" type="noConversion"/>
  </si>
  <si>
    <t>B. V. Vinson Company</t>
    <phoneticPr fontId="22" type="noConversion"/>
  </si>
  <si>
    <r>
      <t>Licensees (did not add patents)</t>
    </r>
    <r>
      <rPr>
        <sz val="10"/>
        <rFont val="Verdana"/>
      </rPr>
      <t>:</t>
    </r>
    <phoneticPr fontId="22" type="noConversion"/>
  </si>
  <si>
    <t>Richtor</t>
    <phoneticPr fontId="22" type="noConversion"/>
  </si>
  <si>
    <t>Owens-Illinois Glass Company</t>
    <phoneticPr fontId="22" type="noConversion"/>
  </si>
  <si>
    <t>Staynew Filter Corporation</t>
    <phoneticPr fontId="22" type="noConversion"/>
  </si>
  <si>
    <t>Paper Patents Company</t>
    <phoneticPr fontId="22" type="noConversion"/>
  </si>
  <si>
    <t>Richard C. Thompson</t>
    <phoneticPr fontId="22" type="noConversion"/>
  </si>
  <si>
    <t>Charles Davies</t>
    <phoneticPr fontId="22" type="noConversion"/>
  </si>
  <si>
    <t>Westinghouse Electiric &amp; Manufacturing Company</t>
    <phoneticPr fontId="22" type="noConversion"/>
  </si>
  <si>
    <t>Kurly Kate Filters</t>
    <phoneticPr fontId="22" type="noConversion"/>
  </si>
  <si>
    <t>Patents listed in Appendix A of final judgment (reasonable royalty):</t>
    <phoneticPr fontId="22" type="noConversion"/>
  </si>
  <si>
    <t>SN 688649</t>
    <phoneticPr fontId="22" type="noConversion"/>
  </si>
  <si>
    <t>Philips Screw Company</t>
    <phoneticPr fontId="22" type="noConversion"/>
  </si>
  <si>
    <t>The covenant on the part of Kodak in the License Agreement of 1934 not to engage in the commercial processing of wide "monopack" film was intended to and did enable Technicolor to control and monopolize professional color cinematography.  Technicolor was thereby protected against any potential competition based on the "monopack" method.</t>
    <phoneticPr fontId="22" type="noConversion"/>
  </si>
  <si>
    <t>Chrysler Corporation</t>
    <phoneticPr fontId="22" type="noConversion"/>
  </si>
  <si>
    <t>(from Motor Wheel answers)</t>
    <phoneticPr fontId="22" type="noConversion"/>
  </si>
  <si>
    <t>Cleveland Welding Company</t>
    <phoneticPr fontId="22" type="noConversion"/>
  </si>
  <si>
    <t>Ryerson and Haynes Corporation</t>
    <phoneticPr fontId="22" type="noConversion"/>
  </si>
  <si>
    <t>Firestone Steel Products Company</t>
    <phoneticPr fontId="22" type="noConversion"/>
  </si>
  <si>
    <t>Firms: Technicolor Motion Picture Corporation, Technicolor, Inc (holding company owning all the stock of Technicolor Motion Picture Corporation), Eastman Kodak Company.</t>
    <phoneticPr fontId="22" type="noConversion"/>
  </si>
  <si>
    <t xml:space="preserve">Foreign firms: No </t>
    <phoneticPr fontId="22" type="noConversion"/>
  </si>
  <si>
    <t>Pirelli</t>
    <phoneticPr fontId="22" type="noConversion"/>
  </si>
  <si>
    <t>SN 100903</t>
    <phoneticPr fontId="22" type="noConversion"/>
  </si>
  <si>
    <t>SN 618830</t>
    <phoneticPr fontId="22" type="noConversion"/>
  </si>
  <si>
    <t>SN 619121</t>
    <phoneticPr fontId="22" type="noConversion"/>
  </si>
  <si>
    <t>SN 51982</t>
    <phoneticPr fontId="22" type="noConversion"/>
  </si>
  <si>
    <t>SN 61282</t>
    <phoneticPr fontId="22" type="noConversion"/>
  </si>
  <si>
    <t>SN 676070</t>
    <phoneticPr fontId="22" type="noConversion"/>
  </si>
  <si>
    <t>Prior to the First World War, Merck &amp; Co. of New York acted as a selling agency for Merck-Darmstadt.  During the War the interests of Merck-Darmstadt in Merck &amp; Co. of New York were seized by the Alien Property Custodian of the United States.  The interests so seized were thereafter purchased by Merck &amp; Co. of New York from the Alien Property Custodian on or about 1919.  Since the seizure, the company and its successors have been financially independent.</t>
    <phoneticPr fontId="22" type="noConversion"/>
  </si>
  <si>
    <t>SN 763002</t>
    <phoneticPr fontId="22" type="noConversion"/>
  </si>
  <si>
    <t>SN 258076</t>
    <phoneticPr fontId="22" type="noConversion"/>
  </si>
  <si>
    <t>SN 769402</t>
    <phoneticPr fontId="22" type="noConversion"/>
  </si>
  <si>
    <t>SN 769656</t>
    <phoneticPr fontId="22" type="noConversion"/>
  </si>
  <si>
    <t>SN 773148</t>
    <phoneticPr fontId="22" type="noConversion"/>
  </si>
  <si>
    <t>SN 779309</t>
    <phoneticPr fontId="22" type="noConversion"/>
  </si>
  <si>
    <t>SN 68925</t>
    <phoneticPr fontId="22" type="noConversion"/>
  </si>
  <si>
    <t>SN 18759</t>
    <phoneticPr fontId="22" type="noConversion"/>
  </si>
  <si>
    <t>SN 36117</t>
    <phoneticPr fontId="22" type="noConversion"/>
  </si>
  <si>
    <t>General Cable Corporation</t>
    <phoneticPr fontId="22" type="noConversion"/>
  </si>
  <si>
    <t>Auto-Radar &amp; Felgenfabrik Max Hering</t>
    <phoneticPr fontId="22" type="noConversion"/>
  </si>
  <si>
    <t>Patent pool?</t>
    <phoneticPr fontId="22" type="noConversion"/>
  </si>
  <si>
    <t>Patents listed in Exhibit B of final judgment (owned by Cincinnati Grinders, Inc.):</t>
    <phoneticPr fontId="22" type="noConversion"/>
  </si>
  <si>
    <t>.</t>
    <phoneticPr fontId="22" type="noConversion"/>
  </si>
  <si>
    <t>Goodyear Tire and Rubber Co.</t>
    <phoneticPr fontId="22" type="noConversion"/>
  </si>
  <si>
    <t>Patents listed in Exhibit B final judgment (owned by Kearney-Trecker):</t>
    <phoneticPr fontId="22" type="noConversion"/>
  </si>
  <si>
    <t>Since 1934, Technicolor has produced the positive film prints for all of the "Class A" feature length motion pictures and most of the short subjects and animated cartoons produced in color by the motion picture industry of the United States.</t>
    <phoneticPr fontId="22" type="noConversion"/>
  </si>
  <si>
    <t>Technicolor purchases substantial quantities of film manufactured by Kodak.</t>
    <phoneticPr fontId="22" type="noConversion"/>
  </si>
  <si>
    <t>Air Reduction Company</t>
    <phoneticPr fontId="22" type="noConversion"/>
  </si>
  <si>
    <t>1934Dry</t>
    <phoneticPr fontId="22" type="noConversion"/>
  </si>
  <si>
    <t>SN 791139 (on list as SN 791137)</t>
    <phoneticPr fontId="22" type="noConversion"/>
  </si>
  <si>
    <t>Reissue 19950</t>
    <phoneticPr fontId="22" type="noConversion"/>
  </si>
  <si>
    <t>SN 178173</t>
    <phoneticPr fontId="22" type="noConversion"/>
  </si>
  <si>
    <t>Atkinson &amp; McGrath</t>
    <phoneticPr fontId="22" type="noConversion"/>
  </si>
  <si>
    <t>SN 765708</t>
    <phoneticPr fontId="22" type="noConversion"/>
  </si>
  <si>
    <t>SN 588742</t>
    <phoneticPr fontId="22" type="noConversion"/>
  </si>
  <si>
    <t>SN 607833</t>
    <phoneticPr fontId="22" type="noConversion"/>
  </si>
  <si>
    <t>Flynn (GE)</t>
    <phoneticPr fontId="22" type="noConversion"/>
  </si>
  <si>
    <t>RF</t>
    <phoneticPr fontId="22" type="noConversion"/>
  </si>
  <si>
    <t>RF</t>
    <phoneticPr fontId="22" type="noConversion"/>
  </si>
  <si>
    <t>Schedule C of final judgment:</t>
    <phoneticPr fontId="22" type="noConversion"/>
  </si>
  <si>
    <t>Schedule B of final judgment:</t>
    <phoneticPr fontId="22" type="noConversion"/>
  </si>
  <si>
    <t>End year: 1948</t>
    <phoneticPr fontId="22" type="noConversion"/>
  </si>
  <si>
    <t>SN 690771</t>
    <phoneticPr fontId="22" type="noConversion"/>
  </si>
  <si>
    <t>SN 719619</t>
    <phoneticPr fontId="22" type="noConversion"/>
  </si>
  <si>
    <t>SN 719909</t>
    <phoneticPr fontId="22" type="noConversion"/>
  </si>
  <si>
    <t>SN 725472</t>
    <phoneticPr fontId="22" type="noConversion"/>
  </si>
  <si>
    <t>1934Colo</t>
    <phoneticPr fontId="22" type="noConversion"/>
  </si>
  <si>
    <t>Firms: Permutit Company (US firm), United Water Softener (UK firm), Permutit Aktiengesellschaft (German firm), and Societe Anonyme Establishments Phillips (French firm).</t>
    <phoneticPr fontId="22" type="noConversion"/>
  </si>
  <si>
    <t>Permutit Aktiengesellschaft</t>
  </si>
  <si>
    <t>Societe Anonyme Establishments Phillips</t>
  </si>
  <si>
    <t>Open licensing: No</t>
    <phoneticPr fontId="22" type="noConversion"/>
  </si>
  <si>
    <t>Number of licensees: 0</t>
    <phoneticPr fontId="22" type="noConversion"/>
  </si>
  <si>
    <t>Foreign firms: Yes</t>
    <phoneticPr fontId="22" type="noConversion"/>
  </si>
  <si>
    <t>SN 667074</t>
    <phoneticPr fontId="22" type="noConversion"/>
  </si>
  <si>
    <t>SN 674557</t>
    <phoneticPr fontId="22" type="noConversion"/>
  </si>
  <si>
    <t>Patent holding company: No</t>
    <phoneticPr fontId="22" type="noConversion"/>
  </si>
  <si>
    <t>Textile Machine Works</t>
    <phoneticPr fontId="22" type="noConversion"/>
  </si>
  <si>
    <t>Firms: Textile Machine Works, Berkshire Knitting Mills</t>
    <phoneticPr fontId="22" type="noConversion"/>
  </si>
  <si>
    <t>Compulsory licensing: RF</t>
    <phoneticPr fontId="22" type="noConversion"/>
  </si>
  <si>
    <t>Vaughan (p. 124): "According to a complaint in 1947, the Phillips Screw Company, from 1937 to 1947, sublicensed manufacturers to make and sell cross-recessed screws and screw drivers under price and other restrictions and entered into territorial agreements with foreign producers.  Sales were largely to automotive and airplane manufacturers and to distributors.  In 1947, there were thirty-three manufacturers of this kind of screw and only four of them were "indepedents."  A consent decree of 1949 enjoined license agreements for fixing prices and dividing either domestic of international markets and required licenses to be granted under twenty-eight patents at reasonable royalties and with technical information."</t>
    <phoneticPr fontId="22" type="noConversion"/>
  </si>
  <si>
    <t>Compulsory licensing: RR</t>
    <phoneticPr fontId="22" type="noConversion"/>
  </si>
  <si>
    <t>RR, RF</t>
    <phoneticPr fontId="22" type="noConversion"/>
  </si>
  <si>
    <t>RR</t>
    <phoneticPr fontId="22" type="noConversion"/>
  </si>
  <si>
    <t>SN 688652</t>
    <phoneticPr fontId="22" type="noConversion"/>
  </si>
  <si>
    <t>RR</t>
    <phoneticPr fontId="22" type="noConversion"/>
  </si>
  <si>
    <t>American Screw Company</t>
    <phoneticPr fontId="22" type="noConversion"/>
  </si>
  <si>
    <t>American Screw Company</t>
    <phoneticPr fontId="22" type="noConversion"/>
  </si>
  <si>
    <t>Vaughan (p. 98): "The Textile Machine Works and Berkshire Knitting Mills, according to a government complaint, acquired the hosiery machinery of competitors and engaged in other questionable practices.  A consent judgment of 1950 ordered the licensing of present and future patents on full-fashioned royalty-free and on hosiery machinery at reasonable royalties."</t>
    <phoneticPr fontId="22" type="noConversion"/>
  </si>
  <si>
    <t>Firms: Henry Phillips, American Screw Company, Phillips Screw Company (patent holding company).</t>
    <phoneticPr fontId="22" type="noConversion"/>
  </si>
  <si>
    <t>Start year: 1932</t>
    <phoneticPr fontId="22" type="noConversion"/>
  </si>
  <si>
    <t>End year: 1945 (consent decree)</t>
    <phoneticPr fontId="22" type="noConversion"/>
  </si>
  <si>
    <t>Compulsory licensing: RF</t>
    <phoneticPr fontId="22" type="noConversion"/>
  </si>
  <si>
    <t>Robert Bosch has at all imes since 1938 forbidden distributors and service stations for fuel injection equipment manufactured by Robert Bosch to engage in the distribution and service of fuel injection equipment made by competitors in the United States.</t>
    <phoneticPr fontId="22" type="noConversion"/>
  </si>
  <si>
    <t>End year: 1942 (consent decree)</t>
    <phoneticPr fontId="22" type="noConversion"/>
  </si>
  <si>
    <t>SN 470671</t>
    <phoneticPr fontId="22" type="noConversion"/>
  </si>
  <si>
    <t>American Screw Company</t>
    <phoneticPr fontId="22" type="noConversion"/>
  </si>
  <si>
    <t>SN 694715</t>
    <phoneticPr fontId="22" type="noConversion"/>
  </si>
  <si>
    <t>SN 613257</t>
    <phoneticPr fontId="22" type="noConversion"/>
  </si>
  <si>
    <t>Technicolor</t>
    <phoneticPr fontId="22" type="noConversion"/>
  </si>
  <si>
    <t>SN 668886</t>
    <phoneticPr fontId="22" type="noConversion"/>
  </si>
  <si>
    <t>SN 675534</t>
    <phoneticPr fontId="22" type="noConversion"/>
  </si>
  <si>
    <t>Patent holding company: Yes (Phillips Screw Company)</t>
    <phoneticPr fontId="22" type="noConversion"/>
  </si>
  <si>
    <t>SN 635344</t>
    <phoneticPr fontId="22" type="noConversion"/>
  </si>
  <si>
    <t>SN 671177</t>
    <phoneticPr fontId="22" type="noConversion"/>
  </si>
  <si>
    <t>SN 672968</t>
    <phoneticPr fontId="22" type="noConversion"/>
  </si>
  <si>
    <t>SN 685574</t>
    <phoneticPr fontId="22" type="noConversion"/>
  </si>
  <si>
    <t>SN 698576</t>
    <phoneticPr fontId="22" type="noConversion"/>
  </si>
  <si>
    <t>SN 741931</t>
    <phoneticPr fontId="22" type="noConversion"/>
  </si>
  <si>
    <t>1930Cabl</t>
    <phoneticPr fontId="22" type="noConversion"/>
  </si>
  <si>
    <t>End year: 1950 (consent decree)</t>
    <phoneticPr fontId="22" type="noConversion"/>
  </si>
  <si>
    <t>SN 688650</t>
    <phoneticPr fontId="22" type="noConversion"/>
  </si>
  <si>
    <t>SN 688651</t>
    <phoneticPr fontId="22" type="noConversion"/>
  </si>
  <si>
    <t>RR</t>
    <phoneticPr fontId="22" type="noConversion"/>
  </si>
  <si>
    <t>Philips Screw Company</t>
    <phoneticPr fontId="22" type="noConversion"/>
  </si>
  <si>
    <t>Phillips Screw Company</t>
    <phoneticPr fontId="22" type="noConversion"/>
  </si>
  <si>
    <t>Henry Phillips</t>
    <phoneticPr fontId="22" type="noConversion"/>
  </si>
  <si>
    <t>American Screw Company</t>
    <phoneticPr fontId="22" type="noConversion"/>
  </si>
  <si>
    <t>On or about November 17, 1932 Merck &amp; Co., Inc and Merck-Darmstadt made and entered into a contract known as and herein called the "Treaty Agreement."</t>
    <phoneticPr fontId="22" type="noConversion"/>
  </si>
  <si>
    <t>Beginning in or about 1930 large numbers of second-hand full-fashioned hosiery machines appeared on the market for sale in competition with machines manufactured by Textile.  Many of these machines were acquired by existing and new hosiery mills and were successfully used in the manufacture of full-fashioned hosiery at prices which were substantially lower than the prices then prevalent for such hosiery.  Commencing in or about 1932 and continuing thereafter to the date of the filing of this complaint the defendants have engaged in a program and arragements to eliminate said hosiery machinery from competition with Textile and to eliminate the low priced product of such machinery from competition with Berkshire.</t>
    <phoneticPr fontId="22" type="noConversion"/>
  </si>
  <si>
    <t>Foreign firms: No</t>
    <phoneticPr fontId="22" type="noConversion"/>
  </si>
  <si>
    <t>Technology: The term "cross-recessed head screws" means screws and bolts having a cross-shaped recess in the center of the screw or bolt heads.  The term includes blanks which have the same type of recess punched into the heads thereof as the completed products but which are not threaded or otherwise completed (final judgment, second page).</t>
    <phoneticPr fontId="22" type="noConversion"/>
  </si>
  <si>
    <t>Firms: Merck &amp; Co., E. Merck (German firm).</t>
    <phoneticPr fontId="22" type="noConversion"/>
  </si>
  <si>
    <t>SN 782875</t>
    <phoneticPr fontId="22" type="noConversion"/>
  </si>
  <si>
    <t>During the entire period of the aforesaid unlawful combination and conspiracy, Robert Bosch has maintained with CAV Bosch and Lavalette, agreements and relations similar to those maintained with American Bosch.</t>
    <phoneticPr fontId="22" type="noConversion"/>
  </si>
  <si>
    <r>
      <t>Pool members (added patents)</t>
    </r>
    <r>
      <rPr>
        <sz val="10"/>
        <rFont val="Verdana"/>
      </rPr>
      <t>:</t>
    </r>
    <phoneticPr fontId="22" type="noConversion"/>
  </si>
  <si>
    <t>American Bosch Corporation</t>
    <phoneticPr fontId="22" type="noConversion"/>
  </si>
  <si>
    <t>Grantbacks: Yes</t>
    <phoneticPr fontId="22" type="noConversion"/>
  </si>
  <si>
    <t xml:space="preserve">End year: 1948 </t>
    <phoneticPr fontId="22" type="noConversion"/>
  </si>
  <si>
    <t>U.S. Pipe and Foundry</t>
    <phoneticPr fontId="22" type="noConversion"/>
  </si>
  <si>
    <t>Centrifugal Pipe Corporation</t>
    <phoneticPr fontId="22" type="noConversion"/>
  </si>
  <si>
    <t>Lynchburg Foundry Company</t>
    <phoneticPr fontId="22" type="noConversion"/>
  </si>
  <si>
    <t>Glamorgan Pipe and Foundry Company</t>
    <phoneticPr fontId="22" type="noConversion"/>
  </si>
  <si>
    <t>McWane Cast Iron Pipe Company</t>
    <phoneticPr fontId="22" type="noConversion"/>
  </si>
  <si>
    <t>James B. Clow and Sons (National Cast Iron Pipe Company was acquired by Chow in 1929)</t>
    <phoneticPr fontId="22" type="noConversion"/>
  </si>
  <si>
    <t>Patent holding company: No</t>
    <phoneticPr fontId="22" type="noConversion"/>
  </si>
  <si>
    <t>Merck &amp; Co.</t>
    <phoneticPr fontId="22" type="noConversion"/>
  </si>
  <si>
    <t>E. Merck</t>
    <phoneticPr fontId="22" type="noConversion"/>
  </si>
  <si>
    <t>Start year: 1933</t>
    <phoneticPr fontId="22" type="noConversion"/>
  </si>
  <si>
    <t>End year: 1949 (consent decree)</t>
    <phoneticPr fontId="22" type="noConversion"/>
  </si>
  <si>
    <t>Number of licensees: 28</t>
    <phoneticPr fontId="22" type="noConversion"/>
  </si>
  <si>
    <r>
      <t>Licensees (did not add patents)</t>
    </r>
    <r>
      <rPr>
        <sz val="10"/>
        <rFont val="Verdana"/>
      </rPr>
      <t>:</t>
    </r>
    <phoneticPr fontId="22" type="noConversion"/>
  </si>
  <si>
    <t>Phillips Screw Company</t>
    <phoneticPr fontId="22" type="noConversion"/>
  </si>
  <si>
    <t>American Screw Company</t>
    <phoneticPr fontId="22" type="noConversion"/>
  </si>
  <si>
    <t>Berkshire Knitting Mills</t>
    <phoneticPr fontId="22" type="noConversion"/>
  </si>
  <si>
    <t>On several occasions, during the period of the conspiracy, Robert Bosch has, before granting manufacturing rights to an outside company in the American Territory, obtained from American Bosch a written waiver of its exclusive right to manufacture that particular product.  The latest such waiver, so far as is konw, was granted Robert Bosch by American Bosch on July 29, 1941.</t>
    <phoneticPr fontId="22" type="noConversion"/>
  </si>
  <si>
    <t>Compulsory licensing: Yes, RAND and DP</t>
    <phoneticPr fontId="22" type="noConversion"/>
  </si>
  <si>
    <t>End year: 1951 (consent decree)</t>
    <phoneticPr fontId="22" type="noConversion"/>
  </si>
  <si>
    <t>Start year: 1930</t>
    <phoneticPr fontId="22" type="noConversion"/>
  </si>
  <si>
    <t>On or about May 22, 1931, American Bosch and Robert Bosch made in writing an agreement, to be in effect during the life of the Sales Agreement, which relates to the cross exchange of manufacturing rights between the two corporations. By the terms of such agreements, hereafter referred to as the Patent Agreement, and pursuant to the aforesaid unlwaful combination and conspiracy, American Bosch and Robert Bosch agreed that if at any time during the life of the Sales Agreement Robert Bosch and American Bosch should determine that any of the products, in addition to those products describe above, manufactured by Robert Bosch should be manufactured in American Territory, Robert Bosch should offer American Bosch, on terms to be agreed upon, the exclusive manufacturing rights for the American Territory as to such product (p. 16).</t>
    <phoneticPr fontId="22" type="noConversion"/>
  </si>
  <si>
    <t>Number of licensees: 0</t>
    <phoneticPr fontId="22" type="noConversion"/>
  </si>
  <si>
    <t>Open licensing: No</t>
    <phoneticPr fontId="22" type="noConversion"/>
  </si>
  <si>
    <t>Between 1921 and 1930, products of Robert Bosch manufacture were sold in large quantities in the United States in competition with like products of American Bosch manufacture and, at the same time, products of American Bosch manufacture were sold in Europe and other parts of the world in competition with like products of Robert Bosche manufacture.</t>
  </si>
  <si>
    <t>American Bosch was organized in 1919 for the purpose of acquiring the stock and assets of Bosch Magneto Company, which in 1918 were sold by the Alien Property Custodian pursuant to an Executive Proclamation pronouncing that the Bosch Magneto Company was owned by enemy aliens.  Bosch Magneto Company was established by Mr Robert Bosch in 1906 and prior to the time of its seizure by the Alien Property Custodian, was engaged in the distribution, in this country, of products of Robert Bosch and, after 1910, was engaged also in the manufacture of certain products.</t>
    <phoneticPr fontId="22" type="noConversion"/>
  </si>
  <si>
    <t>Robert Bosch GMBH</t>
    <phoneticPr fontId="22" type="noConversion"/>
  </si>
  <si>
    <t>CAV Bosch</t>
    <phoneticPr fontId="22" type="noConversion"/>
  </si>
  <si>
    <t>Ateliers de Construction Lavelette</t>
    <phoneticPr fontId="22" type="noConversion"/>
  </si>
  <si>
    <r>
      <t>Pool members</t>
    </r>
    <r>
      <rPr>
        <sz val="10"/>
        <rFont val="Verdana"/>
      </rPr>
      <t>:</t>
    </r>
    <phoneticPr fontId="22" type="noConversion"/>
  </si>
  <si>
    <t>As successor to Centrifugal Pipe Corporation and International, U.S. Pipe leases machines for the production of cast iron pressure pipe to producers located outside the United States and grants said producers a license to manufacture centrifugally cast cast iron pressure pipe under said foreign patents.  These license prohibit said foreign producers from manufacturing, selling or shipping in the United States pipe produced under said licenses.</t>
  </si>
  <si>
    <t>Re 17963</t>
    <phoneticPr fontId="22" type="noConversion"/>
  </si>
  <si>
    <t>Re 18165</t>
    <phoneticPr fontId="22" type="noConversion"/>
  </si>
  <si>
    <t>Re 20874</t>
    <phoneticPr fontId="22" type="noConversion"/>
  </si>
  <si>
    <t>Langford (Rail Joint Company)</t>
    <phoneticPr fontId="22" type="noConversion"/>
  </si>
  <si>
    <t>Patents listed in Exhibit B of the consent decree:</t>
    <phoneticPr fontId="22" type="noConversion"/>
  </si>
  <si>
    <t>Technology: "Pressure is required in order to convey liquids or gases in pipe for any considerable distance.  The pipe, to withstand the pressure, must possess great tensile strength and have uniform concentricity.  Cast iron pressure pipe is used principally in the transmission of water and gas under pressure, and is the most commonly used material for this purpose" (complaint, p. 4).</t>
    <phoneticPr fontId="22" type="noConversion"/>
  </si>
  <si>
    <t>Firms: American Bosch Corporation, Robert Bosch, GMBH (German firm), CAV Bosch (UK firm), Ateliers de Construction Lavalette (French firm).</t>
    <phoneticPr fontId="22" type="noConversion"/>
  </si>
  <si>
    <t>Start year: 1931</t>
    <phoneticPr fontId="22" type="noConversion"/>
  </si>
  <si>
    <t>Compulsory licensing: RR</t>
    <phoneticPr fontId="22" type="noConversion"/>
  </si>
  <si>
    <t>From time to time between 1922 and 1946, U.S. Pipe entered into lease-license agreements with various of its competitors (listed below).</t>
    <phoneticPr fontId="22" type="noConversion"/>
  </si>
  <si>
    <t>Number of licensees: 4</t>
    <phoneticPr fontId="22" type="noConversion"/>
  </si>
  <si>
    <t>Start year: 1921</t>
    <phoneticPr fontId="22" type="noConversion"/>
  </si>
  <si>
    <t>Re 17561, 17596, 18213, 19638</t>
    <phoneticPr fontId="22" type="noConversion"/>
  </si>
  <si>
    <t>Re 18011</t>
    <phoneticPr fontId="22" type="noConversion"/>
  </si>
  <si>
    <r>
      <t>Licensees (though they were obliged to contribute patents)</t>
    </r>
    <r>
      <rPr>
        <sz val="10"/>
        <rFont val="Verdana"/>
      </rPr>
      <t>:</t>
    </r>
    <phoneticPr fontId="22" type="noConversion"/>
  </si>
  <si>
    <t>After WWI, Robert Bosch again engaged in selling its products in the United States and, in 1921, the Robert Bosch Magneto Company was organized to act as the sole importer and distributor in the United States of Robert Bosch's products.</t>
    <phoneticPr fontId="22" type="noConversion"/>
  </si>
  <si>
    <t>In 1921, Centrifugal (which organized International DeLavaud Manufacturing Corporation) granted U.S. Pipe an exclusive license for the United States, with power to sublicense, to manufacture, and to use machines embodying inventions for the production of the deLavaud pipe. At about the same time International entered into such reciprocal arrangements with Centrifugal.  Centrifugal agreed to grant U.S. Pipe exclusive licenses under all or any of said patents assigned to it by International.</t>
    <phoneticPr fontId="22" type="noConversion"/>
  </si>
  <si>
    <t>Vaughan (p. 158): "According to a complaint of 1942, American Bosch Corporation and certain foreign companies exchanged patent licenses and divided sales territories relating to these products.  A consent decree of the same date cancelled various agreements; required unrestricted licenses for certain patented products without conditions, except the payment of a reasonable royalty after the war; and enjoined American Bosch from transferring patent rights except with the court's approval."</t>
    <phoneticPr fontId="22" type="noConversion"/>
  </si>
  <si>
    <t>Patents listed in Exhibit C of the consent decree:</t>
    <phoneticPr fontId="22" type="noConversion"/>
  </si>
  <si>
    <t>NAR Atlanta</t>
    <phoneticPr fontId="22" type="noConversion"/>
  </si>
  <si>
    <t>SN585467</t>
    <phoneticPr fontId="22" type="noConversion"/>
  </si>
  <si>
    <t>Technology: "Rail joint bars, sometimes called splice bars or fishplates, are used to support and fasten together the ends of railroad rails.  When the bars became worn, it was necessary, prior to 1925, to replace them with new bars.  About this time the process of reforming or reshaping worn bars was started, and it developed to such an extent that most railways by 1943 shipped such bars to mills for re-forming.  The process is basically simple-a worn rail bar, after being heated, is placed in a die and subjected to heavy pressure, and thus formed into a bar with smooth surfaces.  The cost of this reforming is from one-fifth to one-third the price of new bars" (Vaughan, p. 55).</t>
    <phoneticPr fontId="22" type="noConversion"/>
  </si>
  <si>
    <r>
      <t>Licensees (did not add patents)</t>
    </r>
    <r>
      <rPr>
        <sz val="10"/>
        <rFont val="Arial"/>
        <family val="2"/>
      </rPr>
      <t>:</t>
    </r>
    <phoneticPr fontId="22" type="noConversion"/>
  </si>
  <si>
    <r>
      <t>Pool members</t>
    </r>
    <r>
      <rPr>
        <sz val="10"/>
        <rFont val="Arial"/>
        <family val="2"/>
      </rPr>
      <t>:</t>
    </r>
    <phoneticPr fontId="22" type="noConversion"/>
  </si>
  <si>
    <t>Vaughan (p. 55): "Three companies-Rail Joint, Woodings-Verona, and McKenna-each owned patents pertaining to the design of rail joint bars and also patents on the process of re-forming.  The three companies aided each other in securing such patents and exchanged information concerning them.  Beginning about 1928, they pooled their patents through cross-licensing agreements and sublicensed seven other companies to use some or all of them.  A consent judgment of 1944 enjoined these objectionable practices and directed these companies to dedicate certain patents to the public."</t>
    <phoneticPr fontId="22" type="noConversion"/>
  </si>
  <si>
    <t>Start year: 1928</t>
    <phoneticPr fontId="22" type="noConversion"/>
  </si>
  <si>
    <t>End year: 1944 (consent decree).</t>
    <phoneticPr fontId="22" type="noConversion"/>
  </si>
  <si>
    <t>Open licensing:</t>
    <phoneticPr fontId="22" type="noConversion"/>
  </si>
  <si>
    <t>Foreign firms: No</t>
    <phoneticPr fontId="22" type="noConversion"/>
  </si>
  <si>
    <t>Patent holding company: No</t>
    <phoneticPr fontId="22" type="noConversion"/>
  </si>
  <si>
    <t>Re 18568</t>
    <phoneticPr fontId="22" type="noConversion"/>
  </si>
  <si>
    <t>Patents listed in Exhibit A of Final Judgment, United States v. United States Pipe and Foundry Co., CCH 1948-49 Trade Cases 62,285 (D.N.J. Civil No. 10772; Complaint, 1947; Consent Decree, 1948):</t>
    <phoneticPr fontId="22" type="noConversion"/>
  </si>
  <si>
    <t>In its lease-license agreeement with U.S. Pope, Clow assigned its patents and patent applications to U.S. Pipe and also agreed to convey to U.S. Pipe all patents or patent applications owned by Clow relating to centrifugal pipe.</t>
    <phoneticPr fontId="22" type="noConversion"/>
  </si>
  <si>
    <r>
      <t>On September 12, 1931, the </t>
    </r>
    <r>
      <rPr>
        <b/>
        <sz val="10"/>
        <color indexed="25"/>
        <rFont val="Arial"/>
      </rPr>
      <t>McKenna Process Company of Illinois,</t>
    </r>
    <r>
      <rPr>
        <sz val="10"/>
        <color indexed="8"/>
        <rFont val="Arial"/>
        <family val="2"/>
      </rPr>
      <t> as the owner of a large number of patents issued in name of George Langford for the process of reforming worn rail joint bars, granted an exclusive license [***2]  under said patents to the Rail Joint Company of New York with power to grant sublicenses. On the same date, by a separate contract, the Rail Joint Company of New York granted a sublicense of all the Langford patents to the </t>
    </r>
    <r>
      <rPr>
        <b/>
        <sz val="10"/>
        <color indexed="25"/>
        <rFont val="Arial"/>
      </rPr>
      <t>McKenna Process Company of Illinois,</t>
    </r>
    <r>
      <rPr>
        <sz val="10"/>
        <color indexed="8"/>
        <rFont val="Arial"/>
        <family val="2"/>
      </rPr>
      <t> and on the same date, and by another separate contract, the Rail Joint Company of [*104]  New York granted a sublicense to the McKenna Process Company of certain patents owned by the Rail Joint Company.</t>
    </r>
    <phoneticPr fontId="22" type="noConversion"/>
  </si>
  <si>
    <r>
      <t>Licensees (did not add patents)</t>
    </r>
    <r>
      <rPr>
        <sz val="10"/>
        <rFont val="Verdana"/>
      </rPr>
      <t>:</t>
    </r>
    <phoneticPr fontId="22" type="noConversion"/>
  </si>
  <si>
    <t>Sturtevant formerly owned a controlling interest in the Cooling &amp; Air Conditioning Corporation, and later assumed complete control of it (pp. 4-5).</t>
    <phoneticPr fontId="22" type="noConversion"/>
  </si>
  <si>
    <t>X</t>
    <phoneticPr fontId="22" type="noConversion"/>
  </si>
  <si>
    <t>X</t>
    <phoneticPr fontId="22" type="noConversion"/>
  </si>
  <si>
    <t>Technology: "Air conditioning means the control of the temperature and humidity of the air, either for personal comfort or industrial processes, by means of fans and humidifiers" (Vaughan, p. 56).</t>
    <phoneticPr fontId="22" type="noConversion"/>
  </si>
  <si>
    <t>Patent holding company: Yes (Auditorium Conditioning Corporation)</t>
    <phoneticPr fontId="22" type="noConversion"/>
  </si>
  <si>
    <t>Compulsory licensing: DP</t>
    <phoneticPr fontId="22" type="noConversion"/>
  </si>
  <si>
    <t>Start year: 1927</t>
    <phoneticPr fontId="22" type="noConversion"/>
  </si>
  <si>
    <t>End year: 1945 (consent decree)</t>
    <phoneticPr fontId="22" type="noConversion"/>
  </si>
  <si>
    <t>Compulsory licensing: DP, RR</t>
    <phoneticPr fontId="22" type="noConversion"/>
  </si>
  <si>
    <t>Compulsory licensing: DP</t>
    <phoneticPr fontId="22" type="noConversion"/>
  </si>
  <si>
    <t>Firms: Parkrite, Karpark, Dual, Vehicular Parking (patent holding company).</t>
    <phoneticPr fontId="22" type="noConversion"/>
  </si>
  <si>
    <r>
      <t>Licensees (did not add patents)</t>
    </r>
    <r>
      <rPr>
        <sz val="10"/>
        <rFont val="Verdana"/>
      </rPr>
      <t>:</t>
    </r>
    <phoneticPr fontId="22" type="noConversion"/>
  </si>
  <si>
    <t>Rhodes</t>
    <phoneticPr fontId="22" type="noConversion"/>
  </si>
  <si>
    <t>Duncan</t>
    <phoneticPr fontId="22" type="noConversion"/>
  </si>
  <si>
    <t>Micro</t>
    <phoneticPr fontId="22" type="noConversion"/>
  </si>
  <si>
    <t>Standard</t>
    <phoneticPr fontId="22" type="noConversion"/>
  </si>
  <si>
    <t>Start year: 1937</t>
    <phoneticPr fontId="22" type="noConversion"/>
  </si>
  <si>
    <t>Warren Foundry &amp; Pipe Corporation</t>
  </si>
  <si>
    <t>1924Sand</t>
    <phoneticPr fontId="22" type="noConversion"/>
  </si>
  <si>
    <t>Open licensing: No</t>
    <phoneticPr fontId="22" type="noConversion"/>
  </si>
  <si>
    <t>Type of Compulsory Licensing</t>
    <phoneticPr fontId="22" type="noConversion"/>
  </si>
  <si>
    <t>RF</t>
    <phoneticPr fontId="22" type="noConversion"/>
  </si>
  <si>
    <t>1924Sand</t>
    <phoneticPr fontId="22" type="noConversion"/>
  </si>
  <si>
    <t>Camerota</t>
    <phoneticPr fontId="22" type="noConversion"/>
  </si>
  <si>
    <t>X</t>
    <phoneticPr fontId="22" type="noConversion"/>
  </si>
  <si>
    <t>DP</t>
    <phoneticPr fontId="22" type="noConversion"/>
  </si>
  <si>
    <t>Type of Compulsory Licensing</t>
    <phoneticPr fontId="22" type="noConversion"/>
  </si>
  <si>
    <t>RR</t>
    <phoneticPr fontId="22" type="noConversion"/>
  </si>
  <si>
    <t>Woodings-Verona</t>
    <phoneticPr fontId="22" type="noConversion"/>
  </si>
  <si>
    <t>Rail Joint Company</t>
    <phoneticPr fontId="22" type="noConversion"/>
  </si>
  <si>
    <t>Firms: Rail Joint Company, Woodings-Verona, and McKenna Process Company.</t>
    <phoneticPr fontId="22" type="noConversion"/>
  </si>
  <si>
    <t>McKenna Process Company</t>
    <phoneticPr fontId="22" type="noConversion"/>
  </si>
  <si>
    <t>Illinois Rail Joint Company</t>
    <phoneticPr fontId="22" type="noConversion"/>
  </si>
  <si>
    <t>DP</t>
    <phoneticPr fontId="22" type="noConversion"/>
  </si>
  <si>
    <t>Patents listed in Exhibit A of the consent decree:</t>
    <phoneticPr fontId="22" type="noConversion"/>
  </si>
  <si>
    <t>Re 15773</t>
    <phoneticPr fontId="22" type="noConversion"/>
  </si>
  <si>
    <t>Firms: American Cast Iron Pipe Company, Florence Pipe Foundry and Machine Company, Warren Foundry &amp; Pipe Corporation, and Sand Spun Patents (patent holding company).</t>
    <phoneticPr fontId="22" type="noConversion"/>
  </si>
  <si>
    <t>Shuron Optcal</t>
    <phoneticPr fontId="22" type="noConversion"/>
  </si>
  <si>
    <t>Continental Optical</t>
    <phoneticPr fontId="22" type="noConversion"/>
  </si>
  <si>
    <t>New Jersey Optical</t>
    <phoneticPr fontId="22" type="noConversion"/>
  </si>
  <si>
    <t>Bay State</t>
    <phoneticPr fontId="22" type="noConversion"/>
  </si>
  <si>
    <t>Three types of patented frames Ful-Vue, Numont, and Loxit (p. 29).  American Optical had control of the Ful-Vue and Numont patents, while Bausch &amp; Lomb had control of the Loxit patents.  In 1938 the two companies pooled the patents and fixed license prices.</t>
    <phoneticPr fontId="22" type="noConversion"/>
  </si>
  <si>
    <t>End year: 1955 (consent decree)</t>
    <phoneticPr fontId="22" type="noConversion"/>
  </si>
  <si>
    <t>Start year: 1937</t>
    <phoneticPr fontId="22" type="noConversion"/>
  </si>
  <si>
    <t>X</t>
  </si>
  <si>
    <t>Compulsory licensing: RAND.</t>
    <phoneticPr fontId="22" type="noConversion"/>
  </si>
  <si>
    <t>Start year: 1938.</t>
    <phoneticPr fontId="22" type="noConversion"/>
  </si>
  <si>
    <t>End year: 1948 (consent decree).</t>
    <phoneticPr fontId="22" type="noConversion"/>
  </si>
  <si>
    <t>Open licensing: Yes.</t>
    <phoneticPr fontId="22" type="noConversion"/>
  </si>
  <si>
    <t>Patent holding company: No.</t>
    <phoneticPr fontId="22" type="noConversion"/>
  </si>
  <si>
    <t>Technology: Ophthalmic frames.</t>
    <phoneticPr fontId="22" type="noConversion"/>
  </si>
  <si>
    <t>Americaon Optical</t>
    <phoneticPr fontId="22" type="noConversion"/>
  </si>
  <si>
    <t>Patents listed in Schedule A of Final Judgment, to be dedicated to the public:</t>
    <phoneticPr fontId="22" type="noConversion"/>
  </si>
  <si>
    <t>Grantbacks: Yes (by the further terms of the agreements referred to…both Carrier Engineering Corporation and Cooling &amp; Air Conditioning Corporation agreed to assign all future air conditioning patents)</t>
    <phoneticPr fontId="22" type="noConversion"/>
  </si>
  <si>
    <t>Carrier Engineering Corporation</t>
    <phoneticPr fontId="22" type="noConversion"/>
  </si>
  <si>
    <t>American Blower</t>
    <phoneticPr fontId="22" type="noConversion"/>
  </si>
  <si>
    <t>York</t>
    <phoneticPr fontId="22" type="noConversion"/>
  </si>
  <si>
    <t>United States v. The Ohio Crankshaft Co., CCH 1958 Trade Cases 69,020 (N.D. Ohio).  Civil No. 28299.</t>
  </si>
  <si>
    <t>LA, WO</t>
  </si>
  <si>
    <t>Clarage Fan Company</t>
    <phoneticPr fontId="22" type="noConversion"/>
  </si>
  <si>
    <t>The Trane Company</t>
    <phoneticPr fontId="22" type="noConversion"/>
  </si>
  <si>
    <t>U.S. Air Conditioning Company</t>
    <phoneticPr fontId="22" type="noConversion"/>
  </si>
  <si>
    <t>Number of licensees: 7</t>
    <phoneticPr fontId="22" type="noConversion"/>
  </si>
  <si>
    <t>Firms: Carrier Engineering Corporation, Cooling &amp; Air Conditioning Corporation, American Blower Corporation, and York Ice Machinery Corporation, Auditorium Conditioning Corporation (patent holding company).</t>
    <phoneticPr fontId="22" type="noConversion"/>
  </si>
  <si>
    <t>Schedule C from Final Judgment - reasonable royalty:</t>
    <phoneticPr fontId="22" type="noConversion"/>
  </si>
  <si>
    <t>SN442,742</t>
    <phoneticPr fontId="22" type="noConversion"/>
  </si>
  <si>
    <t>1925Vent</t>
  </si>
  <si>
    <t>Fedeler</t>
  </si>
  <si>
    <t>Reissue 18328</t>
    <phoneticPr fontId="22" type="noConversion"/>
  </si>
  <si>
    <t>SN 529,978</t>
    <phoneticPr fontId="22" type="noConversion"/>
  </si>
  <si>
    <t>Dahlman</t>
    <phoneticPr fontId="22" type="noConversion"/>
  </si>
  <si>
    <t>SN 529,977</t>
    <phoneticPr fontId="22" type="noConversion"/>
  </si>
  <si>
    <t>Ross Industries</t>
    <phoneticPr fontId="22" type="noConversion"/>
  </si>
  <si>
    <t>Frick Company</t>
    <phoneticPr fontId="22" type="noConversion"/>
  </si>
  <si>
    <t>Westinghouse Electric &amp; Mfg. Co.</t>
    <phoneticPr fontId="22" type="noConversion"/>
  </si>
  <si>
    <t>Buffalo Forge Company</t>
    <phoneticPr fontId="22" type="noConversion"/>
  </si>
  <si>
    <t>Karpark (Joynt, Taylor, &amp; Symington)</t>
    <phoneticPr fontId="22" type="noConversion"/>
  </si>
  <si>
    <t>Dual</t>
    <phoneticPr fontId="22" type="noConversion"/>
  </si>
  <si>
    <t>Cooling &amp; Air Conditioning Corporation (Sturtevant)</t>
    <phoneticPr fontId="22" type="noConversion"/>
  </si>
  <si>
    <t>Will need to figure out the list of patents.  This is difficult; there were three agreements: Ajax/Budd, Ohio/Budd, Ohio/Ajax (?)  This pool was *not* broken up by litigation.</t>
    <phoneticPr fontId="22" type="noConversion"/>
  </si>
  <si>
    <t>On May 6, 1946, a final decree was entered.  This decree provided for the compulsory grant of patent licenses on reasonable royalties.</t>
    <phoneticPr fontId="22" type="noConversion"/>
  </si>
  <si>
    <t>Lowres Optical</t>
    <phoneticPr fontId="22" type="noConversion"/>
  </si>
  <si>
    <t>Bishop Co.</t>
    <phoneticPr fontId="22" type="noConversion"/>
  </si>
  <si>
    <t>United Optical Company</t>
    <phoneticPr fontId="22" type="noConversion"/>
  </si>
  <si>
    <t>Du Paul Central Optical Co.</t>
    <phoneticPr fontId="22" type="noConversion"/>
  </si>
  <si>
    <t>End year: 1946 (Consent Decree)</t>
    <phoneticPr fontId="22" type="noConversion"/>
  </si>
  <si>
    <t>Number of licensees: 4 (Rhodes, Duncan, Micro, Standard).</t>
    <phoneticPr fontId="22" type="noConversion"/>
  </si>
  <si>
    <t>Compulsory licensing: RAND.</t>
    <phoneticPr fontId="22" type="noConversion"/>
  </si>
  <si>
    <t>Patent holding company: Yes (Vehicular Parking).</t>
    <phoneticPr fontId="22" type="noConversion"/>
  </si>
  <si>
    <t>Technology: Parking meters.</t>
    <phoneticPr fontId="22" type="noConversion"/>
  </si>
  <si>
    <t>Foreign firms: No.</t>
    <phoneticPr fontId="22" type="noConversion"/>
  </si>
  <si>
    <t>Patent holding company: Yes (American Air Filter Company)</t>
    <phoneticPr fontId="22" type="noConversion"/>
  </si>
  <si>
    <t>Schedule A from Final Judgment:</t>
    <phoneticPr fontId="22" type="noConversion"/>
  </si>
  <si>
    <t>Technology: Air filters including devices for cleaning the air in ventilating and air-conditioning systems.</t>
    <phoneticPr fontId="22" type="noConversion"/>
  </si>
  <si>
    <t>Start year: 1925</t>
    <phoneticPr fontId="22" type="noConversion"/>
  </si>
  <si>
    <t>End year: 1946 (consent decree)</t>
    <phoneticPr fontId="22" type="noConversion"/>
  </si>
  <si>
    <t>License not at National Archives in New York</t>
    <phoneticPr fontId="22" type="noConversion"/>
  </si>
  <si>
    <t>Vaughan (pp. 92-93): "In 1925, two companies created the American Air Filter Company, assigning it their patents and receiving licenses in return…A consent decreee of September, 1946, required American Air Filter and another company to dedicate fifty-one air-filter patents to the public and to license thirty additional patents at reasonable royalties."</t>
    <phoneticPr fontId="22" type="noConversion"/>
  </si>
  <si>
    <t>Pooling the Loxit patents with the Ful-Vue and Numont patents would "aid" the Numont price control program.</t>
    <phoneticPr fontId="22" type="noConversion"/>
  </si>
  <si>
    <t>plus others</t>
    <phoneticPr fontId="22" type="noConversion"/>
  </si>
  <si>
    <t>Number of licensees: 14+ (listed below).</t>
    <phoneticPr fontId="22" type="noConversion"/>
  </si>
  <si>
    <t>Parkrite</t>
    <phoneticPr fontId="22" type="noConversion"/>
  </si>
  <si>
    <t>Woodruff (Parkrite)</t>
    <phoneticPr fontId="22" type="noConversion"/>
  </si>
  <si>
    <t>Seeberg (Parkrite)</t>
    <phoneticPr fontId="22" type="noConversion"/>
  </si>
  <si>
    <r>
      <t>Licensees (who didn’t added patents) from complaint (p. 17, 47, 63, 69)</t>
    </r>
    <r>
      <rPr>
        <sz val="10"/>
        <rFont val="Verdana"/>
      </rPr>
      <t>:</t>
    </r>
    <phoneticPr fontId="22" type="noConversion"/>
  </si>
  <si>
    <t>T. &amp; P. Optical</t>
    <phoneticPr fontId="22" type="noConversion"/>
  </si>
  <si>
    <t>Martin-Copeland</t>
    <phoneticPr fontId="22" type="noConversion"/>
  </si>
  <si>
    <t>Vehicular Parking, Ltd had been formed in 1937 by the managmenet of Parkrite.  The first agreement was made in that year with Karpark and Parkrite.  It provided for the assignment of the patents owned by these concerns to Vehicular Parking and a license back from Vehicular to each of these concerns.  The patents so assigned included Doyle 1,752,021 which could be literally contrued to cover all parking meteres.  Mi-Co agreed to take license in September 1939, conditioned on the taking of similar licenses by at least five of the seven meter manufacturers.  In January 1940-after its prospective customers had been given patent infringement notices by Vehicular Parking-Rhodes took a license conditioned on Dual taking a similar license.  Duncan agreed to take a license when Dual did so.  By fall 1940, Vehicular had acquired the patents of Karpark, Parkrite, and Dual, and had licensed all the substantial companies in the business, namely Karpark, Parkrite, Dual, Duncan, Standard, Mi-Co, and Rhodes.</t>
    <phoneticPr fontId="22" type="noConversion"/>
  </si>
  <si>
    <t>Schedule A of Final Judgment (royalty-free licensing):</t>
    <phoneticPr fontId="22" type="noConversion"/>
  </si>
  <si>
    <t>Kodak</t>
    <phoneticPr fontId="22" type="noConversion"/>
  </si>
  <si>
    <t>Kodak</t>
    <phoneticPr fontId="22" type="noConversion"/>
  </si>
  <si>
    <t>Toll (Parkrite)</t>
    <phoneticPr fontId="22" type="noConversion"/>
  </si>
  <si>
    <t>Toco (Vehicular)</t>
    <phoneticPr fontId="22" type="noConversion"/>
  </si>
  <si>
    <t>Symington (Vehicular)</t>
    <phoneticPr fontId="22" type="noConversion"/>
  </si>
  <si>
    <t>Magee (Dual)</t>
    <phoneticPr fontId="22" type="noConversion"/>
  </si>
  <si>
    <t>Elastic-Top Hosiery and Machinery</t>
  </si>
  <si>
    <t>Metal Textile Corporation</t>
    <phoneticPr fontId="22" type="noConversion"/>
  </si>
  <si>
    <t>X</t>
    <phoneticPr fontId="22" type="noConversion"/>
  </si>
  <si>
    <t>Magee (Dual)</t>
    <phoneticPr fontId="22" type="noConversion"/>
  </si>
  <si>
    <t>Hale (Dual)</t>
    <phoneticPr fontId="22" type="noConversion"/>
  </si>
  <si>
    <t>McGay (Dual)</t>
    <phoneticPr fontId="22" type="noConversion"/>
  </si>
  <si>
    <t>Nice article on parking meter industry: http://ipmall.org/hosted_resources/IDEA/pdf/2_IDEA_1958_31.pdf</t>
    <phoneticPr fontId="22" type="noConversion"/>
  </si>
  <si>
    <r>
      <t>Notes from article (consistent with complaint):</t>
    </r>
    <r>
      <rPr>
        <sz val="10"/>
        <rFont val="Verdana"/>
      </rPr>
      <t xml:space="preserve"> </t>
    </r>
    <phoneticPr fontId="22" type="noConversion"/>
  </si>
  <si>
    <t>Bausch &amp; Lomb</t>
    <phoneticPr fontId="22" type="noConversion"/>
  </si>
  <si>
    <t>Universal</t>
    <phoneticPr fontId="22" type="noConversion"/>
  </si>
  <si>
    <t>Artcraft Optical</t>
    <phoneticPr fontId="22" type="noConversion"/>
  </si>
  <si>
    <t>Pre-1917.  Initial patent issued on 1912.  Improvements were granted back.  Does not appear to meet requirements of a pool.  May be incorrect pool.</t>
    <phoneticPr fontId="22" type="noConversion"/>
  </si>
  <si>
    <t>19??Acry</t>
    <phoneticPr fontId="22" type="noConversion"/>
  </si>
  <si>
    <t>Inductive Heat Treatments</t>
  </si>
  <si>
    <t>American Cast Iron Pipe Company</t>
  </si>
  <si>
    <t>Florence Pipe Foundry and Machine Company</t>
  </si>
  <si>
    <t>Vaughan (pp. 89): "Vehicular Parking, solely a patent holding company, acquired patents of questionable validity from various sources.  The promoter wrote to two of the defendants, "The parking-meter business is now [in existence] and seems to offer ample opportunity for profit.  From my study of the patent aspects it seems that very little has been done to create a patent monopoly...The actual strength of the patent monopoly must be gotten from a number of patents covering individual types of parking meters.  If the Doyle patent were pooled with the other patents owned by Park-Rite Coporation and the several patents and patent applications owned by Dual Parking Meter Company, I fee that this pooling would result in a first-rate step toward establishing a dominant position in the parking-meter field."  The obvious purpose was to close all roads leading to a particular industry."</t>
    <phoneticPr fontId="22" type="noConversion"/>
  </si>
  <si>
    <t>Ser 69166</t>
    <phoneticPr fontId="22" type="noConversion"/>
  </si>
  <si>
    <t>Ser 86045</t>
    <phoneticPr fontId="22" type="noConversion"/>
  </si>
  <si>
    <t>Ser 112484</t>
    <phoneticPr fontId="22" type="noConversion"/>
  </si>
  <si>
    <t>Foreign firms: No</t>
    <phoneticPr fontId="22" type="noConversion"/>
  </si>
  <si>
    <t>Start year: 1924</t>
    <phoneticPr fontId="22" type="noConversion"/>
  </si>
  <si>
    <t>End year: 1949</t>
    <phoneticPr fontId="22" type="noConversion"/>
  </si>
  <si>
    <t>Patent holding company: Yes (Sand Spun Patents)</t>
    <phoneticPr fontId="22" type="noConversion"/>
  </si>
  <si>
    <t>Vaughan (pp. 274-75): "According to a government complaint of 194, Eastman and Technicolor Motion Pictures Corporation, in 1934, made exclusive agreements with each other covering a process and film.  A final judgment of November, 1948, ordered Eastman to grant licenses under certain patents without royalties, and under others with reasonable royalties; to furnish know-how; to refrain from action against any alleged infringer; and to discontinue discrimination in the sale of film.  A consent judgment of 1950 required Technicolor to terminate arrangement which forced motion-picture producers and other customers to use only its cameras and other facilities in making color motion pictures and to license its patents."</t>
    <phoneticPr fontId="22" type="noConversion"/>
  </si>
  <si>
    <t>CO, LA, FJ</t>
    <phoneticPr fontId="22" type="noConversion"/>
  </si>
  <si>
    <t>1927Airc</t>
    <phoneticPr fontId="22" type="noConversion"/>
  </si>
  <si>
    <t>Kodak patents listed in Final Judgment (royalty-free licensing):</t>
    <phoneticPr fontId="22" type="noConversion"/>
  </si>
  <si>
    <t>Kodak patents listed in Final Judgment (RAND licensing):</t>
    <phoneticPr fontId="22" type="noConversion"/>
  </si>
  <si>
    <t>United States v. Technicolor, Inc., CCH 1950-51 Trade Cases 2,586 (S.D. Calif. Civil No. 7507-M; Complaint, 1947; Consent Judgments, 1948 and 1950).</t>
    <phoneticPr fontId="22" type="noConversion"/>
  </si>
  <si>
    <t>274-75</t>
    <phoneticPr fontId="22" type="noConversion"/>
  </si>
  <si>
    <t>N</t>
    <phoneticPr fontId="22" type="noConversion"/>
  </si>
  <si>
    <t>Pursuant to the terms of the aforesaid conspiracy, Davis Co. has refrained from granting licenses for the manufacture and sale of elastic top hosiery machiney under the pooled patents to anyone other than S&amp;W.</t>
    <phoneticPr fontId="22" type="noConversion"/>
  </si>
  <si>
    <t>Open licensing: No.</t>
    <phoneticPr fontId="22" type="noConversion"/>
  </si>
  <si>
    <t>Start year: 1946</t>
    <phoneticPr fontId="22" type="noConversion"/>
  </si>
  <si>
    <t>1946Elas</t>
  </si>
  <si>
    <t>NAR Riverside (LA)</t>
    <phoneticPr fontId="22" type="noConversion"/>
  </si>
  <si>
    <t>Color Film</t>
    <phoneticPr fontId="22" type="noConversion"/>
  </si>
  <si>
    <t>1934Colo</t>
    <phoneticPr fontId="22" type="noConversion"/>
  </si>
  <si>
    <t>Y</t>
    <phoneticPr fontId="22" type="noConversion"/>
  </si>
  <si>
    <t>1934Colo</t>
    <phoneticPr fontId="22" type="noConversion"/>
  </si>
  <si>
    <t>Magee (Dual)</t>
    <phoneticPr fontId="22" type="noConversion"/>
  </si>
  <si>
    <t>Application Year</t>
    <phoneticPr fontId="22" type="noConversion"/>
  </si>
  <si>
    <t>Grant Year</t>
    <phoneticPr fontId="22" type="noConversion"/>
  </si>
  <si>
    <t>Technicolor</t>
  </si>
  <si>
    <t>Technicolor</t>
    <phoneticPr fontId="22" type="noConversion"/>
  </si>
  <si>
    <t>United States v. The Davis Co., CCH 1952 Trade Cases 67,403 (S.D.N.Y. Civil No. 54-357; Complaint, 1949; Consent Judgment, 1952).  See also: Baker-Cammack v. Davis., 181 F.2d 550 (1950).</t>
  </si>
  <si>
    <t>Y</t>
    <phoneticPr fontId="22" type="noConversion"/>
  </si>
  <si>
    <t>DP</t>
    <phoneticPr fontId="22" type="noConversion"/>
  </si>
  <si>
    <t>Schedule B from Final Judgment - patents to be dedicated to the public:</t>
    <phoneticPr fontId="22" type="noConversion"/>
  </si>
  <si>
    <t>From Schedule B:</t>
    <phoneticPr fontId="22" type="noConversion"/>
  </si>
  <si>
    <t>Two distinct and competing methods for producing elastic top hosiery resulted from experimentation to devise efficient means for incorporating Lastex into hosiery.  Patents for the "knit=in" and "laid-in" methods were filed by Robert E. Davis, Sr. and James L. Getaz.  Additional patents were also issued to Davis, Jr. which were assigned to Davis and Son, covering improvements of the Davis inventions relating to knit-in elastic top hosiery.  In addition, a separate U.S. patent issued to one Gustav Gastrich relating to a ravel-proof edge for elastic top hosiery.  Interwoven obtained the exclusive right to manufacutre, sell and use men's hosiery throughout the U.S. under the Davis and Getaz patent applications in 1935 and 1936.  All remaining rights in the Davis patents were retained by Davis &amp; Son while an option to acquire the remaining rights in the Getaz patents was acquired in 1937 by S&amp;W.  This option was exercised in 1939.  In 1938 S&amp;W acquired an exclusive license under the Gastrich patent to manufacture, use and sell seamless elastic top hosiery in accordance with said patent and to manufacture, use and sell machinery designed to produce such hosiery.</t>
    <phoneticPr fontId="22" type="noConversion"/>
  </si>
  <si>
    <t>In 1946 Davis and Son, S&amp;W and Interwoven caused the formation of Davis Co. to act as a holding company and patent pool and transferred it fifteen patents relating to the manufacture of elastic top hosiery and elastic top hosiery machiney.</t>
    <phoneticPr fontId="22" type="noConversion"/>
  </si>
  <si>
    <t>Getz</t>
    <phoneticPr fontId="22" type="noConversion"/>
  </si>
  <si>
    <t>End year: 1952</t>
    <phoneticPr fontId="22" type="noConversion"/>
  </si>
  <si>
    <t>Century Oxford</t>
    <phoneticPr fontId="22" type="noConversion"/>
  </si>
  <si>
    <t>Technology: Methods for molding pipe by centrifugal force.</t>
    <phoneticPr fontId="22" type="noConversion"/>
  </si>
  <si>
    <t>Number of licensees: 0</t>
    <phoneticPr fontId="22" type="noConversion"/>
  </si>
  <si>
    <t>In 1924, the three manufacturers agreed to form Sand Spun Patents, assign to it their patents and obtain licenses from it (that would not be transferred to others).</t>
    <phoneticPr fontId="22" type="noConversion"/>
  </si>
  <si>
    <t>American Optical</t>
    <phoneticPr fontId="22" type="noConversion"/>
  </si>
  <si>
    <t>Bausch &amp; Lomb</t>
    <phoneticPr fontId="22" type="noConversion"/>
  </si>
  <si>
    <t>Royalty-free licensing: (use) patents listed in Final Judgment (Exhibit B):</t>
    <phoneticPr fontId="22" type="noConversion"/>
  </si>
  <si>
    <t>Compulsory licensing: Yes, both RAND and DP.</t>
    <phoneticPr fontId="22" type="noConversion"/>
  </si>
  <si>
    <t>RAND licensing: patents listed in Final Judgment (Exhibit C):</t>
    <phoneticPr fontId="22" type="noConversion"/>
  </si>
  <si>
    <t>RAND licensing: (process) patents listed in Final Judgment (Exhibit A):</t>
    <phoneticPr fontId="22" type="noConversion"/>
  </si>
  <si>
    <t>Firms: Liquid Carbonic Corporation, Pure Carbonic (controlled by Air Reduction Company), Wyandotte Chemicals Corporation,  International Carbonic Engineering Company, and International Carbonic, Inc (patent holding company).</t>
    <phoneticPr fontId="22" type="noConversion"/>
  </si>
  <si>
    <t>N</t>
    <phoneticPr fontId="22" type="noConversion"/>
  </si>
  <si>
    <t>Owned by:</t>
    <phoneticPr fontId="22" type="noConversion"/>
  </si>
  <si>
    <t>?</t>
  </si>
  <si>
    <t>Firms: Archer-Daniels-Midland Company, Glidden Company, Ross and Rowe (sales agent for Archer and Glidden), Hansa-Meuhle G.m.b.H. (German), Hanseatische Muehlenwrke Aktiengesellschaft (German, not original pool member), Aarhus Oliefabrik (Danish), and American Lecithin Company (patent holding company).</t>
    <phoneticPr fontId="22" type="noConversion"/>
  </si>
  <si>
    <t>Aarhus</t>
  </si>
  <si>
    <t>Ross and Rowe</t>
  </si>
  <si>
    <t>Ross and Rowe</t>
    <phoneticPr fontId="22" type="noConversion"/>
  </si>
  <si>
    <r>
      <t>Licensees (did not add patents)</t>
    </r>
    <r>
      <rPr>
        <sz val="10"/>
        <rFont val="Verdana"/>
      </rPr>
      <t>:</t>
    </r>
    <phoneticPr fontId="22" type="noConversion"/>
  </si>
  <si>
    <t xml:space="preserve">Firms: </t>
    <phoneticPr fontId="22" type="noConversion"/>
  </si>
  <si>
    <t>Wyandotte Chemicals Corporation</t>
  </si>
  <si>
    <t>Wyandotte Chemicals Corporation</t>
    <phoneticPr fontId="22" type="noConversion"/>
  </si>
  <si>
    <t>12 June, 1934</t>
    <phoneticPr fontId="22" type="noConversion"/>
  </si>
  <si>
    <t>Proctor &amp; Gamble</t>
    <phoneticPr fontId="22" type="noConversion"/>
  </si>
  <si>
    <t>Co-conspirator Hansa, in 1935, assigned to the defendant American a large number of patents and applications (listed in Exhibit B above), and the American Lecithin Corporation and defendants Glidden, Archer, and Rowe each assigned to the defendant American other patents (listed in Exhibit C).  Additional patents have been secured and applications for patents have been filed by the defendant American (included in Exhibit C).</t>
    <phoneticPr fontId="22" type="noConversion"/>
  </si>
  <si>
    <t>Archer-Daniels-Midland</t>
  </si>
  <si>
    <t>Archer-Daniels-Midland</t>
    <phoneticPr fontId="22" type="noConversion"/>
  </si>
  <si>
    <t>Glidden Company</t>
  </si>
  <si>
    <t>Glidden Company</t>
    <phoneticPr fontId="22" type="noConversion"/>
  </si>
  <si>
    <t>Hansa</t>
  </si>
  <si>
    <t>Number of licensees: 1 (Proctor and Gamble was a licensee but two other firms refused to be licensed).</t>
    <phoneticPr fontId="22" type="noConversion"/>
  </si>
  <si>
    <t>Open licensing: No (tried to avoid competition).</t>
    <phoneticPr fontId="22" type="noConversion"/>
  </si>
  <si>
    <t>Grant Date (off by 1 day)</t>
    <phoneticPr fontId="22" type="noConversion"/>
  </si>
  <si>
    <t>From final judgment: Schedule A (patents dedicated to the public)</t>
    <phoneticPr fontId="22" type="noConversion"/>
  </si>
  <si>
    <t>Schedule B from Final Judgment (RAND licensing):</t>
    <phoneticPr fontId="22" type="noConversion"/>
  </si>
  <si>
    <t>1934Stai</t>
  </si>
  <si>
    <t>Stainless Steel</t>
  </si>
  <si>
    <t>United States v. Allegheny Ludlum Steel Corp., CCH 1948-49 Trade Cases 62,330 (D.N.J. Civil No. 45-83; Complaint, 1945; Consent Judgment, 1949).</t>
  </si>
  <si>
    <t>CO, FJ</t>
  </si>
  <si>
    <t>Johns (Dual)</t>
    <phoneticPr fontId="22" type="noConversion"/>
  </si>
  <si>
    <t>Application Date (-1 day)</t>
    <phoneticPr fontId="22" type="noConversion"/>
  </si>
  <si>
    <t>Grantbacks: Yes.  "Glidden, Archer, Hansa, Aarhus, Rowe, and American Lecithin Corporation were to each to assign to American all of their exisint and future acquired U.S. and Canadian patents and applications for patents relating to the manufacture and use of lecithin and lecithin products" (Complaint, p. 6).</t>
    <phoneticPr fontId="22" type="noConversion"/>
  </si>
  <si>
    <t>No other manufacturing licenses were to be granted, except with the approval of more than 75 percent of the stock of American (p. 7).</t>
    <phoneticPr fontId="22" type="noConversion"/>
  </si>
  <si>
    <t>Foreign firms: Yes.</t>
    <phoneticPr fontId="22" type="noConversion"/>
  </si>
  <si>
    <t>Start year: 1934</t>
    <phoneticPr fontId="22" type="noConversion"/>
  </si>
  <si>
    <t>End year: 1947 (Consent Decree).</t>
    <phoneticPr fontId="22" type="noConversion"/>
  </si>
  <si>
    <t xml:space="preserve">Foreign firms: </t>
    <phoneticPr fontId="22" type="noConversion"/>
  </si>
  <si>
    <t xml:space="preserve">Start year: </t>
    <phoneticPr fontId="22" type="noConversion"/>
  </si>
  <si>
    <t xml:space="preserve">End year: </t>
    <phoneticPr fontId="22" type="noConversion"/>
  </si>
  <si>
    <t>Grantbacks:</t>
    <phoneticPr fontId="22" type="noConversion"/>
  </si>
  <si>
    <t>Independent licensing:</t>
    <phoneticPr fontId="22" type="noConversion"/>
  </si>
  <si>
    <t xml:space="preserve">Open licensing: </t>
    <phoneticPr fontId="22" type="noConversion"/>
  </si>
  <si>
    <t>Number of licensees:</t>
    <phoneticPr fontId="22" type="noConversion"/>
  </si>
  <si>
    <t>In 1928, Liquid entered into a program to eliminate competing manufacturers and distributors of CO2 and dry ice by acquiring their assets, plants and properties, and procuring the dissolution of such companies.  Between 1928 and 1932, Liquid acquired: General Carbonic Company, Clarke Chemical Company, Keystone Carbonic Gas Company, Western Carbonic Gas Company, DryIce Corporation.  In 1929, Air Reduction did the same and organized the Pure Carbonic Company of America to acquire (between 1929 and 1932) Carbonic Gas x 2, Natural Carbonic Gas Company x 2...In 1934, Pure purchased the entire assets, plants and properties of the American Dry Ice Corporation, including all the corporate stock of the Adico Development Corporation, hereinafter called Adico, a corporation holding patents relating to the manufacture and use of dry ice.  Thereafter Pure sold one-third of the corporate stock in Adico to Liquid and sold another one-third of the corporate stock in Adico to Wyandotte.  At that time Engineering held the only important patents in the dry ice field competing with those of Adico.  Liquid, Pure and Wyandotte therefore entered into an agreement with Engineering to pool the patents of Adico with those of Engineering.  On June 12, 1934 a new corporation, International Carbonic, was organized.  International granted sublicenses to Liquid, Pure and Wyandotte.  In 1939 Liquid, Pure and Wyandotte sold their stock interest in Aidco and International to Engineering, at less than 1/7th the original cost and thereafter all the patents, rights and applications relating to apparatus, methods, and processes and use of dry ice owned or controlled by Adico and International were transferred to Engineering.</t>
    <phoneticPr fontId="22" type="noConversion"/>
  </si>
  <si>
    <t>Liquid Carbonic Corporation</t>
    <phoneticPr fontId="22" type="noConversion"/>
  </si>
  <si>
    <t>12 June, 1934</t>
    <phoneticPr fontId="22" type="noConversion"/>
  </si>
  <si>
    <t xml:space="preserve">Compulsory licensing: </t>
    <phoneticPr fontId="22" type="noConversion"/>
  </si>
  <si>
    <t xml:space="preserve">Patent holding company: </t>
    <phoneticPr fontId="22" type="noConversion"/>
  </si>
  <si>
    <t>Technology:</t>
    <phoneticPr fontId="22" type="noConversion"/>
  </si>
  <si>
    <t>Compulsory licensing: RAND.</t>
    <phoneticPr fontId="22" type="noConversion"/>
  </si>
  <si>
    <t>Patent holding company: Yes (American Lecithin Company)</t>
    <phoneticPr fontId="22" type="noConversion"/>
  </si>
  <si>
    <t>1934Leci</t>
  </si>
  <si>
    <t>American Locomotive Company</t>
    <phoneticPr fontId="22" type="noConversion"/>
  </si>
  <si>
    <t>Symington-Gould Corporation</t>
    <phoneticPr fontId="22" type="noConversion"/>
  </si>
  <si>
    <t>Open licensing: unclear but many licensees.</t>
    <phoneticPr fontId="22" type="noConversion"/>
  </si>
  <si>
    <t>Pittsburgh Steel Foundry Corporation</t>
    <phoneticPr fontId="22" type="noConversion"/>
  </si>
  <si>
    <t>Railway &amp; Industrial Spring Association</t>
    <phoneticPr fontId="22" type="noConversion"/>
  </si>
  <si>
    <t>End year: 1947 (final judgment).</t>
    <phoneticPr fontId="22" type="noConversion"/>
  </si>
  <si>
    <t>Start year: 1932 (Complaint, p. 8).</t>
    <phoneticPr fontId="22" type="noConversion"/>
  </si>
  <si>
    <t>Railway Steel Spring Company</t>
    <phoneticPr fontId="22" type="noConversion"/>
  </si>
  <si>
    <t>Symington Company</t>
    <phoneticPr fontId="22" type="noConversion"/>
  </si>
  <si>
    <t>Universal Draft Gear Attachment Company</t>
    <phoneticPr fontId="22" type="noConversion"/>
  </si>
  <si>
    <r>
      <t>Pool members</t>
    </r>
    <r>
      <rPr>
        <sz val="10"/>
        <rFont val="Verdana"/>
      </rPr>
      <t>:</t>
    </r>
    <phoneticPr fontId="22" type="noConversion"/>
  </si>
  <si>
    <t>Cincinnati Milling Machine Company</t>
    <phoneticPr fontId="22" type="noConversion"/>
  </si>
  <si>
    <t>Ingersoll</t>
    <phoneticPr fontId="22" type="noConversion"/>
  </si>
  <si>
    <t>Kearney</t>
    <phoneticPr fontId="22" type="noConversion"/>
  </si>
  <si>
    <t>Compulsory licensing: RAND licensing on patents listed in Exhibit B (p. 5 of final judgment).</t>
    <phoneticPr fontId="22" type="noConversion"/>
  </si>
  <si>
    <t>Cincinnati obtained patent 2036206 on 4/7/1936 (filed 8/9/26), and Ingersoll obtained patent 2051052 on 8/18/1936 (filed 12/29/1927). In 1931, the two parties (Cincinnati and Ingersoll) entered into a cross-licensing agreement under the applications; an exclusive license under Ingersoll's patent was subsequently given to Cincinnati later that year.  In 1933, Cincinnati and Ingersoll entered into an agreement with Kearney as a result of an interference proceeding involving their respective patent applications and Kearney's "Parsons" patent (1,40,744) issued in 1929 (p. 7).  In 1938, Kearney granted the co-conspirator Vickers a non-exclusive license under Kearney's "Parsons" patent for "machine tool hydraulic control system" to make, use and sell control units, or elements of control systems, but restricting Vickers from selling to manufacturers of knee and column type milling machines (p. 9).  In 1940, Cincinnati, Kearney, and Ingersoll entered into an agreement with Kent-Owens Machine Company.</t>
    <phoneticPr fontId="22" type="noConversion"/>
  </si>
  <si>
    <t>Foreign firms: No.</t>
    <phoneticPr fontId="22" type="noConversion"/>
  </si>
  <si>
    <t>End year: 1954 (final judgment).</t>
    <phoneticPr fontId="22" type="noConversion"/>
  </si>
  <si>
    <t>Number of licensees: 9 (American Spiral Spring &amp; Manufacturing Co., American Steel Foundaries, Baldwin Locomotive Works, Crucible Steel Company of America, Fort Pitt Spring Company, Pittsburgh Spring &amp; Steel Company, Pittsburgh Steel Foundry Corporation, Railway &amp; Industrial Spring Association)</t>
    <phoneticPr fontId="22" type="noConversion"/>
  </si>
  <si>
    <t>Patent holding company: No.</t>
    <phoneticPr fontId="22" type="noConversion"/>
  </si>
  <si>
    <t>Compulsory licensing: Dedicated to public (Symington) and compulsory RAND licensing (Universal).</t>
    <phoneticPr fontId="22" type="noConversion"/>
  </si>
  <si>
    <t>Charged with allocating or dividing fields in the manufacture and sale of milling machines, devices or parts thereof, by restricting each other as to the type and/or size that may be manufactured and sold under the aforesaid patents (p. 5); harassing competitors with threats of patent infringement (p. 5).</t>
    <phoneticPr fontId="22" type="noConversion"/>
  </si>
  <si>
    <t>Start year: 1931 (Complaint, p. 4).</t>
    <phoneticPr fontId="22" type="noConversion"/>
  </si>
  <si>
    <t>Technology: "The term "milling machine"…means a machine tool designed for use in the process of removing metal in the form of chips from the workpiece by feeding the workpiece past rotating, multipoint cutters, or, where the workpiece remains stationary, by moving the cutters past the workpiece...a milling machine can produce twist drills, gears, nuts, bolt heads, cams, molds, spliness and many other parts for a wide variety of industrial machines.  It is, therefore, essential to idustry and vital to national defense" (Complaint, pp. 3-4).</t>
    <phoneticPr fontId="22" type="noConversion"/>
  </si>
  <si>
    <t>Independent licensing:</t>
    <phoneticPr fontId="22" type="noConversion"/>
  </si>
  <si>
    <t>Ingersoll</t>
    <phoneticPr fontId="22" type="noConversion"/>
  </si>
  <si>
    <r>
      <t>Notes from complaint</t>
    </r>
    <r>
      <rPr>
        <sz val="10"/>
        <rFont val="Verdana"/>
      </rPr>
      <t xml:space="preserve">: </t>
    </r>
    <phoneticPr fontId="22" type="noConversion"/>
  </si>
  <si>
    <t>CO, FJ, LA</t>
    <phoneticPr fontId="22" type="noConversion"/>
  </si>
  <si>
    <t>Start year: 1934 (Complaint, p. X).</t>
    <phoneticPr fontId="22" type="noConversion"/>
  </si>
  <si>
    <t>Patents listed in final judgment (Schedule A):</t>
    <phoneticPr fontId="22" type="noConversion"/>
  </si>
  <si>
    <r>
      <t>Pool members (added patents)</t>
    </r>
    <r>
      <rPr>
        <sz val="10"/>
        <rFont val="Verdana"/>
      </rPr>
      <t>:</t>
    </r>
    <phoneticPr fontId="22" type="noConversion"/>
  </si>
  <si>
    <t>United States v. Bendix Aviation Corporation, CCH 1946-47 Trade Cases 57,444 (D.C.N.J. Civil No. 2531; Complaint, 1942, Consent Decree, 1946).</t>
    <phoneticPr fontId="22" type="noConversion"/>
  </si>
  <si>
    <t>Nenninger and Hassman</t>
    <phoneticPr fontId="22" type="noConversion"/>
  </si>
  <si>
    <t>Buckles et al.</t>
    <phoneticPr fontId="22" type="noConversion"/>
  </si>
  <si>
    <t>Taylor</t>
    <phoneticPr fontId="22" type="noConversion"/>
  </si>
  <si>
    <t>Chyba</t>
    <phoneticPr fontId="22" type="noConversion"/>
  </si>
  <si>
    <t>Cox</t>
    <phoneticPr fontId="22" type="noConversion"/>
  </si>
  <si>
    <t>Plimmer</t>
    <phoneticPr fontId="22" type="noConversion"/>
  </si>
  <si>
    <t>Trinkle</t>
    <phoneticPr fontId="22" type="noConversion"/>
  </si>
  <si>
    <t>1934Leci</t>
    <phoneticPr fontId="22" type="noConversion"/>
  </si>
  <si>
    <t>Larsen</t>
    <phoneticPr fontId="22" type="noConversion"/>
  </si>
  <si>
    <t>Soden</t>
    <phoneticPr fontId="22" type="noConversion"/>
  </si>
  <si>
    <t>Whitney Screw Corporation</t>
    <phoneticPr fontId="22" type="noConversion"/>
  </si>
  <si>
    <t>Barrows (Symington-Gould Corp.)</t>
    <phoneticPr fontId="22" type="noConversion"/>
  </si>
  <si>
    <t>Townsend (Symington-Gould Corp.)</t>
    <phoneticPr fontId="22" type="noConversion"/>
  </si>
  <si>
    <t>Townsend (Symington-Gould Corp.)</t>
    <phoneticPr fontId="22" type="noConversion"/>
  </si>
  <si>
    <t>Couch (Symington-Gould Corp.)</t>
    <phoneticPr fontId="22" type="noConversion"/>
  </si>
  <si>
    <t>WO, LA, CO</t>
    <phoneticPr fontId="22" type="noConversion"/>
  </si>
  <si>
    <t>Y</t>
    <phoneticPr fontId="22" type="noConversion"/>
  </si>
  <si>
    <t>1938Opht</t>
    <phoneticPr fontId="22" type="noConversion"/>
  </si>
  <si>
    <t>Plimmer &amp; Kistner</t>
    <phoneticPr fontId="22" type="noConversion"/>
  </si>
  <si>
    <t>Poole &amp; McGonigle</t>
    <phoneticPr fontId="22" type="noConversion"/>
  </si>
  <si>
    <t>Youngstown Steel Car Company</t>
    <phoneticPr fontId="22" type="noConversion"/>
  </si>
  <si>
    <t>Blatchford Corporation</t>
    <phoneticPr fontId="22" type="noConversion"/>
  </si>
  <si>
    <t>Open licensing: No.  "To refuse to grant licenses under the aforesaid patents to others, except upon restrictive terms and condition" (Complaint, p. 5).</t>
    <phoneticPr fontId="22" type="noConversion"/>
  </si>
  <si>
    <t>Nenninger</t>
    <phoneticPr fontId="22" type="noConversion"/>
  </si>
  <si>
    <t>Kelsey-Hayes Wheel Company</t>
    <phoneticPr fontId="22" type="noConversion"/>
  </si>
  <si>
    <t>French &amp; Hecht Inc.</t>
    <phoneticPr fontId="22" type="noConversion"/>
  </si>
  <si>
    <t>Kelsey-Hayes Wheel Company</t>
    <phoneticPr fontId="22" type="noConversion"/>
  </si>
  <si>
    <t>Cambridge</t>
    <phoneticPr fontId="22" type="noConversion"/>
  </si>
  <si>
    <t>Anderson</t>
    <phoneticPr fontId="22" type="noConversion"/>
  </si>
  <si>
    <t>Motor Wheel Corporation</t>
    <phoneticPr fontId="22" type="noConversion"/>
  </si>
  <si>
    <t>Grantbacks: No evidence of.</t>
    <phoneticPr fontId="22" type="noConversion"/>
  </si>
  <si>
    <t>Number of licensees: 2 (Vickers and Kent-Owens Machine Company).</t>
    <phoneticPr fontId="22" type="noConversion"/>
  </si>
  <si>
    <r>
      <t>Licensees (who didn’t added patents)</t>
    </r>
    <r>
      <rPr>
        <sz val="10"/>
        <rFont val="Verdana"/>
      </rPr>
      <t>:</t>
    </r>
    <phoneticPr fontId="22" type="noConversion"/>
  </si>
  <si>
    <t>Vickers</t>
    <phoneticPr fontId="22" type="noConversion"/>
  </si>
  <si>
    <t>Kent-Owens Machine Company</t>
    <phoneticPr fontId="22" type="noConversion"/>
  </si>
  <si>
    <t>Firms: Cincinnati Milling Machine Company (initial firm), Kearney &amp; Trecker Corporation (later added to pool), Cincinnati Grinders (a patent holding company), Ingersoll Milling Machine (initial firm) Company, Vickers.</t>
    <phoneticPr fontId="22" type="noConversion"/>
  </si>
  <si>
    <t xml:space="preserve">Symington-Gould Corporation patents dedicated to the public (from Final Judgment): </t>
    <phoneticPr fontId="22" type="noConversion"/>
  </si>
  <si>
    <t>American Spriral Spring &amp; Manufacturing Co.</t>
    <phoneticPr fontId="22" type="noConversion"/>
  </si>
  <si>
    <t>American Steel Foundries</t>
    <phoneticPr fontId="22" type="noConversion"/>
  </si>
  <si>
    <t>Baldwin Locomotive Works</t>
    <phoneticPr fontId="22" type="noConversion"/>
  </si>
  <si>
    <t>Crucible Steel Company of America</t>
    <phoneticPr fontId="22" type="noConversion"/>
  </si>
  <si>
    <t>Fort Pitt Spring Company</t>
    <phoneticPr fontId="22" type="noConversion"/>
  </si>
  <si>
    <t>Pittsburgh Spring &amp; Steel Company</t>
    <phoneticPr fontId="22" type="noConversion"/>
  </si>
  <si>
    <t>Union Spring &amp; Manufacturing Company</t>
    <phoneticPr fontId="22" type="noConversion"/>
  </si>
  <si>
    <t>Notes</t>
    <phoneticPr fontId="22" type="noConversion"/>
  </si>
  <si>
    <t>Maywood and Meyer</t>
    <phoneticPr fontId="22" type="noConversion"/>
  </si>
  <si>
    <t>Texas Company</t>
    <phoneticPr fontId="22" type="noConversion"/>
  </si>
  <si>
    <r>
      <t>Notes from complaint</t>
    </r>
    <r>
      <rPr>
        <sz val="10"/>
        <rFont val="Verdana"/>
      </rPr>
      <t>: During the year 1952, the defendants and co-conspirator Ingersoll produced 75% of all milling machines in the United States as measured by dollar value (p. 4).</t>
    </r>
    <phoneticPr fontId="22" type="noConversion"/>
  </si>
  <si>
    <t>McKenna Process Company (Langford)</t>
    <phoneticPr fontId="22" type="noConversion"/>
  </si>
  <si>
    <t>Woodings (Woodings)</t>
    <phoneticPr fontId="22" type="noConversion"/>
  </si>
  <si>
    <t>Langford</t>
    <phoneticPr fontId="22" type="noConversion"/>
  </si>
  <si>
    <t>Texas Company</t>
    <phoneticPr fontId="22" type="noConversion"/>
  </si>
  <si>
    <t>Rail Joint (Disbrow)</t>
    <phoneticPr fontId="22" type="noConversion"/>
  </si>
  <si>
    <t>American Lecithin Corporation</t>
    <phoneticPr fontId="22" type="noConversion"/>
  </si>
  <si>
    <t>E. I. du Pont de Nemours</t>
    <phoneticPr fontId="22" type="noConversion"/>
  </si>
  <si>
    <t>Roehm</t>
    <phoneticPr fontId="22" type="noConversion"/>
  </si>
  <si>
    <t>Vaughan (pp. 126): "A complaint of 1954 charged three companies with license agreements by which they divided manufacturing fields among themselves, refused licenses to other except upon restrictive terms, refrained from patent infringement suits against each other, and required similar immunity from their assignees and licensees.  A consent decree of the same date enjoined these restrictive practices, required these companies to grant licenses on a reasonable royalty basis and to provide specifications and drawings for five years upon application of any licensee."</t>
    <phoneticPr fontId="22" type="noConversion"/>
  </si>
  <si>
    <t>Independent licensing: Rail Joint seems to have entered into a bunch of contracts with outside firms.</t>
    <phoneticPr fontId="22" type="noConversion"/>
  </si>
  <si>
    <t>Tredegar Company</t>
    <phoneticPr fontId="22" type="noConversion"/>
  </si>
  <si>
    <t>Patent holding company: Yes: "Cincinnati Grinders, a wholly owned subsidiary of defendant Cincinnait, is not an operating company, but is utliized by defendant Cincinnati as a patent holding coporation" (Complaint, p. 2).</t>
    <phoneticPr fontId="22" type="noConversion"/>
  </si>
  <si>
    <t>Motor Wheel Corporation</t>
    <phoneticPr fontId="22" type="noConversion"/>
  </si>
  <si>
    <t>Adams et al.</t>
    <phoneticPr fontId="22" type="noConversion"/>
  </si>
  <si>
    <t>Parsons</t>
    <phoneticPr fontId="22" type="noConversion"/>
  </si>
  <si>
    <t>Parsons</t>
    <phoneticPr fontId="22" type="noConversion"/>
  </si>
  <si>
    <t>Lapham</t>
    <phoneticPr fontId="22" type="noConversion"/>
  </si>
  <si>
    <t>Armitage</t>
    <phoneticPr fontId="22" type="noConversion"/>
  </si>
  <si>
    <t>Pohl</t>
    <phoneticPr fontId="22" type="noConversion"/>
  </si>
  <si>
    <t>Pohl et al.</t>
    <phoneticPr fontId="22" type="noConversion"/>
  </si>
  <si>
    <t>Parsons et al.</t>
    <phoneticPr fontId="22" type="noConversion"/>
  </si>
  <si>
    <t>Curtis</t>
    <phoneticPr fontId="22" type="noConversion"/>
  </si>
  <si>
    <t>MacRae</t>
    <phoneticPr fontId="22" type="noConversion"/>
  </si>
  <si>
    <t>Kearney et al.</t>
    <phoneticPr fontId="22" type="noConversion"/>
  </si>
  <si>
    <t>Armitage et al.</t>
    <phoneticPr fontId="22" type="noConversion"/>
  </si>
  <si>
    <t>Saving et al.</t>
    <phoneticPr fontId="22" type="noConversion"/>
  </si>
  <si>
    <t>Y</t>
    <phoneticPr fontId="22" type="noConversion"/>
  </si>
  <si>
    <t>Budd Wheel Company</t>
    <phoneticPr fontId="22" type="noConversion"/>
  </si>
  <si>
    <t>Budd Wheel Company</t>
    <phoneticPr fontId="22" type="noConversion"/>
  </si>
  <si>
    <t>Patents listed in Schedule A of Final Judgment (Kelsey-Hayes Wheel Company patents):</t>
    <phoneticPr fontId="22" type="noConversion"/>
  </si>
  <si>
    <t>Patents listed in Schedule A of Final Judgment (Budd Company patents):</t>
    <phoneticPr fontId="22" type="noConversion"/>
  </si>
  <si>
    <t>Patents listed in Schedule A of Final Judgment (Motor Wheel Corporation patents):</t>
    <phoneticPr fontId="22" type="noConversion"/>
  </si>
  <si>
    <t>Eserkaln</t>
    <phoneticPr fontId="22" type="noConversion"/>
  </si>
  <si>
    <t>Gano</t>
    <phoneticPr fontId="22" type="noConversion"/>
  </si>
  <si>
    <t>Roehm</t>
    <phoneticPr fontId="22" type="noConversion"/>
  </si>
  <si>
    <t>Andrew et al.</t>
    <phoneticPr fontId="22" type="noConversion"/>
  </si>
  <si>
    <t>Trecker et al.</t>
    <phoneticPr fontId="22" type="noConversion"/>
  </si>
  <si>
    <t>Hlinsky</t>
    <phoneticPr fontId="22" type="noConversion"/>
  </si>
  <si>
    <t>Riedel</t>
    <phoneticPr fontId="22" type="noConversion"/>
  </si>
  <si>
    <t>Cincinnati Milling Machine Company</t>
    <phoneticPr fontId="22" type="noConversion"/>
  </si>
  <si>
    <t>Kronenberg et al.</t>
    <phoneticPr fontId="22" type="noConversion"/>
  </si>
  <si>
    <t>Lensky et al.</t>
    <phoneticPr fontId="22" type="noConversion"/>
  </si>
  <si>
    <t>Wilder &amp; Horlacher</t>
    <phoneticPr fontId="22" type="noConversion"/>
  </si>
  <si>
    <t>Wetzel</t>
    <phoneticPr fontId="22" type="noConversion"/>
  </si>
  <si>
    <t>Eserkaln et al.</t>
    <phoneticPr fontId="22" type="noConversion"/>
  </si>
  <si>
    <t>Hinds</t>
    <phoneticPr fontId="22" type="noConversion"/>
  </si>
  <si>
    <t>Hoier and Clifton</t>
    <phoneticPr fontId="22" type="noConversion"/>
  </si>
  <si>
    <t>Wilder et al.</t>
    <phoneticPr fontId="22" type="noConversion"/>
  </si>
  <si>
    <t>Dall</t>
    <phoneticPr fontId="22" type="noConversion"/>
  </si>
  <si>
    <t>Buckles</t>
    <phoneticPr fontId="22" type="noConversion"/>
  </si>
  <si>
    <t>Patent</t>
    <phoneticPr fontId="22" type="noConversion"/>
  </si>
  <si>
    <t>Ernst &amp; Dall</t>
    <phoneticPr fontId="22" type="noConversion"/>
  </si>
  <si>
    <t>Evans</t>
    <phoneticPr fontId="22" type="noConversion"/>
  </si>
  <si>
    <t>Reissue 18266 is patent 1727886</t>
    <phoneticPr fontId="22" type="noConversion"/>
  </si>
  <si>
    <t>Couch (Symington)</t>
    <phoneticPr fontId="22" type="noConversion"/>
  </si>
  <si>
    <t>Barrows (Symington-Gould Corp.)</t>
    <phoneticPr fontId="22" type="noConversion"/>
  </si>
  <si>
    <t>Hall (Universal Attachment Co.)</t>
    <phoneticPr fontId="22" type="noConversion"/>
  </si>
  <si>
    <t>1932Rail</t>
    <phoneticPr fontId="22" type="noConversion"/>
  </si>
  <si>
    <t>Hall (Universal Railway)</t>
    <phoneticPr fontId="22" type="noConversion"/>
  </si>
  <si>
    <t>1928Rail</t>
  </si>
  <si>
    <t>1928Rail</t>
    <phoneticPr fontId="22" type="noConversion"/>
  </si>
  <si>
    <t>Howe</t>
    <phoneticPr fontId="22" type="noConversion"/>
  </si>
  <si>
    <t>Roehm et al.</t>
    <phoneticPr fontId="22" type="noConversion"/>
  </si>
  <si>
    <t>Campbell</t>
    <phoneticPr fontId="22" type="noConversion"/>
  </si>
  <si>
    <t>Ernst</t>
    <phoneticPr fontId="22" type="noConversion"/>
  </si>
  <si>
    <t>These patents listed on most recent agreement (patents after pool formed):</t>
  </si>
  <si>
    <t>Application Date</t>
    <phoneticPr fontId="22" type="noConversion"/>
  </si>
  <si>
    <t>Grant Date</t>
    <phoneticPr fontId="22" type="noConversion"/>
  </si>
  <si>
    <t>Assignee (Inventor)</t>
    <phoneticPr fontId="22" type="noConversion"/>
  </si>
  <si>
    <t>Secondary Subclass 2e</t>
    <phoneticPr fontId="22" type="noConversion"/>
  </si>
  <si>
    <t>Motor Wheel Corporation</t>
    <phoneticPr fontId="22" type="noConversion"/>
  </si>
  <si>
    <t>Vaughan (pp. 61): "Three manufacurers of stamped metal wheels exchanged patents."</t>
    <phoneticPr fontId="22" type="noConversion"/>
  </si>
  <si>
    <t>Patrick</t>
    <phoneticPr fontId="22" type="noConversion"/>
  </si>
  <si>
    <t>Bannon</t>
    <phoneticPr fontId="22" type="noConversion"/>
  </si>
  <si>
    <t>Nenninger &amp; Roehm</t>
    <phoneticPr fontId="22" type="noConversion"/>
  </si>
  <si>
    <t>Martellotti et al.</t>
    <phoneticPr fontId="22" type="noConversion"/>
  </si>
  <si>
    <t>Martellotti</t>
    <phoneticPr fontId="22" type="noConversion"/>
  </si>
  <si>
    <t>Hassman</t>
    <phoneticPr fontId="22" type="noConversion"/>
  </si>
  <si>
    <t>Hassman and Vancil</t>
    <phoneticPr fontId="22" type="noConversion"/>
  </si>
  <si>
    <t>Allen</t>
    <phoneticPr fontId="22" type="noConversion"/>
  </si>
  <si>
    <t>Wall</t>
    <phoneticPr fontId="22" type="noConversion"/>
  </si>
  <si>
    <t>Ernst et al.</t>
    <phoneticPr fontId="22" type="noConversion"/>
  </si>
  <si>
    <t>Hawlet et al.</t>
    <phoneticPr fontId="22" type="noConversion"/>
  </si>
  <si>
    <t>Romaine at al.</t>
    <phoneticPr fontId="22" type="noConversion"/>
  </si>
  <si>
    <t>Nenninger and Hassman</t>
    <phoneticPr fontId="22" type="noConversion"/>
  </si>
  <si>
    <t>Vancil and Trible</t>
    <phoneticPr fontId="22" type="noConversion"/>
  </si>
  <si>
    <t>Ernst &amp; Martellotti</t>
    <phoneticPr fontId="22" type="noConversion"/>
  </si>
  <si>
    <t>Trible</t>
    <phoneticPr fontId="22" type="noConversion"/>
  </si>
  <si>
    <t>Ernst &amp; Wortendyke</t>
    <phoneticPr fontId="22" type="noConversion"/>
  </si>
  <si>
    <t>Tribble</t>
    <phoneticPr fontId="22" type="noConversion"/>
  </si>
  <si>
    <t>Nenninger et al.</t>
    <phoneticPr fontId="22" type="noConversion"/>
  </si>
  <si>
    <t>Blood and Ernst</t>
    <phoneticPr fontId="22" type="noConversion"/>
  </si>
  <si>
    <t>Wortendyke</t>
    <phoneticPr fontId="22" type="noConversion"/>
  </si>
  <si>
    <t>Herfurth</t>
    <phoneticPr fontId="22" type="noConversion"/>
  </si>
  <si>
    <t>These patents were listed in the opinion:</t>
    <phoneticPr fontId="22" type="noConversion"/>
  </si>
  <si>
    <t>Rail Joint Company</t>
    <phoneticPr fontId="22" type="noConversion"/>
  </si>
  <si>
    <t>1928Rail</t>
    <phoneticPr fontId="22" type="noConversion"/>
  </si>
  <si>
    <t>1932Rail</t>
    <phoneticPr fontId="22" type="noConversion"/>
  </si>
  <si>
    <t>Rail Joint (Thomson)</t>
    <phoneticPr fontId="22" type="noConversion"/>
  </si>
  <si>
    <t>Rail Joint (Armstrong)</t>
    <phoneticPr fontId="22" type="noConversion"/>
  </si>
  <si>
    <t>Faries</t>
    <phoneticPr fontId="22" type="noConversion"/>
  </si>
  <si>
    <t>Two firms: Line Material Company and Southern States Equipment Corporation</t>
    <phoneticPr fontId="22" type="noConversion"/>
  </si>
  <si>
    <t>Source: UNITED STATES v. LINE MATERIAL CO. et al., Civ. A. No. 1696, United States District Court for the Eastern District of Wisconsin, 64 F. Supp. 970, March 6, 1946, and Memorandum for the trial court on behalf of defendants, filed September 1, 1945.</t>
    <phoneticPr fontId="22" type="noConversion"/>
  </si>
  <si>
    <t>Matthews</t>
    <phoneticPr fontId="22" type="noConversion"/>
  </si>
  <si>
    <t>Kearney</t>
    <phoneticPr fontId="22" type="noConversion"/>
  </si>
  <si>
    <t>Railway</t>
    <phoneticPr fontId="22" type="noConversion"/>
  </si>
  <si>
    <t>1934Vari</t>
    <phoneticPr fontId="22" type="noConversion"/>
  </si>
  <si>
    <t>P. E. Gilling</t>
    <phoneticPr fontId="22" type="noConversion"/>
  </si>
  <si>
    <t>Chandler Products Corporation</t>
    <phoneticPr fontId="22" type="noConversion"/>
  </si>
  <si>
    <t>S. S. Cramer et al.</t>
    <phoneticPr fontId="22" type="noConversion"/>
  </si>
  <si>
    <t>Source: UNITED STATES v. KRASNOV et al. KRASNOV et al. v. COMFY MFG. Co. et al., Civ. A. No. 11024, United States District Court for the Eastern District of Pennsylvania, 143 F. Supp. 184, July 30, 1956, and United States v. Krasnov, Civ. A. No. 11024, UNITED STATES DISTRICT COURT FOR THE EASTERN DISTRICT OF PENNSYLVANIA, 109 F. Supp. 143; 1952 U.S. Dist. LEXIS 2118, December 22, 1952.</t>
    <phoneticPr fontId="22" type="noConversion"/>
  </si>
  <si>
    <t>1937Wrin</t>
    <phoneticPr fontId="22" type="noConversion"/>
  </si>
  <si>
    <t>Toll</t>
    <phoneticPr fontId="22" type="noConversion"/>
  </si>
  <si>
    <t>No evidence for or against grantbacks.</t>
    <phoneticPr fontId="22" type="noConversion"/>
  </si>
  <si>
    <t>Romaine</t>
    <phoneticPr fontId="22" type="noConversion"/>
  </si>
  <si>
    <t>Archea</t>
    <phoneticPr fontId="22" type="noConversion"/>
  </si>
  <si>
    <t>Hoier</t>
    <phoneticPr fontId="22" type="noConversion"/>
  </si>
  <si>
    <t>Isler</t>
    <phoneticPr fontId="22" type="noConversion"/>
  </si>
  <si>
    <t>Johansen</t>
    <phoneticPr fontId="22" type="noConversion"/>
  </si>
  <si>
    <t>Source: U.S. v. Rail Joint Co. et al., In the District Court of the United States for the Northern District of Illinois, Eastern Division.  Civil Action No. 43-C-1295. September 20, 1944.</t>
    <phoneticPr fontId="22" type="noConversion"/>
  </si>
  <si>
    <t>Rail Joint Reforming Company</t>
    <phoneticPr fontId="22" type="noConversion"/>
  </si>
  <si>
    <t>Mississippi Valley Structural Steel Company</t>
    <phoneticPr fontId="22" type="noConversion"/>
  </si>
  <si>
    <t>Mohawk Equipment Company</t>
    <phoneticPr fontId="22" type="noConversion"/>
  </si>
  <si>
    <t>Ray O. Shaffer</t>
    <phoneticPr fontId="22" type="noConversion"/>
  </si>
  <si>
    <t>Texas Rail Joint Company</t>
    <phoneticPr fontId="22" type="noConversion"/>
  </si>
  <si>
    <t>Open pool: Appendix D of the opinion lists licenses beginning 1931.</t>
    <phoneticPr fontId="22" type="noConversion"/>
  </si>
  <si>
    <t>No evidence or reference to prior litigation.</t>
    <phoneticPr fontId="22" type="noConversion"/>
  </si>
  <si>
    <t>Firms: Rail Joint Company, Poor &amp; Company, Woodings-Verona Tool Works, Fred Poor, Victor C. Armstrong, and Emanuel Woodings.  McKenna is not listed here but listed in the additional case.</t>
    <phoneticPr fontId="22" type="noConversion"/>
  </si>
  <si>
    <t>Initial Firms: McKenna Process Company and Rail Joint Company.</t>
    <phoneticPr fontId="22" type="noConversion"/>
  </si>
  <si>
    <t>Guetzkow</t>
    <phoneticPr fontId="22" type="noConversion"/>
  </si>
  <si>
    <t>Additonal source: McKenna Process Company of Illinois, Appellee, v. Blatchford Corporation, Appellant, Gen. No. 9,464, APPELLATE COURT OF ILLINOIS, SECOND DISTRICT, 304 Ill. App. 101; 25 N.E.2d 916; 1940 Ill. App. LEXIS 921.</t>
    <phoneticPr fontId="22" type="noConversion"/>
  </si>
  <si>
    <t>Southern States Equipment Company (Lemmon)</t>
    <phoneticPr fontId="22" type="noConversion"/>
  </si>
  <si>
    <t>Kyle</t>
    <phoneticPr fontId="22" type="noConversion"/>
  </si>
  <si>
    <t>H. M. Harper Company</t>
    <phoneticPr fontId="22" type="noConversion"/>
  </si>
  <si>
    <t>Roko acquired a total of 70 patents from in and out of their organization.</t>
    <phoneticPr fontId="22" type="noConversion"/>
  </si>
  <si>
    <t>Granted licenses to: Reliance, Variable, and Federal.</t>
    <phoneticPr fontId="22" type="noConversion"/>
  </si>
  <si>
    <t>Federal</t>
    <phoneticPr fontId="22" type="noConversion"/>
  </si>
  <si>
    <t>Variable</t>
    <phoneticPr fontId="22" type="noConversion"/>
  </si>
  <si>
    <t>Pool ended in 1949: "In their cross-claim interposed in this action, Krasnovs aver that any dealings had with defendants Comfy, Katzner and Oppenheimer were the result of an agreement entered into in 1938; that such agreement was induced by false and fraudulent misrepresentations; that these false and fraudulent misrepresentations were not discovered until 1949 when they cancelled the contract, and that they have paid to Comfy $ 160,000 to royalties which they seek to recover in this cross action."</t>
    <phoneticPr fontId="22" type="noConversion"/>
  </si>
  <si>
    <t>Patents listed in the original agreement:</t>
  </si>
  <si>
    <t>Horlacher</t>
    <phoneticPr fontId="22" type="noConversion"/>
  </si>
  <si>
    <t>Wright</t>
    <phoneticPr fontId="22" type="noConversion"/>
  </si>
  <si>
    <t>Hassman et al.</t>
    <phoneticPr fontId="22" type="noConversion"/>
  </si>
  <si>
    <t>Dall et al.</t>
    <phoneticPr fontId="22" type="noConversion"/>
  </si>
  <si>
    <t>Source: KOBE, Inc. et al v. DEMPSEY PUMP CO. et al. DEMPSEY PUMP CO. et al. v. KOBE, Inc. et al., United States Court of Appeals Tenth Circuit, 198 F.2d 416.</t>
    <phoneticPr fontId="22" type="noConversion"/>
  </si>
  <si>
    <t>Pawtucket Screw Company</t>
    <phoneticPr fontId="22" type="noConversion"/>
  </si>
  <si>
    <t>Reading Screw Company</t>
    <phoneticPr fontId="22" type="noConversion"/>
  </si>
  <si>
    <t>Southington Hardward &amp; Mfg. Co.</t>
    <phoneticPr fontId="22" type="noConversion"/>
  </si>
  <si>
    <t>Grantbacks: defendants organized Associated Patents and pooled their existing and future patent rights relating to machine tools.</t>
  </si>
  <si>
    <t>Patents obtained from Google Patents (search for "Associated Patents" &amp; "machine")</t>
  </si>
  <si>
    <t>Associated Patents (De Vlieg)</t>
  </si>
  <si>
    <t>General Electric</t>
    <phoneticPr fontId="22" type="noConversion"/>
  </si>
  <si>
    <t>Secondary Subclass 2f</t>
    <phoneticPr fontId="22" type="noConversion"/>
  </si>
  <si>
    <t>Secondary Subclass 3f</t>
    <phoneticPr fontId="22" type="noConversion"/>
  </si>
  <si>
    <t>Y</t>
    <phoneticPr fontId="22" type="noConversion"/>
  </si>
  <si>
    <t>1937Stam</t>
    <phoneticPr fontId="22" type="noConversion"/>
  </si>
  <si>
    <t>Stanley</t>
    <phoneticPr fontId="22" type="noConversion"/>
  </si>
  <si>
    <t>Yates &amp; Armandroff</t>
    <phoneticPr fontId="22" type="noConversion"/>
  </si>
  <si>
    <t>Ernst, Grieb, Field</t>
    <phoneticPr fontId="22" type="noConversion"/>
  </si>
  <si>
    <t>Vancil et al.</t>
    <phoneticPr fontId="22" type="noConversion"/>
  </si>
  <si>
    <t>Open pool: Line was authorized to grant licenses to third persons to make and sell electrical equipment embodying the invention of Southern.  Part of the memorandum indicates that "the fact the licensor granted numerous licenses increased trade."</t>
  </si>
  <si>
    <t>1938Drop</t>
    <phoneticPr fontId="22" type="noConversion"/>
  </si>
  <si>
    <t>Radio Condenser (Gilling)</t>
    <phoneticPr fontId="22" type="noConversion"/>
  </si>
  <si>
    <t>Lamson &amp; Sessions Company</t>
    <phoneticPr fontId="22" type="noConversion"/>
  </si>
  <si>
    <t>Milford Rivet &amp; Machine Co.</t>
    <phoneticPr fontId="22" type="noConversion"/>
  </si>
  <si>
    <t>S. S. Cramer</t>
    <phoneticPr fontId="22" type="noConversion"/>
  </si>
  <si>
    <t>S. S. Cramer</t>
    <phoneticPr fontId="22" type="noConversion"/>
  </si>
  <si>
    <t>Schweitzer &amp; Conrad</t>
    <phoneticPr fontId="22" type="noConversion"/>
  </si>
  <si>
    <t>Westinghouse</t>
    <phoneticPr fontId="22" type="noConversion"/>
  </si>
  <si>
    <t>Johnson</t>
    <phoneticPr fontId="22" type="noConversion"/>
  </si>
  <si>
    <t>Primary Class A</t>
  </si>
  <si>
    <t xml:space="preserve">Primary Subclass </t>
  </si>
  <si>
    <t xml:space="preserve">Secondary Subclass 3a </t>
  </si>
  <si>
    <t>New Wrinkle (Kittredge)</t>
    <phoneticPr fontId="22" type="noConversion"/>
  </si>
  <si>
    <t>General Instrument Corporation (Tompkins)</t>
    <phoneticPr fontId="22" type="noConversion"/>
  </si>
  <si>
    <t>Dejur-Amsco (Thomas)</t>
    <phoneticPr fontId="22" type="noConversion"/>
  </si>
  <si>
    <t>Notes</t>
    <phoneticPr fontId="22" type="noConversion"/>
  </si>
  <si>
    <t xml:space="preserve">Secondary Subclass 8a </t>
  </si>
  <si>
    <t>Blood</t>
    <phoneticPr fontId="22" type="noConversion"/>
  </si>
  <si>
    <t>Sassen</t>
    <phoneticPr fontId="22" type="noConversion"/>
  </si>
  <si>
    <t>Vatco</t>
    <phoneticPr fontId="22" type="noConversion"/>
  </si>
  <si>
    <t>Rosner</t>
    <phoneticPr fontId="22" type="noConversion"/>
  </si>
  <si>
    <t>12R</t>
    <phoneticPr fontId="22" type="noConversion"/>
  </si>
  <si>
    <t>Roko (Coberly and Hanson)</t>
  </si>
  <si>
    <t>Patents granted to Roko obtained from Google patents (searching for "Roko")</t>
  </si>
  <si>
    <t>Licensees</t>
    <phoneticPr fontId="22" type="noConversion"/>
  </si>
  <si>
    <t>Continental</t>
    <phoneticPr fontId="22" type="noConversion"/>
  </si>
  <si>
    <t>American Hardware</t>
    <phoneticPr fontId="22" type="noConversion"/>
  </si>
  <si>
    <t>Parker-Kalon</t>
    <phoneticPr fontId="22" type="noConversion"/>
  </si>
  <si>
    <t>National Screw</t>
    <phoneticPr fontId="22" type="noConversion"/>
  </si>
  <si>
    <t>Russell</t>
    <phoneticPr fontId="22" type="noConversion"/>
  </si>
  <si>
    <t>Atlantic Screw Works</t>
    <phoneticPr fontId="22" type="noConversion"/>
  </si>
  <si>
    <t>Atlas Bolt and Screw Company</t>
    <phoneticPr fontId="22" type="noConversion"/>
  </si>
  <si>
    <t>Patents identified using Google Patents (searching for "Condenser Development" corporation)</t>
  </si>
  <si>
    <t>Condenser Development (Cramer)</t>
  </si>
  <si>
    <t>E. D. Koepping</t>
    <phoneticPr fontId="22" type="noConversion"/>
  </si>
  <si>
    <t>A. D. T. Libby</t>
    <phoneticPr fontId="22" type="noConversion"/>
  </si>
  <si>
    <t>S. Cohen</t>
    <phoneticPr fontId="22" type="noConversion"/>
  </si>
  <si>
    <t>Source:  United States v. New Wrinkle, Inc., and The Kay &amp; Ess Company, Civil No. 1006, United States District Court for the Southern Distrcit of Ohio, Western Division, July 22, 1955, and License Agreement of October 16, 1937, Complaint of November 24, 1948, Agreements for 1938, 1947 and template agreement.</t>
    <phoneticPr fontId="22" type="noConversion"/>
  </si>
  <si>
    <t>Dejur-Amsco (Hardy)</t>
    <phoneticPr fontId="22" type="noConversion"/>
  </si>
  <si>
    <t>Dejur-Amsco (De Jur)</t>
    <phoneticPr fontId="22" type="noConversion"/>
  </si>
  <si>
    <t>568R</t>
    <phoneticPr fontId="22" type="noConversion"/>
  </si>
  <si>
    <t>Firm 3</t>
    <phoneticPr fontId="22" type="noConversion"/>
  </si>
  <si>
    <t>Firm 4</t>
    <phoneticPr fontId="22" type="noConversion"/>
  </si>
  <si>
    <t>Woodings-Verona</t>
    <phoneticPr fontId="22" type="noConversion"/>
  </si>
  <si>
    <t>Socony-Vacuum</t>
    <phoneticPr fontId="22" type="noConversion"/>
  </si>
  <si>
    <t>Knopp</t>
    <phoneticPr fontId="22" type="noConversion"/>
  </si>
  <si>
    <t>Gordon</t>
    <phoneticPr fontId="22" type="noConversion"/>
  </si>
  <si>
    <t>Thompson</t>
    <phoneticPr fontId="22" type="noConversion"/>
  </si>
  <si>
    <t>Independent licensing: "On June 9, 1939, General and Development entered into two agreements to give General and Radio power to grant non-exclusive licenses to others under any of their respective licenses assigned to Development, and Development reassigned certain pooled patents to Radio and that in other respects, the agreement of August 7, 1934, was extended an additional five years; that since the 1939 agreement, General and Radio have refused licenses under the patents, referrring all applicants to Development; that Development filed patent infringement suits against American in 1938 and Radio and General conducted a price war for the purpose of forcing American into a price fixing scheme and to limit its competition, and that the price was continued until 1941 although the Second Circuit of Appeals holds in December 1940 that the patent in issue was invalid; that the price fixing provisions of the 1934 agreement, modified and extended in 1939..."</t>
  </si>
  <si>
    <t>Condenser Development (Teaf and Shafer)</t>
  </si>
  <si>
    <t>Condenser Development (Teaf)</t>
  </si>
  <si>
    <t>National Lock Company</t>
    <phoneticPr fontId="22" type="noConversion"/>
  </si>
  <si>
    <t>New England Screw Company</t>
    <phoneticPr fontId="22" type="noConversion"/>
  </si>
  <si>
    <t>Dejur-Amsco (Shaw)</t>
    <phoneticPr fontId="22" type="noConversion"/>
  </si>
  <si>
    <t>Condenser Development (Cohen and Allen)</t>
  </si>
  <si>
    <t>PoolID</t>
    <phoneticPr fontId="22" type="noConversion"/>
  </si>
  <si>
    <t>1937Wrin</t>
    <phoneticPr fontId="22" type="noConversion"/>
  </si>
  <si>
    <t>D88001</t>
    <phoneticPr fontId="22" type="noConversion"/>
  </si>
  <si>
    <t>Secondary Subclass 2f</t>
    <phoneticPr fontId="22" type="noConversion"/>
  </si>
  <si>
    <t>Secondary Subclass 3f</t>
    <phoneticPr fontId="22" type="noConversion"/>
  </si>
  <si>
    <t>Comfy Manufacturing Company</t>
    <phoneticPr fontId="22" type="noConversion"/>
  </si>
  <si>
    <t>Secondary Class B</t>
  </si>
  <si>
    <t>Secondary Subclass 1b</t>
  </si>
  <si>
    <t>Secondary Subclass 4b</t>
  </si>
  <si>
    <t>Secondary Subclass 5b</t>
  </si>
  <si>
    <t>Secondary Subclass 6b</t>
  </si>
  <si>
    <t>Secondary Class C</t>
  </si>
  <si>
    <t>Secondary Subclass 2a</t>
  </si>
  <si>
    <t>Scott-Ross (Scott and Ross)</t>
    <phoneticPr fontId="22" type="noConversion"/>
  </si>
  <si>
    <t>1933Mach</t>
  </si>
  <si>
    <t xml:space="preserve">Secondary Subclass 6a </t>
  </si>
  <si>
    <t>Secondary Subclass 7c</t>
  </si>
  <si>
    <t>Secondary Class D</t>
  </si>
  <si>
    <t>Clarence Coberly</t>
    <phoneticPr fontId="22" type="noConversion"/>
  </si>
  <si>
    <t>Kobe (Coberly)</t>
    <phoneticPr fontId="22" type="noConversion"/>
  </si>
  <si>
    <t>Austenal Laboratories, Inc.</t>
    <phoneticPr fontId="22" type="noConversion"/>
  </si>
  <si>
    <t>Bristol Company</t>
    <phoneticPr fontId="22" type="noConversion"/>
  </si>
  <si>
    <t>Central Screw Company</t>
    <phoneticPr fontId="22" type="noConversion"/>
  </si>
  <si>
    <t xml:space="preserve">Secondary Subclass 10a </t>
  </si>
  <si>
    <t>.</t>
  </si>
  <si>
    <t>Radio Condenser Company (Cramer)</t>
    <phoneticPr fontId="22" type="noConversion"/>
  </si>
  <si>
    <t>International Screw Company</t>
    <phoneticPr fontId="22" type="noConversion"/>
  </si>
  <si>
    <t>Condenser Development (Allen)</t>
  </si>
  <si>
    <t>Condenser Development (Fisher)</t>
  </si>
  <si>
    <t>Phillippi</t>
    <phoneticPr fontId="22" type="noConversion"/>
  </si>
  <si>
    <t>Radio Condenser Company (Koepling)</t>
    <phoneticPr fontId="22" type="noConversion"/>
  </si>
  <si>
    <t>10R</t>
    <phoneticPr fontId="22" type="noConversion"/>
  </si>
  <si>
    <t>Radio Condenser Company (Ross)</t>
    <phoneticPr fontId="22" type="noConversion"/>
  </si>
  <si>
    <t>Amsco (Jones and Hardy)</t>
    <phoneticPr fontId="22" type="noConversion"/>
  </si>
  <si>
    <t>Secondary Subclass 9a</t>
  </si>
  <si>
    <t>Secondary Subclass 10a</t>
  </si>
  <si>
    <t>Secondary Subclass 2e</t>
  </si>
  <si>
    <t>Secondary Subclass 2f</t>
  </si>
  <si>
    <t>Secondary Subclass 3f</t>
  </si>
  <si>
    <t>Sources: Written opinion on March 28, 1949, and license agreement for May 20, 1949.</t>
    <phoneticPr fontId="22" type="noConversion"/>
  </si>
  <si>
    <t>Firm 2</t>
    <phoneticPr fontId="22" type="noConversion"/>
  </si>
  <si>
    <t>1933Phil</t>
    <phoneticPr fontId="22" type="noConversion"/>
  </si>
  <si>
    <t>D104473</t>
    <phoneticPr fontId="22" type="noConversion"/>
  </si>
  <si>
    <t>B.J. Sackheim, N. R. Sackheim, and S. R. Maness, d.b.a. Manufacturers Screw Products</t>
    <phoneticPr fontId="22" type="noConversion"/>
  </si>
  <si>
    <t>General Screw Mfg. Co.</t>
    <phoneticPr fontId="22" type="noConversion"/>
  </si>
  <si>
    <t>1933Phil</t>
    <phoneticPr fontId="22" type="noConversion"/>
  </si>
  <si>
    <t>Philips Screw Company</t>
    <phoneticPr fontId="22" type="noConversion"/>
  </si>
  <si>
    <t>American Cyanamid Company (Bradley)</t>
    <phoneticPr fontId="22" type="noConversion"/>
  </si>
  <si>
    <t>Kay and Ess Chemical Corporation (Phillippi)</t>
    <phoneticPr fontId="22" type="noConversion"/>
  </si>
  <si>
    <t>Rodless (also held patents from Paul Yungling and Granville Knox, also secured a license under the Ira Humphreys and R. Crum patents) / Rodless Pump Company</t>
    <phoneticPr fontId="22" type="noConversion"/>
  </si>
  <si>
    <t>Old Kobe (President was Clarence J. Coberly)</t>
    <phoneticPr fontId="22" type="noConversion"/>
  </si>
  <si>
    <t>Secondary Subclass 2c</t>
  </si>
  <si>
    <t>DeSimone</t>
    <phoneticPr fontId="22" type="noConversion"/>
  </si>
  <si>
    <t>General Instrument Corporation (Cohen)</t>
    <phoneticPr fontId="22" type="noConversion"/>
  </si>
  <si>
    <t>Paul Yungling</t>
    <phoneticPr fontId="22" type="noConversion"/>
  </si>
  <si>
    <t>1942Tele</t>
    <phoneticPr fontId="22" type="noConversion"/>
  </si>
  <si>
    <t>Radio Condenser (Noller)</t>
    <phoneticPr fontId="22" type="noConversion"/>
  </si>
  <si>
    <t>Kobe (Coberly)</t>
    <phoneticPr fontId="22" type="noConversion"/>
  </si>
  <si>
    <t>Lodge and Shipley Machine Tool Company</t>
    <phoneticPr fontId="22" type="noConversion"/>
  </si>
  <si>
    <t>Radio Condenser (Cramer et al.)</t>
    <phoneticPr fontId="22" type="noConversion"/>
  </si>
  <si>
    <t>Philips Screw Company (Thompson)</t>
    <phoneticPr fontId="22" type="noConversion"/>
  </si>
  <si>
    <t>Amsco (Lester)</t>
    <phoneticPr fontId="22" type="noConversion"/>
  </si>
  <si>
    <t>Cramer et al.</t>
    <phoneticPr fontId="22" type="noConversion"/>
  </si>
  <si>
    <t>Cramer</t>
    <phoneticPr fontId="22" type="noConversion"/>
  </si>
  <si>
    <t>Lang</t>
    <phoneticPr fontId="22" type="noConversion"/>
  </si>
  <si>
    <t>Cohen</t>
    <phoneticPr fontId="22" type="noConversion"/>
  </si>
  <si>
    <t>.</t>
    <phoneticPr fontId="22" type="noConversion"/>
  </si>
  <si>
    <t>Secondary Subclass 2d</t>
  </si>
  <si>
    <t>Secondary Subclass 1e</t>
  </si>
  <si>
    <t>Secondary Class F</t>
  </si>
  <si>
    <t>Patent</t>
    <phoneticPr fontId="22" type="noConversion"/>
  </si>
  <si>
    <t>Firm 5</t>
    <phoneticPr fontId="22" type="noConversion"/>
  </si>
  <si>
    <t>Radio Condenser Company (Gilling)</t>
    <phoneticPr fontId="22" type="noConversion"/>
  </si>
  <si>
    <t>D5</t>
    <phoneticPr fontId="22" type="noConversion"/>
  </si>
  <si>
    <t>Secondary Subclass 2e</t>
    <phoneticPr fontId="22" type="noConversion"/>
  </si>
  <si>
    <t>1938Slip</t>
    <phoneticPr fontId="22" type="noConversion"/>
  </si>
  <si>
    <t>Closed pool: it was to issue only a license to Old Kobe, but Rodless was to have the right to a similar license if it should elect to claim that right within threee years from the date of the agreement.</t>
    <phoneticPr fontId="22" type="noConversion"/>
  </si>
  <si>
    <t>Grantbacks: Kobe and Rodless were to assign to Roko all of their patents and all future inventions or patents acquired for the 25 years period provided for in the agreement.</t>
    <phoneticPr fontId="22" type="noConversion"/>
  </si>
  <si>
    <t>Roko (Coberly)</t>
  </si>
  <si>
    <t>DIG.35</t>
  </si>
  <si>
    <t>Notes</t>
    <phoneticPr fontId="22" type="noConversion"/>
  </si>
  <si>
    <t>Secondary Subclass 3d</t>
  </si>
  <si>
    <t>American Screw Company (Roddy)</t>
    <phoneticPr fontId="22" type="noConversion"/>
  </si>
  <si>
    <t>Amsco (Hardy)</t>
    <phoneticPr fontId="22" type="noConversion"/>
  </si>
  <si>
    <t>U.S. Tool Company (Cahusse)</t>
    <phoneticPr fontId="22" type="noConversion"/>
  </si>
  <si>
    <t>Re18405</t>
    <phoneticPr fontId="22" type="noConversion"/>
  </si>
  <si>
    <t>Secondary Subclass 3c</t>
  </si>
  <si>
    <t>Secondary Subclass 4c</t>
  </si>
  <si>
    <t>1992Lase</t>
  </si>
  <si>
    <t>Kimmel</t>
    <phoneticPr fontId="22" type="noConversion"/>
  </si>
  <si>
    <t>Swope, Jr.</t>
    <phoneticPr fontId="22" type="noConversion"/>
  </si>
  <si>
    <t>1943Tele</t>
  </si>
  <si>
    <t>1948Tele</t>
  </si>
  <si>
    <t>1924Sand</t>
  </si>
  <si>
    <t>1933Hydr</t>
  </si>
  <si>
    <t>1938Slip</t>
  </si>
  <si>
    <t>1947Algi</t>
  </si>
  <si>
    <t>Application Date</t>
    <phoneticPr fontId="22" type="noConversion"/>
  </si>
  <si>
    <t>United States v. Switzer Brothers, Inc., Gantner &amp; Mattern Co., The Firelure Corporation, The Sherwin-Williams Company, The Sherwin-Williams Company of California, Aberfoyle Manufacturing Company, Lawter Chemicals, Inc., Robert C. Switzer, Joseph L. Switzer, John O. Gantner, Jr., Eugene Burns, Gerald D. Stratford, and W. Bruce Beckley.</t>
  </si>
  <si>
    <t>American Screw Company (Roddy)</t>
    <phoneticPr fontId="22" type="noConversion"/>
  </si>
  <si>
    <t>Grant Date</t>
    <phoneticPr fontId="22" type="noConversion"/>
  </si>
  <si>
    <t>1938Indu</t>
  </si>
  <si>
    <t>D25</t>
    <phoneticPr fontId="22" type="noConversion"/>
  </si>
  <si>
    <t>D25</t>
    <phoneticPr fontId="22" type="noConversion"/>
  </si>
  <si>
    <t>Arthur Oppenheimer</t>
    <phoneticPr fontId="22" type="noConversion"/>
  </si>
  <si>
    <t>Radio Condenser (Cramer)</t>
    <phoneticPr fontId="22" type="noConversion"/>
  </si>
  <si>
    <t>Radio Condenser (Keopping)</t>
    <phoneticPr fontId="22" type="noConversion"/>
  </si>
  <si>
    <t>App 133655</t>
    <phoneticPr fontId="22" type="noConversion"/>
  </si>
  <si>
    <t>App 759552</t>
    <phoneticPr fontId="22" type="noConversion"/>
  </si>
  <si>
    <t>App 78487</t>
    <phoneticPr fontId="22" type="noConversion"/>
  </si>
  <si>
    <t>Assignee (Inventor)</t>
    <phoneticPr fontId="22" type="noConversion"/>
  </si>
  <si>
    <t>D8</t>
    <phoneticPr fontId="22" type="noConversion"/>
  </si>
  <si>
    <t>38B</t>
    <phoneticPr fontId="22" type="noConversion"/>
  </si>
  <si>
    <t>1924Plat</t>
  </si>
  <si>
    <t>1929Coat</t>
  </si>
  <si>
    <t>1931Grin</t>
  </si>
  <si>
    <t xml:space="preserve">Secondary Subclass 7a </t>
  </si>
  <si>
    <t>.</t>
    <phoneticPr fontId="22" type="noConversion"/>
  </si>
  <si>
    <t>Radio Condenser Company (Cramer et al.)</t>
    <phoneticPr fontId="22" type="noConversion"/>
  </si>
  <si>
    <t>Patents listed in the opinion:</t>
    <phoneticPr fontId="22" type="noConversion"/>
  </si>
  <si>
    <t>Secondary Subclass 1a</t>
  </si>
  <si>
    <t>Kobe (Coberly)</t>
    <phoneticPr fontId="22" type="noConversion"/>
  </si>
  <si>
    <t>Kobe (Coberly)</t>
    <phoneticPr fontId="22" type="noConversion"/>
  </si>
  <si>
    <t>Brown &amp; Sharpe Manufacturing Company</t>
    <phoneticPr fontId="22" type="noConversion"/>
  </si>
  <si>
    <t xml:space="preserve">Secondary Subclass 9a </t>
  </si>
  <si>
    <t>1933Hydr</t>
    <phoneticPr fontId="22" type="noConversion"/>
  </si>
  <si>
    <t>DIG.78</t>
    <phoneticPr fontId="22" type="noConversion"/>
  </si>
  <si>
    <t>Charles Parker Company</t>
    <phoneticPr fontId="22" type="noConversion"/>
  </si>
  <si>
    <t>Agreement was modified between January 2, 1935 to August 31, 1937.  Entered into sublicensing agreements with numerous companies in the U.S. to make and sell Phillips screws or drivers.</t>
  </si>
  <si>
    <t>Pool members: Rodless (also held patents from Paul Yungling and Granville Knox, also secured a license under the Ira Humphreys and R. Crum patents) / Rodless Pump Company, and Old Kobe (President was Clarence J. Coberly)</t>
    <phoneticPr fontId="22" type="noConversion"/>
  </si>
  <si>
    <t>Patents listed in the memorandom for trial court:</t>
    <phoneticPr fontId="22" type="noConversion"/>
  </si>
  <si>
    <t>Alta Vista (Gage)</t>
  </si>
  <si>
    <t>Gage</t>
  </si>
  <si>
    <t>Secondary Subclass 1c</t>
  </si>
  <si>
    <t>Firm 1</t>
    <phoneticPr fontId="22" type="noConversion"/>
  </si>
  <si>
    <t>DIG.39</t>
    <phoneticPr fontId="22" type="noConversion"/>
  </si>
  <si>
    <t>Granville Knox</t>
    <phoneticPr fontId="22" type="noConversion"/>
  </si>
  <si>
    <t>Surefit Products Company (Krasnov)</t>
    <phoneticPr fontId="22" type="noConversion"/>
  </si>
  <si>
    <t>Bernard Scott</t>
    <phoneticPr fontId="22" type="noConversion"/>
  </si>
  <si>
    <t>Definition: 'machine tools' referred to include power-driven machines, not portable by hand, which are used to cut or shape metal, and includes machine tools of the following types: lathes, shaving machines, drilling machines, boring machines, milling machines, broaching machines, grinding machines, gear producing machines, and screw machines.</t>
    <phoneticPr fontId="22" type="noConversion"/>
  </si>
  <si>
    <t>Notes</t>
    <phoneticPr fontId="22" type="noConversion"/>
  </si>
  <si>
    <t>Kay and Ess Chemical Corporation (Kittredge and Turner)</t>
    <phoneticPr fontId="22" type="noConversion"/>
  </si>
  <si>
    <t>Corect patent?</t>
    <phoneticPr fontId="22" type="noConversion"/>
  </si>
  <si>
    <t>Flood and Conklin (Root)</t>
    <phoneticPr fontId="22" type="noConversion"/>
  </si>
  <si>
    <t>Flood and Conklin (Root)</t>
    <phoneticPr fontId="22" type="noConversion"/>
  </si>
  <si>
    <t>Chadeloid Chemical Company (Root)</t>
    <phoneticPr fontId="22" type="noConversion"/>
  </si>
  <si>
    <t>Chadeloid Chemical Company (Arthur Agnew)</t>
    <phoneticPr fontId="22" type="noConversion"/>
  </si>
  <si>
    <t>Chadeloid Chemical (Karel Toll)</t>
    <phoneticPr fontId="22" type="noConversion"/>
  </si>
  <si>
    <t>665Q</t>
    <phoneticPr fontId="22" type="noConversion"/>
  </si>
  <si>
    <t>1934Vari</t>
    <phoneticPr fontId="22" type="noConversion"/>
  </si>
  <si>
    <t>Secondary Subclass 4a</t>
  </si>
  <si>
    <t xml:space="preserve">Secondary Subclass 5a </t>
  </si>
  <si>
    <t>1933Mach</t>
    <phoneticPr fontId="22" type="noConversion"/>
  </si>
  <si>
    <t>Associated Patents (Bennett)</t>
    <phoneticPr fontId="22" type="noConversion"/>
  </si>
  <si>
    <t>Associated Patents (Vlieg)</t>
    <phoneticPr fontId="22" type="noConversion"/>
  </si>
  <si>
    <t>Associated Patents (Graves)</t>
    <phoneticPr fontId="22" type="noConversion"/>
  </si>
  <si>
    <t>Firm 9</t>
  </si>
  <si>
    <t>Firm 10</t>
  </si>
  <si>
    <t>Secondary Subclass 5d</t>
  </si>
  <si>
    <t>Secondary Subclass 6d</t>
  </si>
  <si>
    <t>Assignee (Inventor)</t>
  </si>
  <si>
    <t>Primary Subclass</t>
  </si>
  <si>
    <t>Secondary Subclass 3a</t>
  </si>
  <si>
    <t>Secondary Subclass 5a</t>
  </si>
  <si>
    <t>Secondary Subclass 6a</t>
  </si>
  <si>
    <t>Secondary Subclass 7a</t>
  </si>
  <si>
    <t>Secondary Subclass 8a</t>
  </si>
  <si>
    <t>Grantback: "each of the first contracting parties desires to acquire a license…on market tuning devices and variable condensers and Letters patents for radio tuning devices and variable condensers which each of the other of these parties may now or hereafter during the life of this agreement own or control in whole or part."</t>
    <phoneticPr fontId="22" type="noConversion"/>
  </si>
  <si>
    <t>Open pool: "The contract provided that the new company would issue a license under the patents listed to any member of the industry at a low rate of royalty on terms and conditions to be determined from time to time."</t>
    <phoneticPr fontId="22" type="noConversion"/>
  </si>
  <si>
    <t>Wolverine Bolt Company</t>
    <phoneticPr fontId="22" type="noConversion"/>
  </si>
  <si>
    <t>Philips Screw Company (Phillips)</t>
    <phoneticPr fontId="22" type="noConversion"/>
  </si>
  <si>
    <t>1934Vari</t>
    <phoneticPr fontId="22" type="noConversion"/>
  </si>
  <si>
    <t>Paul Yungling</t>
    <phoneticPr fontId="22" type="noConversion"/>
  </si>
  <si>
    <t>1890Toot</t>
  </si>
  <si>
    <t>Paul Yungling</t>
    <phoneticPr fontId="22" type="noConversion"/>
  </si>
  <si>
    <t>Granville Knox</t>
    <phoneticPr fontId="22" type="noConversion"/>
  </si>
  <si>
    <t>From case opinion: "By September, 1948, when the complaint was filed in this action, more than two hundred, or substantially all, manufacturers of wrinkle finishes in the United States held nearly identical ten-year extendable license agreements from New Wrinkle. These agreements required, among other things, that a licensee observe in all sales of products covered."</t>
    <phoneticPr fontId="22" type="noConversion"/>
  </si>
  <si>
    <t>American Screw Company (Tomalis)</t>
    <phoneticPr fontId="22" type="noConversion"/>
  </si>
  <si>
    <t>American Screw Company (Clark)</t>
    <phoneticPr fontId="22" type="noConversion"/>
  </si>
  <si>
    <t>R. Crum</t>
    <phoneticPr fontId="22" type="noConversion"/>
  </si>
  <si>
    <t>Ira Humphreys</t>
    <phoneticPr fontId="22" type="noConversion"/>
  </si>
  <si>
    <t>Bernard Scott and Samuel Ross</t>
    <phoneticPr fontId="22" type="noConversion"/>
  </si>
  <si>
    <t>Notes</t>
    <phoneticPr fontId="22" type="noConversion"/>
  </si>
  <si>
    <t>Secondary Subclass 5c</t>
  </si>
  <si>
    <t>Secondary Subclass 6c</t>
  </si>
  <si>
    <t>Secondary Subclass 1d</t>
  </si>
  <si>
    <t>New Wrinkle (Moore)</t>
    <phoneticPr fontId="22" type="noConversion"/>
  </si>
  <si>
    <t>Pacific</t>
    <phoneticPr fontId="22" type="noConversion"/>
  </si>
  <si>
    <t>Porcelain</t>
    <phoneticPr fontId="22" type="noConversion"/>
  </si>
  <si>
    <t>Kobe (Coberly)</t>
    <phoneticPr fontId="22" type="noConversion"/>
  </si>
  <si>
    <t>Associated Patents (DeVlieg)</t>
    <phoneticPr fontId="22" type="noConversion"/>
  </si>
  <si>
    <t>Royal</t>
    <phoneticPr fontId="22" type="noConversion"/>
  </si>
  <si>
    <t>PoolID</t>
  </si>
  <si>
    <t>1895Pneu</t>
  </si>
  <si>
    <t>1912Dupl</t>
  </si>
  <si>
    <t>Kobe (Coberly)</t>
  </si>
  <si>
    <t>Kobe (Coberly)</t>
    <phoneticPr fontId="22" type="noConversion"/>
  </si>
  <si>
    <t>Reason for formation: "Two companies were engaged in litigation over patents used in the manufacture of paints.  The litigation was settled and compromised by an agreement between the companies, whereby a new corporation was to be formed."</t>
    <phoneticPr fontId="22" type="noConversion"/>
  </si>
  <si>
    <t>No independent licensing: "The parties agreed to relinguish their individual rights to license others and acted jointly in approving or disapproving the applications for licenses."</t>
    <phoneticPr fontId="22" type="noConversion"/>
  </si>
  <si>
    <t>NAR Chicago</t>
  </si>
  <si>
    <t>Grantbacks: no evidence of grantbacks.</t>
    <phoneticPr fontId="22" type="noConversion"/>
  </si>
  <si>
    <t>1933Hdry</t>
  </si>
  <si>
    <t>Closed pool: Associated Patents was to refrain from licensing under the pooled patents others than defendants to manufacture and sell any types of machine tools reserved for exclusive manufacture and sale by any of the defendants.</t>
    <phoneticPr fontId="22" type="noConversion"/>
  </si>
  <si>
    <t>LA, WO</t>
    <phoneticPr fontId="22" type="noConversion"/>
  </si>
  <si>
    <t>Electrical Equipment</t>
    <phoneticPr fontId="22" type="noConversion"/>
  </si>
  <si>
    <t>Acrylic Acid</t>
  </si>
  <si>
    <t>NAR New York</t>
  </si>
  <si>
    <t>NAR New York</t>
    <phoneticPr fontId="22" type="noConversion"/>
  </si>
  <si>
    <t>Kobe (Coberly)</t>
    <phoneticPr fontId="22" type="noConversion"/>
  </si>
  <si>
    <t>Kobe (Coberly)</t>
    <phoneticPr fontId="22" type="noConversion"/>
  </si>
  <si>
    <t>After the above contract was entered into the Blatchford Corporation continued, as before, to reform rail joint bars for the railroad companies with whom it had contracts. Some months later, early in 1933, it was agreed between the parties, that the Blatchford Corporation should make reports and pay the royalties as of December 2, 1932. From this date until December, 1935, the Blatchford Corporation continued to make the reports, prescribed by the license agreement, of all rail joint bars reformed by it under that agreement, and continued to remit for royalties thereon; at no time, however, remitting more than $ 1 per</t>
  </si>
  <si>
    <t>Open-ish pool: "Comfy would not grant licenses to others under the Oppenheimer patent without Sure-Fit's consent."</t>
    <phoneticPr fontId="22" type="noConversion"/>
  </si>
  <si>
    <t>App 113434</t>
    <phoneticPr fontId="22" type="noConversion"/>
  </si>
  <si>
    <t>Patent</t>
  </si>
  <si>
    <t>Application Date</t>
  </si>
  <si>
    <t>Grant Date</t>
  </si>
  <si>
    <t>Secondary Subclass 7d</t>
  </si>
  <si>
    <t>Secondary Subclass 8d</t>
  </si>
  <si>
    <t>Secondary Class E</t>
  </si>
  <si>
    <t>Philips Screw Company (Phillips et al.)</t>
    <phoneticPr fontId="22" type="noConversion"/>
  </si>
  <si>
    <t>App 113435</t>
    <phoneticPr fontId="22" type="noConversion"/>
  </si>
  <si>
    <t>This patent is also mentioned in the case notes.</t>
    <phoneticPr fontId="22" type="noConversion"/>
  </si>
  <si>
    <t>Secondary Subclass 1f</t>
  </si>
  <si>
    <t>Secondary Subclass 2b</t>
  </si>
  <si>
    <t>Secondary Subclass 3b</t>
  </si>
  <si>
    <t>Firm 6</t>
  </si>
  <si>
    <t>Firm 7</t>
  </si>
  <si>
    <t>Firm 8</t>
  </si>
  <si>
    <t>Scovill Manufacturing Company</t>
    <phoneticPr fontId="22" type="noConversion"/>
  </si>
  <si>
    <t>Kobe's business prospered and no other hydraulic pump in the field was offered to the industry until the Dempsey pump appeared in 1948 which sparked the litigtation.</t>
    <phoneticPr fontId="22" type="noConversion"/>
  </si>
  <si>
    <t>Rodless and Old Kobe formed the Roko Corporation which had no function other than the holding of the pool patents, granting licenses according to the terms of the agreement, and the acquiring of other patents relating to hydraulic pumps.</t>
    <phoneticPr fontId="22" type="noConversion"/>
  </si>
  <si>
    <t>No evidence of grantbacks.</t>
    <phoneticPr fontId="22" type="noConversion"/>
  </si>
  <si>
    <t>Pheol Manufacturing Company</t>
    <phoneticPr fontId="22" type="noConversion"/>
  </si>
  <si>
    <t>Reason for pool: Prior to July 30, 1934, Radio, General and Amsco had been active competitors and had been involved in patent infringement suits.  The alleged conspiracy to evade the Sherman Act is claimed to have commenced in or about 1934 when the three above mentioned competitors resolved their differences by forming Development.</t>
    <phoneticPr fontId="22" type="noConversion"/>
  </si>
  <si>
    <t>1956Sewi</t>
  </si>
  <si>
    <t>to bars reformed for railroads with whom it had contracts existing on October 31, 1932, for $ 13 or less per ton. The $ 1 per ton royalty was not questioned in any way by the McKenna Process Company until about August 1, 1933, when the said existing contracts with railroad companies were abrogated by different contracts with the railroad companies, providing for a rate of $ 14.30 per ton.</t>
  </si>
  <si>
    <t>1948Trac</t>
  </si>
  <si>
    <t>60-61</t>
  </si>
  <si>
    <t>Stamped Metal Wheels</t>
  </si>
  <si>
    <t>United States v. Kelsey-Hayes Wheel Co. (E.D.Mich. Civil No. 10-655; Complaint, 1951).</t>
  </si>
  <si>
    <t>United States v. Bearing Distributors Co., CCH 1952-53 Trade Cases 67,595 (W.D. Mo. Civil No. 6895; Complaint, 1951; Consent Decree, 1953).</t>
  </si>
  <si>
    <t>19XX</t>
  </si>
  <si>
    <t>Two firms: Sure-Fit (Joseph A. Krasnov, Samuel Krasnov, and Seymour Krasnov) and Comfy Manufacturing Company</t>
    <phoneticPr fontId="22" type="noConversion"/>
  </si>
  <si>
    <t>H. F. Phillips (Thompson)</t>
    <phoneticPr fontId="22" type="noConversion"/>
  </si>
  <si>
    <t>Secondary Subclass 4d</t>
  </si>
  <si>
    <t>Rodless Pump Company (Bernard Scott)</t>
    <phoneticPr fontId="22" type="noConversion"/>
  </si>
  <si>
    <t>Patents listed in the case:</t>
    <phoneticPr fontId="22" type="noConversion"/>
  </si>
  <si>
    <t>Patents listed in the license agreement:</t>
    <phoneticPr fontId="22" type="noConversion"/>
  </si>
  <si>
    <t>Reason for pooling: In 1939, Line Material Corporation and Southern States Equipment Corporation applied for patents on dropout fuse cutouts, used to protect circuits from overload. The Patent Office awarded a dominant claim to Southern and a subservient one to Line, resulting in a scenario where a cross-licensing agreement was necessary for manufacturers to obtain the full benefits ofthe technology. Line Material and Southern took advantage of this situation to create a pool
which fixed prices.</t>
    <phoneticPr fontId="22" type="noConversion"/>
  </si>
  <si>
    <t>United States v. Bendix Aviation Corp., Westinghouse Air Brake Co., et al., CCH 1948-49 Trade Cases 62,349 (S.D.N.Y. Civil No. 44-284; Complaint , 1947; Consent Judgment re Westinghouse, 1948).</t>
    <phoneticPr fontId="22" type="noConversion"/>
  </si>
  <si>
    <t>157-58</t>
    <phoneticPr fontId="22" type="noConversion"/>
  </si>
  <si>
    <t>During the years 1930 and 1931, the Blatchford Corporation secured contracts with various railroad companies to reform rail joint bars, and was engaged in that work at Aurora at the time it was sued in the federal court at Chicago by the Rail Joint Company of New York and the McKenna Process Company of Illinois for infringement of the patents owned by those complainants. As a result of negotiations to compromise the infringement suit, and as a complete and final settlement of that controversy, a contract of October 31, 1932, was entered into between the McKenna Process Company of Illinois and the Blatchford Corporation, with the consent of the Rail Joint Company of New York, and this last contract is the subject matter of [***3]  the case at bar.</t>
  </si>
  <si>
    <t>Two firms: Phillips Screw Company and American Screw Company.</t>
    <phoneticPr fontId="22" type="noConversion"/>
  </si>
  <si>
    <t>Grantbacks: new patents were added to the licenses.</t>
    <phoneticPr fontId="22" type="noConversion"/>
  </si>
  <si>
    <t>Grantbacks: later license agreements include subsequently granted patents.</t>
    <phoneticPr fontId="22" type="noConversion"/>
  </si>
  <si>
    <t>This list comes from the license agreement:</t>
    <phoneticPr fontId="22" type="noConversion"/>
  </si>
  <si>
    <t>No evidence of prior litigation.</t>
    <phoneticPr fontId="22" type="noConversion"/>
  </si>
  <si>
    <t>NAR New York</t>
    <phoneticPr fontId="22" type="noConversion"/>
  </si>
  <si>
    <t>96-97</t>
    <phoneticPr fontId="22" type="noConversion"/>
  </si>
  <si>
    <t>No evidence of prior litigation.</t>
    <phoneticPr fontId="22" type="noConversion"/>
  </si>
  <si>
    <t>United States v. Schering Corp., CCH Trade Regulation Reports, Supp. 1941-43, 52,729 (D.C.N.J. Civil No. 1919; Complaint and Consent Decree, Dec. 17, 1941).</t>
    <phoneticPr fontId="22" type="noConversion"/>
  </si>
  <si>
    <t>Open pool: though General granted licenses it imposed sharp price-fixing constraints: "immediately following the formation of Development, it is alleged to have notified Federal and Reliance that thy were infringing the pooled patents of Development; that in settlement of the subsequent patent infringement suit against Federal, Development granted to it on April 15, 1935, a license under the pooled patents at an unreasonably high royalty rate..."</t>
    <phoneticPr fontId="22" type="noConversion"/>
  </si>
  <si>
    <t>Illinois Tool Works</t>
    <phoneticPr fontId="22" type="noConversion"/>
  </si>
  <si>
    <t>United States v. General Electric Co., Corning Glass Works, et al., CCH 1946-47 Trade Cases 57,448 (D.N.J. Civil No. 2590; Complaint, 1942; Consent Decree re Corning, 1946).</t>
    <phoneticPr fontId="22" type="noConversion"/>
  </si>
  <si>
    <t>Railroad Springs</t>
    <phoneticPr fontId="22" type="noConversion"/>
  </si>
  <si>
    <t>United States v. Merck and Co., CCH 1944-45 Trade Cases 57,416 (D.C.N.J. Civil No. 3159; Complaint, 1943; Consent Decree, 1945).</t>
    <phoneticPr fontId="22" type="noConversion"/>
  </si>
  <si>
    <t>1932Rail</t>
    <phoneticPr fontId="22" type="noConversion"/>
  </si>
  <si>
    <t>Court found "no pooling of patents" so not a patent pool.  Basically 1 patent is at the center of this.</t>
  </si>
  <si>
    <t>United States v. Imperial Chemical Industries, Ltd., 100 F. Supp. 504, 516 (S.D.N.Y. 1951).</t>
  </si>
  <si>
    <t>1907/1913</t>
  </si>
  <si>
    <t>Licenses terminated in 1949 and firms were ordered to grant non-exclusive licenses to manufacture cross-recessed head screws and drivers on a reasonable royalty basis.</t>
    <phoneticPr fontId="22" type="noConversion"/>
  </si>
  <si>
    <t>Reliance (successor is Oak who was granted a license)</t>
    <phoneticPr fontId="22" type="noConversion"/>
  </si>
  <si>
    <t>(Manufacturers Supply company was an affiliate of Radio)</t>
    <phoneticPr fontId="22" type="noConversion"/>
  </si>
  <si>
    <t>1925Vent</t>
    <phoneticPr fontId="22" type="noConversion"/>
  </si>
  <si>
    <t>United States v. Textile Machine Works, CCH 1950-51 Trade Cases 62,709 (S.D.N.Y. Civil No. 43-671; Complaint, 1947; Fina; Judgment, 1950).</t>
    <phoneticPr fontId="22" type="noConversion"/>
  </si>
  <si>
    <t>Tractor Cabs</t>
  </si>
  <si>
    <t>These patents were ilsted in Appendix A of the written opinion.</t>
    <phoneticPr fontId="22" type="noConversion"/>
  </si>
  <si>
    <t>Open pool.</t>
    <phoneticPr fontId="22" type="noConversion"/>
  </si>
  <si>
    <t>Notes</t>
    <phoneticPr fontId="22" type="noConversion"/>
  </si>
  <si>
    <t>From opinion: "Sure-Fit, being the manufacturer, waited for Comfy to sue and assert the infringement claim lodged against retailers.  When Comfy did not sue and Sure-Fit found its customers receiving notices of infringement and being threatened with suit, it started suit against Comfy on January 9, 1938, in the Sourthern District of New York, seeking to have the Oppenheimer patent declared invalid and charging Comfy with unfair competition and violation of the Antitrust Laws.  On October 4, 1938, Comfy and Sure-Fit, with Oppenheimer's approvial, entered into an agreement...the Sure-Fit-Comfy suit was discontinued by stipulation of counsel three days later, October 7, 1938.</t>
    <phoneticPr fontId="22" type="noConversion"/>
  </si>
  <si>
    <t>Clark</t>
    <phoneticPr fontId="22" type="noConversion"/>
  </si>
  <si>
    <t>Lemert</t>
    <phoneticPr fontId="22" type="noConversion"/>
  </si>
  <si>
    <t>Hunt</t>
    <phoneticPr fontId="22" type="noConversion"/>
  </si>
  <si>
    <t>United States v. Cincinnati Milling Machine Co., CCH 1953-54 Trade Cases 67,733 (E.D. Mich Civil No. 13401; Complaint and Consent Judgment, April 19, 1954).</t>
    <phoneticPr fontId="22" type="noConversion"/>
  </si>
  <si>
    <t>Sewing Machines</t>
    <phoneticPr fontId="22" type="noConversion"/>
  </si>
  <si>
    <t>Pre-1917</t>
    <phoneticPr fontId="22" type="noConversion"/>
  </si>
  <si>
    <t>All of the four "existing" contracts between the Blatchford Corporation and the railroads had called for a tonnage rate of $ 13, and each of them [***4] was, on or about August 1, 1933, by mutual agreement, renewed for a year at a price of $ 14.30. The Blatchford Corporation insists that this was merely an exercise by the railroad company of its option to renew for one year and did not take it out of the class of contracts designated as "existing" contracts and that it was not liable to the McKenna Process Company for an increase in royalties from $ 1 to $ 2. The McKenna Process Company insists that the increase in price to the railroads to an amount above $ 13 per ton had the effect of new and different contracts which abrogated the old "existing" contracts, and that henceforth the Blatchford Corporation was liable for a royalty of $ 2 per ton. This controversy is evidenced by correspondence between the parties, until the suit was started.</t>
  </si>
  <si>
    <t>Final Litigation</t>
    <phoneticPr fontId="22" type="noConversion"/>
  </si>
  <si>
    <t>Notes</t>
    <phoneticPr fontId="22" type="noConversion"/>
  </si>
  <si>
    <t>Glass Lamps</t>
    <phoneticPr fontId="22" type="noConversion"/>
  </si>
  <si>
    <t>Water Conditioning Apparatus</t>
    <phoneticPr fontId="22" type="noConversion"/>
  </si>
  <si>
    <t>NAR New York</t>
    <phoneticPr fontId="22" type="noConversion"/>
  </si>
  <si>
    <t>Hydraulic Oil Pumps</t>
    <phoneticPr fontId="22" type="noConversion"/>
  </si>
  <si>
    <t>NADC</t>
    <phoneticPr fontId="22" type="noConversion"/>
  </si>
  <si>
    <t>WO</t>
    <phoneticPr fontId="22" type="noConversion"/>
  </si>
  <si>
    <t>NAR Chicago</t>
    <phoneticPr fontId="22" type="noConversion"/>
  </si>
  <si>
    <t>King v. Anthony Pools, 202 F. Supp. 426 (1962).</t>
    <phoneticPr fontId="22" type="noConversion"/>
  </si>
  <si>
    <t>Technology</t>
    <phoneticPr fontId="22" type="noConversion"/>
  </si>
  <si>
    <t>Contract Location</t>
    <phoneticPr fontId="22" type="noConversion"/>
  </si>
  <si>
    <t>Source: United States v. General Instrument Corp., D. N. J. Cr. 3960-C, Civil 8586 and License agreement for August 7, 1934 and Part of the written "Pleadings."</t>
    <phoneticPr fontId="22" type="noConversion"/>
  </si>
  <si>
    <t>Notes</t>
  </si>
  <si>
    <t>Barr, Moxley, Cooper</t>
    <phoneticPr fontId="22" type="noConversion"/>
  </si>
  <si>
    <t>Camerota</t>
    <phoneticPr fontId="22" type="noConversion"/>
  </si>
  <si>
    <t>Lecithin</t>
    <phoneticPr fontId="22" type="noConversion"/>
  </si>
  <si>
    <t>United States v. New Wrinkle, Inc., 1955 Trade Cases (C.C.H.) ¶ 68,203 (S.D. Ohio).</t>
    <phoneticPr fontId="22" type="noConversion"/>
  </si>
  <si>
    <t>Do not use/cannot find</t>
    <phoneticPr fontId="22" type="noConversion"/>
  </si>
  <si>
    <t>1937Park</t>
    <phoneticPr fontId="22" type="noConversion"/>
  </si>
  <si>
    <t>Parking Meters</t>
    <phoneticPr fontId="22" type="noConversion"/>
  </si>
  <si>
    <t>1924Brak</t>
    <phoneticPr fontId="22" type="noConversion"/>
  </si>
  <si>
    <t>NAR San Francisco</t>
    <phoneticPr fontId="22" type="noConversion"/>
  </si>
  <si>
    <t>Notes</t>
    <phoneticPr fontId="22" type="noConversion"/>
  </si>
  <si>
    <t>1934Dry</t>
    <phoneticPr fontId="22" type="noConversion"/>
  </si>
  <si>
    <t>Dry Ice</t>
    <phoneticPr fontId="22" type="noConversion"/>
  </si>
  <si>
    <t>1934Elec</t>
    <phoneticPr fontId="22" type="noConversion"/>
  </si>
  <si>
    <t>United States v. The Singer Manufacturing Co.</t>
  </si>
  <si>
    <t>Duplicating Machines</t>
  </si>
  <si>
    <t>NAR New York</t>
    <phoneticPr fontId="22" type="noConversion"/>
  </si>
  <si>
    <t>United States v. Phillips Screw Co., 1949 Trade Cas. (C.C.H.) ¶62,394 (N.D. Ill.)</t>
  </si>
  <si>
    <t>United States v. General Instrument Corp., 87 F. Supp. 157, 194 (D.N.J. 1949); United States v. General Instrument Corp., 115 F. Supp. 582 (D.N.J. 1953).</t>
    <phoneticPr fontId="22" type="noConversion"/>
  </si>
  <si>
    <t>WALTER E. KRAMER, EXECUTOR, ESTATE OF JULIUS KRAMER, DECEASED, PETITIONER, v. COMMISSIONER OF INTERNAL REVENUE, RESPONDENT. OLGA R. KRAMER, PETITIONER, v. COMMISSIONER OF INTERNAL REVENUE, RESPONDENT. JACOB L. SCHNADIG, PETITIONER, v. COMMISSIONER OF INTERNAL REVENUE, RESPONDENT., 27 B.T.A. 1043 (1933).</t>
    <phoneticPr fontId="22" type="noConversion"/>
  </si>
  <si>
    <t>1931Fuel</t>
    <phoneticPr fontId="22" type="noConversion"/>
  </si>
  <si>
    <t>Fuel Injection Equipment</t>
    <phoneticPr fontId="22" type="noConversion"/>
  </si>
  <si>
    <t>Plastic Artificial Eyes</t>
    <phoneticPr fontId="22" type="noConversion"/>
  </si>
  <si>
    <t>NAR (???)</t>
    <phoneticPr fontId="22" type="noConversion"/>
  </si>
  <si>
    <t xml:space="preserve">Television Apparatus </t>
    <phoneticPr fontId="22" type="noConversion"/>
  </si>
  <si>
    <t>Arnold</t>
    <phoneticPr fontId="22" type="noConversion"/>
  </si>
  <si>
    <t>Russell</t>
    <phoneticPr fontId="22" type="noConversion"/>
  </si>
  <si>
    <t>Langenberg</t>
    <phoneticPr fontId="22" type="noConversion"/>
  </si>
  <si>
    <t>Russell</t>
    <phoneticPr fontId="22" type="noConversion"/>
  </si>
  <si>
    <t>NADC</t>
  </si>
  <si>
    <t>1934Vari</t>
    <phoneticPr fontId="22" type="noConversion"/>
  </si>
  <si>
    <t>Aircraft Instruments and Parts</t>
    <phoneticPr fontId="22" type="noConversion"/>
  </si>
  <si>
    <t>1937Male</t>
    <phoneticPr fontId="22" type="noConversion"/>
  </si>
  <si>
    <t>Male Hormones</t>
    <phoneticPr fontId="22" type="noConversion"/>
  </si>
  <si>
    <t>1937Wrin</t>
    <phoneticPr fontId="22" type="noConversion"/>
  </si>
  <si>
    <t>Wrinkle Finishes</t>
    <phoneticPr fontId="22" type="noConversion"/>
  </si>
  <si>
    <t>58-59</t>
    <phoneticPr fontId="22" type="noConversion"/>
  </si>
  <si>
    <t>"The pooling of patents and cross-licensing, which are open equally to the public on the same terms, do not fall within the interdiction. Unlawful monopoly would arise only if the agreement were accompanied by the purpose of intent to exclude competition."</t>
    <phoneticPr fontId="22" type="noConversion"/>
  </si>
  <si>
    <t>125-26</t>
    <phoneticPr fontId="22" type="noConversion"/>
  </si>
  <si>
    <t>Appears to be one firm only.  Not sure why Lerner lists it as 3.  Similar license agreements were granted to Tool companies.</t>
    <phoneticPr fontId="22" type="noConversion"/>
  </si>
  <si>
    <t>1933Tele</t>
    <phoneticPr fontId="22" type="noConversion"/>
  </si>
  <si>
    <t>Television Apparatus</t>
    <phoneticPr fontId="22" type="noConversion"/>
  </si>
  <si>
    <t>Australian firms only.</t>
    <phoneticPr fontId="22" type="noConversion"/>
  </si>
  <si>
    <t>Pre-1917</t>
    <phoneticPr fontId="22" type="noConversion"/>
  </si>
  <si>
    <t>Daniel</t>
    <phoneticPr fontId="22" type="noConversion"/>
  </si>
  <si>
    <t>Grant Date</t>
    <phoneticPr fontId="22" type="noConversion"/>
  </si>
  <si>
    <t>Assignee (Inventor)</t>
    <phoneticPr fontId="22" type="noConversion"/>
  </si>
  <si>
    <t>United States v. Line Material Co., 333 U.S. 287, 305 (1948).</t>
    <phoneticPr fontId="22" type="noConversion"/>
  </si>
  <si>
    <t>51-52</t>
    <phoneticPr fontId="22" type="noConversion"/>
  </si>
  <si>
    <t>ME, WO</t>
    <phoneticPr fontId="22" type="noConversion"/>
  </si>
  <si>
    <t>1938Pour</t>
    <phoneticPr fontId="22" type="noConversion"/>
  </si>
  <si>
    <t>Pour Deppressants</t>
    <phoneticPr fontId="22" type="noConversion"/>
  </si>
  <si>
    <t>NAR (???)</t>
    <phoneticPr fontId="22" type="noConversion"/>
  </si>
  <si>
    <t>Television/Radio Apparatus</t>
    <phoneticPr fontId="22" type="noConversion"/>
  </si>
  <si>
    <t>NAR (???)</t>
    <phoneticPr fontId="22" type="noConversion"/>
  </si>
  <si>
    <t>Alginate (Dental) Impression Powder</t>
    <phoneticPr fontId="22" type="noConversion"/>
  </si>
  <si>
    <t>1948Plas</t>
    <phoneticPr fontId="22" type="noConversion"/>
  </si>
  <si>
    <t>Clark</t>
    <phoneticPr fontId="22" type="noConversion"/>
  </si>
  <si>
    <t>Wisconsin State Historical Society</t>
    <phoneticPr fontId="22" type="noConversion"/>
  </si>
  <si>
    <t>Tooth Harrows</t>
    <phoneticPr fontId="22" type="noConversion"/>
  </si>
  <si>
    <t>Source: Agreement on August 3, 1933.  Also, United States v. Associated Patents, UNITED STATES of America, Plaintiff, v. ASSOCIATED PATENTS, Inc., Brown &amp; Sharpe Manufacturing Company, The Carlton Machine Tool Company, DeVlieg Engineering Company, DeVlieg Machine Company, Charles B. DeVlieg, The Lodge &amp; Shipley Machine Tool Company, and The Mac Investment Company, Defendants, Civ. A. No. 10664, UNITED STATES DISTRICT COURT FOR THE EASTERN DISTRICT OF MICHIGAN, SOUTHERN DIVISION, 134 F. Supp. 74; 1955 U.S. Dist. LEXIS 2703; 106 U.S.P.Q. (BNA) 129; 1955 Trade Cas. (CCH) P68,092, June 20, 1955.</t>
    <phoneticPr fontId="22" type="noConversion"/>
  </si>
  <si>
    <t>High-Tension Cables</t>
    <phoneticPr fontId="22" type="noConversion"/>
  </si>
  <si>
    <t>1932Phar</t>
    <phoneticPr fontId="22" type="noConversion"/>
  </si>
  <si>
    <t>Furniture Slip Covers</t>
    <phoneticPr fontId="22" type="noConversion"/>
  </si>
  <si>
    <t>Case Title(s)</t>
    <phoneticPr fontId="22" type="noConversion"/>
  </si>
  <si>
    <t>Vaughan Ref.</t>
    <phoneticPr fontId="22" type="noConversion"/>
  </si>
  <si>
    <t>Type of Document(s)</t>
    <phoneticPr fontId="22" type="noConversion"/>
  </si>
  <si>
    <t>Year pool formed</t>
    <phoneticPr fontId="22" type="noConversion"/>
  </si>
  <si>
    <t>First Litigation</t>
    <phoneticPr fontId="22" type="noConversion"/>
  </si>
  <si>
    <t>1856Sewi</t>
    <phoneticPr fontId="22" type="noConversion"/>
  </si>
  <si>
    <t>1931Mill</t>
    <phoneticPr fontId="22" type="noConversion"/>
  </si>
  <si>
    <t>Milling Machines</t>
    <phoneticPr fontId="22" type="noConversion"/>
  </si>
  <si>
    <t>Rail Joint Bars</t>
    <phoneticPr fontId="22" type="noConversion"/>
  </si>
  <si>
    <t>Vaughan (pp. 123-24): "Sand Spun, the owner or exclusive licensee of nineteen patents concerning the centrifugal method of making pipes, granted licenses under these patents on conditions which sought to perpetuate its control of patents, production of pipe, and allocation of markets.  A consent judgement of 1949 dissolved Sand Spun, enjoined the restrictive agreements, and dedicated its nineteen patents to the public."</t>
    <phoneticPr fontId="22" type="noConversion"/>
  </si>
  <si>
    <t>Reed</t>
    <phoneticPr fontId="22" type="noConversion"/>
  </si>
  <si>
    <t>Jordahl</t>
    <phoneticPr fontId="22" type="noConversion"/>
  </si>
  <si>
    <t>NAR Chicago</t>
    <phoneticPr fontId="22" type="noConversion"/>
  </si>
  <si>
    <t>LA</t>
  </si>
  <si>
    <t>LA</t>
    <phoneticPr fontId="22" type="noConversion"/>
  </si>
  <si>
    <t>WO</t>
  </si>
  <si>
    <t>1956Glas</t>
  </si>
  <si>
    <t>Indiana Mfg. Co. v. J. I. Case Threshing Mach. Co., 54 F. 365 (1907).</t>
    <phoneticPr fontId="22" type="noConversion"/>
  </si>
  <si>
    <t>Duplan Corp. v. Deering Milliken, Inc., 444 F. Supp 648 (D.S.C. 1977); 1981-2 Trade Cas. (CCH) P64,214</t>
  </si>
  <si>
    <t>1964Synt</t>
  </si>
  <si>
    <t>Synthetic Filmanent Yarns</t>
  </si>
  <si>
    <t>South Carolina</t>
  </si>
  <si>
    <t>1968Carp</t>
  </si>
  <si>
    <t>Carpet Seaming</t>
  </si>
  <si>
    <t>Carpet Seaming Tape Licensing Corp. v. Best Seam Inc., 694 F.2d 570 (1982).</t>
  </si>
  <si>
    <t>Pfannkuch (GE)</t>
    <phoneticPr fontId="22" type="noConversion"/>
  </si>
  <si>
    <t>Segar (GE)</t>
    <phoneticPr fontId="22" type="noConversion"/>
  </si>
  <si>
    <t>1916Dave</t>
    <phoneticPr fontId="22" type="noConversion"/>
  </si>
  <si>
    <t>NAR (???)</t>
  </si>
  <si>
    <t>Variable Condensers</t>
    <phoneticPr fontId="22" type="noConversion"/>
  </si>
  <si>
    <t>http://books.google.com/books?id=r-8GAAAAYAAJ&amp;pg=RA3-PA751&amp;lpg=RA3-PA751&amp;dq=%22National+Harrow+Company%22&amp;source=bl&amp;ots=vCQKnNJHG-&amp;sig=fZQBC1Krh6d9PqdyGbnwRwqkoUc&amp;hl=en&amp;ei=4MktS-vFJoresgPM5_G-BA&amp;sa=X&amp;oi=book_result&amp;ct=result&amp;resnum=4&amp;ved=0CBkQ6AEwAw#v=onepage&amp;q=%22National%20Harrow%20Company%22&amp;f=false, also http://74.125.155.132/search?q=cache:D9fI_WInQO8J:www.keionline.org/misc-docs/ds-patentpools.pdf+%22patent+pools%22+hartford+empire&amp;cd=3&amp;hl=en&amp;ct=clnk&amp;gl=us&amp;client=firefox-a</t>
    <phoneticPr fontId="22" type="noConversion"/>
  </si>
  <si>
    <t>Pneumatic Straw Stackers</t>
    <phoneticPr fontId="22" type="noConversion"/>
  </si>
  <si>
    <t>NAR Chicago</t>
    <phoneticPr fontId="22" type="noConversion"/>
  </si>
  <si>
    <t>WO, LA</t>
    <phoneticPr fontId="22" type="noConversion"/>
  </si>
  <si>
    <t>Russell</t>
    <phoneticPr fontId="22" type="noConversion"/>
  </si>
  <si>
    <t>Clark</t>
    <phoneticPr fontId="22" type="noConversion"/>
  </si>
  <si>
    <t>Stuart</t>
    <phoneticPr fontId="22" type="noConversion"/>
  </si>
  <si>
    <t>Glass Fibers</t>
    <phoneticPr fontId="22" type="noConversion"/>
  </si>
  <si>
    <t>Sewing Machines</t>
    <phoneticPr fontId="22" type="noConversion"/>
  </si>
  <si>
    <t>Laser Eye Surgery</t>
    <phoneticPr fontId="22" type="noConversion"/>
  </si>
  <si>
    <t>1938Drop</t>
    <phoneticPr fontId="22" type="noConversion"/>
  </si>
  <si>
    <t>Dropout Cutouts</t>
    <phoneticPr fontId="22" type="noConversion"/>
  </si>
  <si>
    <t>United States v. Scophony Corp., CCH 1948-49 Trade Cases 62,238, 62,356, and 62,463 (S.D.N.Y. Civil No. 34-184; Complaint, 1945; Consent Decree, 1948 and 1949).</t>
    <phoneticPr fontId="22" type="noConversion"/>
  </si>
  <si>
    <t>United States v. United States Pipe and Foundry Co., CCH 1948-49 Trade Cases 62,285 (D.N.J. Civil No. 10772; Complaint, 1947; Consent Decree, 1948).</t>
  </si>
  <si>
    <t>United States v. Vehicular Parking, 54 F. Supp. 828, 831 (D. Delaware 1944); CCH 1944-45 Trade Cases 57,226.</t>
    <phoneticPr fontId="22" type="noConversion"/>
  </si>
  <si>
    <t>Arnold</t>
    <phoneticPr fontId="22" type="noConversion"/>
  </si>
  <si>
    <t>Hering</t>
    <phoneticPr fontId="22" type="noConversion"/>
  </si>
  <si>
    <t>Langenohl</t>
    <phoneticPr fontId="22" type="noConversion"/>
  </si>
  <si>
    <t>Projahn</t>
    <phoneticPr fontId="22" type="noConversion"/>
  </si>
  <si>
    <t>Ireton</t>
    <phoneticPr fontId="22" type="noConversion"/>
  </si>
  <si>
    <t>Bridewell</t>
    <phoneticPr fontId="22" type="noConversion"/>
  </si>
  <si>
    <t>Szwed</t>
    <phoneticPr fontId="22" type="noConversion"/>
  </si>
  <si>
    <t>Harrison</t>
    <phoneticPr fontId="22" type="noConversion"/>
  </si>
  <si>
    <t>Runback</t>
    <phoneticPr fontId="22" type="noConversion"/>
  </si>
  <si>
    <t>Hegan</t>
    <phoneticPr fontId="22" type="noConversion"/>
  </si>
  <si>
    <t>Hegan</t>
    <phoneticPr fontId="22" type="noConversion"/>
  </si>
  <si>
    <t>Mark</t>
    <phoneticPr fontId="22" type="noConversion"/>
  </si>
  <si>
    <t>Wittemeier</t>
    <phoneticPr fontId="22" type="noConversion"/>
  </si>
  <si>
    <t>Wittemeier</t>
    <phoneticPr fontId="22" type="noConversion"/>
  </si>
  <si>
    <t>Preble</t>
    <phoneticPr fontId="22" type="noConversion"/>
  </si>
  <si>
    <t>Braking Systems</t>
    <phoneticPr fontId="22" type="noConversion"/>
  </si>
  <si>
    <t>Was forced to grant licenses.</t>
    <phoneticPr fontId="22" type="noConversion"/>
  </si>
  <si>
    <t>Ophthalmic Frames</t>
    <phoneticPr fontId="22" type="noConversion"/>
  </si>
  <si>
    <t>Simmons (General Cable)</t>
    <phoneticPr fontId="22" type="noConversion"/>
  </si>
  <si>
    <t>Haanen</t>
    <phoneticPr fontId="22" type="noConversion"/>
  </si>
  <si>
    <t>Miller</t>
    <phoneticPr fontId="22" type="noConversion"/>
  </si>
  <si>
    <t>McKnight</t>
    <phoneticPr fontId="22" type="noConversion"/>
  </si>
  <si>
    <t>Potter</t>
    <phoneticPr fontId="22" type="noConversion"/>
  </si>
  <si>
    <t>Reed</t>
    <phoneticPr fontId="22" type="noConversion"/>
  </si>
  <si>
    <t>Klug</t>
    <phoneticPr fontId="22" type="noConversion"/>
  </si>
  <si>
    <t>Jordahl</t>
    <phoneticPr fontId="22" type="noConversion"/>
  </si>
  <si>
    <t>Atkinson</t>
    <phoneticPr fontId="22" type="noConversion"/>
  </si>
  <si>
    <t>Gay</t>
    <phoneticPr fontId="22" type="noConversion"/>
  </si>
  <si>
    <t>Beaver</t>
    <phoneticPr fontId="22" type="noConversion"/>
  </si>
  <si>
    <t>Simmons (General Cable)</t>
    <phoneticPr fontId="22" type="noConversion"/>
  </si>
  <si>
    <t>Atkinson (General Cable)</t>
    <phoneticPr fontId="22" type="noConversion"/>
  </si>
  <si>
    <t>Gay (General Cable)</t>
    <phoneticPr fontId="22" type="noConversion"/>
  </si>
  <si>
    <t>Others patents as to which General Cable Corporation has rights:</t>
    <phoneticPr fontId="22" type="noConversion"/>
  </si>
  <si>
    <t>Kobe, Inc. v. Dempsey Pump Co., 198 F.2d 416 (10th Cir. 1952); United States v. Kobe (N.D. Okla. Civil No. 2865; Complaint, 1951); also Civ. No. 2350.</t>
    <phoneticPr fontId="22" type="noConversion"/>
  </si>
  <si>
    <t>1942Tele</t>
    <phoneticPr fontId="22" type="noConversion"/>
  </si>
  <si>
    <t>Television</t>
    <phoneticPr fontId="22" type="noConversion"/>
  </si>
  <si>
    <t>Hanson (Habirshaw)</t>
    <phoneticPr fontId="22" type="noConversion"/>
  </si>
  <si>
    <t>Other patents as to which The Okonite-Callender Cable Company, Incorporated has rights:</t>
    <phoneticPr fontId="22" type="noConversion"/>
  </si>
  <si>
    <t>Other Patents as to which Phelps Dodge Copper Products Corporations Has Rights:</t>
    <phoneticPr fontId="22" type="noConversion"/>
  </si>
  <si>
    <t>Bennett (Okonite-Callender)</t>
    <phoneticPr fontId="22" type="noConversion"/>
  </si>
  <si>
    <t>Wyatt (Phelps Dodge)</t>
    <phoneticPr fontId="22" type="noConversion"/>
  </si>
  <si>
    <t>Gambitta (Phelps Dodge)</t>
    <phoneticPr fontId="22" type="noConversion"/>
  </si>
  <si>
    <t>Other patents as to which General Electric Company has rights:</t>
    <phoneticPr fontId="22" type="noConversion"/>
  </si>
  <si>
    <t>Davenport Beds</t>
    <phoneticPr fontId="22" type="noConversion"/>
  </si>
  <si>
    <t>Electric Generators</t>
    <phoneticPr fontId="22" type="noConversion"/>
  </si>
  <si>
    <t>Sonnenfeld</t>
    <phoneticPr fontId="22" type="noConversion"/>
  </si>
  <si>
    <t>Davey</t>
    <phoneticPr fontId="22" type="noConversion"/>
  </si>
  <si>
    <t>Faucett (General Cable)</t>
    <phoneticPr fontId="22" type="noConversion"/>
  </si>
  <si>
    <t>Fisher (General Cable)</t>
    <phoneticPr fontId="22" type="noConversion"/>
  </si>
  <si>
    <t>Sonnenfeld (General Cable)</t>
    <phoneticPr fontId="22" type="noConversion"/>
  </si>
  <si>
    <t>Cox (General Cable)</t>
    <phoneticPr fontId="22" type="noConversion"/>
  </si>
  <si>
    <t>Bronovicki (General Cable)</t>
    <phoneticPr fontId="22" type="noConversion"/>
  </si>
  <si>
    <t>Eby (GE)</t>
    <phoneticPr fontId="22" type="noConversion"/>
  </si>
  <si>
    <t>Karapetoff (GE)</t>
    <phoneticPr fontId="22" type="noConversion"/>
  </si>
  <si>
    <t>FTC Docket No. 9286 (http://www.ftc.gov/os/1998/03/summit.cmp.htm)</t>
    <phoneticPr fontId="22" type="noConversion"/>
  </si>
  <si>
    <t>19XXRubb</t>
    <phoneticPr fontId="22" type="noConversion"/>
  </si>
  <si>
    <t>Rubber</t>
    <phoneticPr fontId="22" type="noConversion"/>
  </si>
  <si>
    <t>Grinding Hobs</t>
    <phoneticPr fontId="22" type="noConversion"/>
  </si>
  <si>
    <t>Air-conditioning Equipment</t>
    <phoneticPr fontId="22" type="noConversion"/>
  </si>
  <si>
    <t>1930Wate</t>
    <phoneticPr fontId="22" type="noConversion"/>
  </si>
  <si>
    <t>"The Government has failed to prove conspiracy, monopolization, a restraint of trade, or any reasonable probability of a restraint, and for those reasons the Amended Complaint should be dismissed."</t>
    <phoneticPr fontId="22" type="noConversion"/>
  </si>
  <si>
    <t>19XXFree</t>
    <phoneticPr fontId="22" type="noConversion"/>
  </si>
  <si>
    <t>Freeze-dried Drugs</t>
    <phoneticPr fontId="22" type="noConversion"/>
  </si>
  <si>
    <t>NAR (???)</t>
    <phoneticPr fontId="22" type="noConversion"/>
  </si>
  <si>
    <t>Cutter Laboratories, Inc. v. LyophileCryochem Corporation, 179 F.2d 80; 1949</t>
    <phoneticPr fontId="22" type="noConversion"/>
  </si>
  <si>
    <t>Hosiery Machinery</t>
    <phoneticPr fontId="22" type="noConversion"/>
  </si>
  <si>
    <t>NAR New York</t>
    <phoneticPr fontId="22" type="noConversion"/>
  </si>
  <si>
    <t>Prismatic Glassware</t>
  </si>
  <si>
    <t>United States v. Holophane Co., 119 F. Supp. 114 (S.D. Ohio 1954).  Civil Action No. 2659.</t>
  </si>
  <si>
    <t>19XX</t>
    <phoneticPr fontId="22" type="noConversion"/>
  </si>
  <si>
    <t>1937Stam</t>
  </si>
  <si>
    <t>WO</t>
    <phoneticPr fontId="22" type="noConversion"/>
  </si>
  <si>
    <t>Langenberg</t>
    <phoneticPr fontId="22" type="noConversion"/>
  </si>
  <si>
    <t>Clark</t>
    <phoneticPr fontId="22" type="noConversion"/>
  </si>
  <si>
    <t>McConnell</t>
    <phoneticPr fontId="22" type="noConversion"/>
  </si>
  <si>
    <t>Lederer</t>
    <phoneticPr fontId="22" type="noConversion"/>
  </si>
  <si>
    <t>Klaff</t>
    <phoneticPr fontId="22" type="noConversion"/>
  </si>
  <si>
    <t>Adams</t>
    <phoneticPr fontId="22" type="noConversion"/>
  </si>
  <si>
    <t>Gagen</t>
    <phoneticPr fontId="22" type="noConversion"/>
  </si>
  <si>
    <t>Richards</t>
    <phoneticPr fontId="22" type="noConversion"/>
  </si>
  <si>
    <t>Williams</t>
    <phoneticPr fontId="22" type="noConversion"/>
  </si>
  <si>
    <t>Gagek</t>
    <phoneticPr fontId="22" type="noConversion"/>
  </si>
  <si>
    <t>Sylvan</t>
    <phoneticPr fontId="22" type="noConversion"/>
  </si>
  <si>
    <t>Hammond</t>
    <phoneticPr fontId="22" type="noConversion"/>
  </si>
  <si>
    <t>Dahlman</t>
    <phoneticPr fontId="22" type="noConversion"/>
  </si>
  <si>
    <t>Nutting</t>
    <phoneticPr fontId="22" type="noConversion"/>
  </si>
  <si>
    <t>Davies</t>
    <phoneticPr fontId="22" type="noConversion"/>
  </si>
  <si>
    <t>Patent</t>
    <phoneticPr fontId="22" type="noConversion"/>
  </si>
  <si>
    <t>Application Date</t>
    <phoneticPr fontId="22" type="noConversion"/>
  </si>
  <si>
    <t>Morgan</t>
    <phoneticPr fontId="22" type="noConversion"/>
  </si>
  <si>
    <t>Moore, Morgan</t>
    <phoneticPr fontId="22" type="noConversion"/>
  </si>
  <si>
    <t>Zink (Phelps Dodge)</t>
    <phoneticPr fontId="22" type="noConversion"/>
  </si>
  <si>
    <t>Bement v. National Harrow Co., 186 U.S. 70, 85 (1902); National Harrow Co. v. E. Bement and Sons, 47 N.Y.S. 462 (1897).</t>
    <phoneticPr fontId="22" type="noConversion"/>
  </si>
  <si>
    <t>41-43</t>
    <phoneticPr fontId="22" type="noConversion"/>
  </si>
  <si>
    <t>United States v. American Bosch Corp., CCH 1948-49 Trade Cases 62,284 (S.D.N.Y. Civil No. 20-164; Complaint and Consent Decree, Dec. 29, 1942).</t>
    <phoneticPr fontId="22" type="noConversion"/>
  </si>
  <si>
    <t>Cast Iron Pipes</t>
  </si>
  <si>
    <t>Langenberg</t>
    <phoneticPr fontId="22" type="noConversion"/>
  </si>
  <si>
    <t>Stokes</t>
    <phoneticPr fontId="22" type="noConversion"/>
  </si>
  <si>
    <t>Reichel Reissue Patent No. Re. 20,969 and Flosdorf et al, Patent No. 2,345,548; "There was no evidence of restrictive practices by appellees in the granting of licenses."  Other patents: Elser Patent No. 1,970,956, original Reichel patent No. 2,066,302.  From Gilber (2004).</t>
    <phoneticPr fontId="22" type="noConversion"/>
  </si>
  <si>
    <t>19XXPool</t>
    <phoneticPr fontId="22" type="noConversion"/>
  </si>
  <si>
    <t>Pools</t>
    <phoneticPr fontId="22" type="noConversion"/>
  </si>
  <si>
    <t>Barr, Moxley, Houghton</t>
    <phoneticPr fontId="22" type="noConversion"/>
  </si>
  <si>
    <t>Barr, Moxley</t>
    <phoneticPr fontId="22" type="noConversion"/>
  </si>
  <si>
    <t>Auditorium Conditioning Corp.</t>
    <phoneticPr fontId="22" type="noConversion"/>
  </si>
  <si>
    <t>Emanueli</t>
    <phoneticPr fontId="22" type="noConversion"/>
  </si>
  <si>
    <t>Holttum</t>
    <phoneticPr fontId="22" type="noConversion"/>
  </si>
  <si>
    <t>Hofner</t>
    <phoneticPr fontId="22" type="noConversion"/>
  </si>
  <si>
    <t>Secondary Subclass 2e</t>
    <phoneticPr fontId="22" type="noConversion"/>
  </si>
  <si>
    <t>Secondary Subclass 2f</t>
    <phoneticPr fontId="22" type="noConversion"/>
  </si>
  <si>
    <t>Secondary Subclass 3f</t>
    <phoneticPr fontId="22" type="noConversion"/>
  </si>
  <si>
    <t>Notes</t>
    <phoneticPr fontId="22" type="noConversion"/>
  </si>
  <si>
    <t>Aitchison (GE)</t>
    <phoneticPr fontId="22" type="noConversion"/>
  </si>
  <si>
    <t>Engster (GE)</t>
    <phoneticPr fontId="22" type="noConversion"/>
  </si>
  <si>
    <t>Calvert (GE)</t>
    <phoneticPr fontId="22" type="noConversion"/>
  </si>
  <si>
    <t>Kirch (GE)</t>
    <phoneticPr fontId="22" type="noConversion"/>
  </si>
  <si>
    <t>Clark (GE)</t>
    <phoneticPr fontId="22" type="noConversion"/>
  </si>
  <si>
    <t>Merrill (GE)</t>
    <phoneticPr fontId="22" type="noConversion"/>
  </si>
  <si>
    <t>Zapf</t>
    <phoneticPr fontId="22" type="noConversion"/>
  </si>
  <si>
    <t>Vaughan (pp. 123-24): "U.S. Pipe and Foundry, founded in 1899 as a consolidation of the old Addyston Pipe and Steel Company and other companies, became in 1931 the exclusive licensee in the United States for the centrifugal method of making cast-iron pipes.  Between 1922 and 1946, it entered into lease-license agreements with four other companies under which it leased machines for producing centrifugal pipe and granted licenses to use the patents covering them...A consent decree in 1948 required the discontinuance of these restrictions, the transfer of title to pipe-manufacturing machines, and the dedication of fifty patents to the public."</t>
    <phoneticPr fontId="22" type="noConversion"/>
  </si>
  <si>
    <t>Dahlman</t>
    <phoneticPr fontId="22" type="noConversion"/>
  </si>
  <si>
    <t>Sylvan</t>
    <phoneticPr fontId="22" type="noConversion"/>
  </si>
  <si>
    <t>Thompson</t>
    <phoneticPr fontId="22" type="noConversion"/>
  </si>
  <si>
    <t>United States v. E. I. du Pont de Nemours and Co., et al., 26 F. Supp. 235 (1954).</t>
    <phoneticPr fontId="22" type="noConversion"/>
  </si>
  <si>
    <t>Hines</t>
    <phoneticPr fontId="22" type="noConversion"/>
  </si>
  <si>
    <t>Strindberg</t>
    <phoneticPr fontId="22" type="noConversion"/>
  </si>
  <si>
    <t>123-24</t>
    <phoneticPr fontId="22" type="noConversion"/>
  </si>
  <si>
    <t>1925Vent</t>
    <phoneticPr fontId="22" type="noConversion"/>
  </si>
  <si>
    <t>Ventilating Air Filters</t>
    <phoneticPr fontId="22" type="noConversion"/>
  </si>
  <si>
    <t>Given to RA</t>
    <phoneticPr fontId="22" type="noConversion"/>
  </si>
  <si>
    <t>Hobart (GE)</t>
    <phoneticPr fontId="22" type="noConversion"/>
  </si>
  <si>
    <t>Hobart (GE)</t>
    <phoneticPr fontId="22" type="noConversion"/>
  </si>
  <si>
    <t>Crandall (GE)</t>
    <phoneticPr fontId="22" type="noConversion"/>
  </si>
  <si>
    <t>Cooper (GE)</t>
    <phoneticPr fontId="22" type="noConversion"/>
  </si>
  <si>
    <t>Zysk (GE)</t>
    <phoneticPr fontId="22" type="noConversion"/>
  </si>
  <si>
    <t>55-56</t>
    <phoneticPr fontId="22" type="noConversion"/>
  </si>
  <si>
    <t>Coated Abrasives</t>
  </si>
  <si>
    <t>NAR Boston</t>
  </si>
  <si>
    <t>Pettee (General Cable)</t>
    <phoneticPr fontId="22" type="noConversion"/>
  </si>
  <si>
    <t>White (Okonite-Callender)</t>
    <phoneticPr fontId="22" type="noConversion"/>
  </si>
  <si>
    <t>Bennet</t>
    <phoneticPr fontId="22" type="noConversion"/>
  </si>
  <si>
    <t>Bennett (Okonite-Callender)</t>
    <phoneticPr fontId="22" type="noConversion"/>
  </si>
  <si>
    <t>Bennett (Okonite-Callender)</t>
    <phoneticPr fontId="22" type="noConversion"/>
  </si>
  <si>
    <t>Del Mar (Habirshaw)</t>
    <phoneticPr fontId="22" type="noConversion"/>
  </si>
  <si>
    <t>Del Mar (Habirshaw)</t>
    <phoneticPr fontId="22" type="noConversion"/>
  </si>
  <si>
    <t>SN 560776</t>
    <phoneticPr fontId="22" type="noConversion"/>
  </si>
  <si>
    <t>Atkinson (General Cable)</t>
    <phoneticPr fontId="22" type="noConversion"/>
  </si>
  <si>
    <t>Buck</t>
    <phoneticPr fontId="22" type="noConversion"/>
  </si>
  <si>
    <t>1933Mach</t>
    <phoneticPr fontId="22" type="noConversion"/>
  </si>
  <si>
    <t>Machine Tools</t>
    <phoneticPr fontId="22" type="noConversion"/>
  </si>
  <si>
    <t>Patents listed in United States v. Sand Spun Patents Corp., 1948-1949 Trade Cases  62,462 (D.N.J. Civil No. 125-49; Complaint, 1949; Consent Judgement, 1949):</t>
    <phoneticPr fontId="22" type="noConversion"/>
  </si>
  <si>
    <t>Barr</t>
    <phoneticPr fontId="22" type="noConversion"/>
  </si>
  <si>
    <t>Smith</t>
    <phoneticPr fontId="22" type="noConversion"/>
  </si>
  <si>
    <t>Collected Data?</t>
    <phoneticPr fontId="22" type="noConversion"/>
  </si>
  <si>
    <t>Y</t>
  </si>
  <si>
    <t>Boyle</t>
    <phoneticPr fontId="22" type="noConversion"/>
  </si>
  <si>
    <t>Saurman</t>
    <phoneticPr fontId="22" type="noConversion"/>
  </si>
  <si>
    <t>Vaughan (pp. 192): "Symington-Gould Corporation and Universal Railway Devices Company, owners of patents on railway springs and plates, granted exclusive licenses to American Locomotive.  This licensee in turn granted sublicenses to Baldwin Locomotive, Crucible Steel, and five other manufacturers of such products.  Symington-Gould acted as the agent for getting orders for these springs and plates from railways and others...Consents judgments in 1947 enjoined these restrictive practices, ordered Symington-Gould to assign claims under eleven patents to the public, and ordered Universal Railway Devices to license its patents and spring plates, until 1947, at reasonable royalties."</t>
    <phoneticPr fontId="22" type="noConversion"/>
  </si>
  <si>
    <t>Myers</t>
    <phoneticPr fontId="22" type="noConversion"/>
  </si>
  <si>
    <t>Montgomery</t>
    <phoneticPr fontId="22" type="noConversion"/>
  </si>
  <si>
    <t>Fedeler</t>
    <phoneticPr fontId="22" type="noConversion"/>
  </si>
  <si>
    <t>Frohlich</t>
    <phoneticPr fontId="22" type="noConversion"/>
  </si>
  <si>
    <t>Haring</t>
    <phoneticPr fontId="22" type="noConversion"/>
  </si>
  <si>
    <t>Mathis</t>
    <phoneticPr fontId="22" type="noConversion"/>
  </si>
  <si>
    <t>Carlstedt</t>
    <phoneticPr fontId="22" type="noConversion"/>
  </si>
  <si>
    <t>Patents listed in United States v. General Cable Corp., CCH 1948-49 Trade Cases 62,300 (S.D.N.Y. Civil No. 40-76; Complaint, 1947; Consent Judgement, 1948):</t>
    <phoneticPr fontId="22" type="noConversion"/>
  </si>
  <si>
    <t>Buller (GE)</t>
    <phoneticPr fontId="22" type="noConversion"/>
  </si>
  <si>
    <t>Wetherill (GE)</t>
    <phoneticPr fontId="22" type="noConversion"/>
  </si>
  <si>
    <t>Branthwaite (Okonite-Callender)</t>
    <phoneticPr fontId="22" type="noConversion"/>
  </si>
  <si>
    <t>Bennet (Okonite-Callender)</t>
    <phoneticPr fontId="22" type="noConversion"/>
  </si>
  <si>
    <t>Bennet (Okonite-Callender)</t>
    <phoneticPr fontId="22" type="noConversion"/>
  </si>
  <si>
    <t>Vaughan (pp. 58-59): "According to a government complaint of 1947, these four companies, beginning in 1930, pooled their present and prospective patents and technology by means of cross-licenses…A consent judgment of 1948 cancelled restrictive agreements and ordered the compulsory licensing of 314 patents in the pool and also any future patents applied for or obtained within five years, at reasonable royalties."</t>
    <phoneticPr fontId="22" type="noConversion"/>
  </si>
  <si>
    <t>United States v. American Air Filter Co., CCH 1946-47 Trade Cases 57,492 (W.D. Ky. Civil No. 574; Complaint, 1943; Consent Judgment, 1946).</t>
    <phoneticPr fontId="22" type="noConversion"/>
  </si>
  <si>
    <t>92-93</t>
    <phoneticPr fontId="22" type="noConversion"/>
  </si>
  <si>
    <t>N</t>
    <phoneticPr fontId="22" type="noConversion"/>
  </si>
  <si>
    <t>Nageli</t>
    <phoneticPr fontId="22" type="noConversion"/>
  </si>
  <si>
    <t>Shanklin (GE)</t>
    <phoneticPr fontId="22" type="noConversion"/>
  </si>
  <si>
    <t>Phillips (GE)</t>
    <phoneticPr fontId="22" type="noConversion"/>
  </si>
  <si>
    <t>Zeiss (GE)</t>
    <phoneticPr fontId="22" type="noConversion"/>
  </si>
  <si>
    <t>Roper</t>
    <phoneticPr fontId="22" type="noConversion"/>
  </si>
  <si>
    <t>Hayman (GE)</t>
    <phoneticPr fontId="22" type="noConversion"/>
  </si>
  <si>
    <t>Piercy (GE)</t>
    <phoneticPr fontId="22" type="noConversion"/>
  </si>
  <si>
    <t>1932Text</t>
    <phoneticPr fontId="22" type="noConversion"/>
  </si>
  <si>
    <t>Y</t>
    <phoneticPr fontId="22" type="noConversion"/>
  </si>
  <si>
    <t>CO, WO</t>
    <phoneticPr fontId="22" type="noConversion"/>
  </si>
  <si>
    <t>Pending Applications</t>
    <phoneticPr fontId="22" type="noConversion"/>
  </si>
  <si>
    <t>Notes</t>
    <phoneticPr fontId="22" type="noConversion"/>
  </si>
  <si>
    <t>Nutting</t>
    <phoneticPr fontId="22" type="noConversion"/>
  </si>
  <si>
    <t>CO, FJ, LA</t>
    <phoneticPr fontId="22" type="noConversion"/>
  </si>
  <si>
    <t>LA, WO</t>
    <phoneticPr fontId="22" type="noConversion"/>
  </si>
  <si>
    <t>LA, WO</t>
    <phoneticPr fontId="22" type="noConversion"/>
  </si>
  <si>
    <t>ME</t>
    <phoneticPr fontId="22" type="noConversion"/>
  </si>
  <si>
    <t>Scophony</t>
    <phoneticPr fontId="22" type="noConversion"/>
  </si>
  <si>
    <t>SN 541155</t>
    <phoneticPr fontId="22" type="noConversion"/>
  </si>
  <si>
    <t>Schrottke</t>
    <phoneticPr fontId="22" type="noConversion"/>
  </si>
  <si>
    <t>Capdeville</t>
    <phoneticPr fontId="22" type="noConversion"/>
  </si>
  <si>
    <t>Foreign Firms</t>
    <phoneticPr fontId="22" type="noConversion"/>
  </si>
  <si>
    <t>United States v. The Liquid Carbonic Corp., CCH Trade Cases 67,248 (E.D.N.Y. Civil No. 9179; Complaint, 1948; Final Judgment, 1952).</t>
    <phoneticPr fontId="22" type="noConversion"/>
  </si>
  <si>
    <t>Vaughan (pp. 56): "The Auditorium Conditioning Corporation was organized as a patent-holding company by two leading manufacturers of such equipment.  Other companies became licensees upon payment of fees and royalties, and one of them also assigned an air-conditioning patent.  In addition, Auditorium purchased numerous patents from others until it had at least 40 by 1943.  A consent decree in 1945 dissolved the patent-holding company, prohibited price fixing and price discrimination, forbade suits for patent infringement or enforcement of license agreements, and dedicated the patents involved to the public."</t>
    <phoneticPr fontId="22" type="noConversion"/>
  </si>
  <si>
    <t>RE 20069</t>
    <phoneticPr fontId="22" type="noConversion"/>
  </si>
  <si>
    <t>Beede (Okonite-Callender)</t>
    <phoneticPr fontId="22" type="noConversion"/>
  </si>
  <si>
    <t>Brigg (Okonite-Callender)</t>
    <phoneticPr fontId="22" type="noConversion"/>
  </si>
  <si>
    <t>Fritsche (GE)</t>
    <phoneticPr fontId="22" type="noConversion"/>
  </si>
  <si>
    <t>Davis &amp; Son</t>
    <phoneticPr fontId="22" type="noConversion"/>
  </si>
  <si>
    <t>Getaz</t>
    <phoneticPr fontId="22" type="noConversion"/>
  </si>
  <si>
    <t>Getaz</t>
    <phoneticPr fontId="22" type="noConversion"/>
  </si>
  <si>
    <t>Interwoven Stocking Company</t>
    <phoneticPr fontId="22" type="noConversion"/>
  </si>
  <si>
    <t>United States v. Minnesota Mining and Mfg. Co., 92 F. Supp. 947, 964 (D. Mass. 1950).</t>
  </si>
  <si>
    <t>Koch</t>
    <phoneticPr fontId="22" type="noConversion"/>
  </si>
  <si>
    <t>Kurtz</t>
    <phoneticPr fontId="22" type="noConversion"/>
  </si>
  <si>
    <t>SN 580325</t>
    <phoneticPr fontId="22" type="noConversion"/>
  </si>
  <si>
    <t>SN 591498</t>
    <phoneticPr fontId="22" type="noConversion"/>
  </si>
  <si>
    <t>DP</t>
    <phoneticPr fontId="22" type="noConversion"/>
  </si>
  <si>
    <t>1934Dry</t>
    <phoneticPr fontId="22" type="noConversion"/>
  </si>
  <si>
    <t>Liquid Carbonic Corp.</t>
    <phoneticPr fontId="22" type="noConversion"/>
  </si>
  <si>
    <t>1926Food</t>
  </si>
  <si>
    <t>Staples (Habirshaw)</t>
    <phoneticPr fontId="22" type="noConversion"/>
  </si>
  <si>
    <t>Mitchell (Phelps Dodge)</t>
    <phoneticPr fontId="22" type="noConversion"/>
  </si>
  <si>
    <t>Del Mar (Phelps Dodge)</t>
    <phoneticPr fontId="22" type="noConversion"/>
  </si>
  <si>
    <t>Clark (Phelps Dodge)</t>
    <phoneticPr fontId="22" type="noConversion"/>
  </si>
  <si>
    <t>Gambitta (Phelps Dodge)</t>
    <phoneticPr fontId="22" type="noConversion"/>
  </si>
  <si>
    <t>Merrell (Phelps Dodge)</t>
    <phoneticPr fontId="22" type="noConversion"/>
  </si>
  <si>
    <t>Zickrick (GE)</t>
    <phoneticPr fontId="22" type="noConversion"/>
  </si>
  <si>
    <t>Tinsley</t>
    <phoneticPr fontId="22" type="noConversion"/>
  </si>
  <si>
    <t>SN729219</t>
    <phoneticPr fontId="22" type="noConversion"/>
  </si>
  <si>
    <t>SN22375</t>
    <phoneticPr fontId="22" type="noConversion"/>
  </si>
  <si>
    <t>Vaughan (pp. 60): "A consent judgment of 1948 involved thirteen manufacturers of eyeglass frames, six optical wholesalers and their trade association, and two patent holding companies.  The judgment cancelled patent licenses and other agreements through which prices had been controlled, required that pertinent patents and trademarks be made available to other manufacturers on reasonable terms, restricted the expansion of certain manufacturers, and prohibited the boycotting of wholesalers."</t>
    <phoneticPr fontId="22" type="noConversion"/>
  </si>
  <si>
    <t>1938Opht</t>
    <phoneticPr fontId="22" type="noConversion"/>
  </si>
  <si>
    <t>Emons</t>
    <phoneticPr fontId="22" type="noConversion"/>
  </si>
  <si>
    <t>Smith</t>
    <phoneticPr fontId="22" type="noConversion"/>
  </si>
  <si>
    <t>Ful-Vue Sales</t>
    <phoneticPr fontId="22" type="noConversion"/>
  </si>
  <si>
    <t>Ful-Vue Sales</t>
    <phoneticPr fontId="22" type="noConversion"/>
  </si>
  <si>
    <t>Brown</t>
    <phoneticPr fontId="22" type="noConversion"/>
  </si>
  <si>
    <t>Walker</t>
    <phoneticPr fontId="22" type="noConversion"/>
  </si>
  <si>
    <t>Hughes</t>
    <phoneticPr fontId="22" type="noConversion"/>
  </si>
  <si>
    <t>Branthwaite (Okonite-Callender)</t>
    <phoneticPr fontId="22" type="noConversion"/>
  </si>
  <si>
    <t>Branthwaite (Okonite-Callender)</t>
    <phoneticPr fontId="22" type="noConversion"/>
  </si>
  <si>
    <t>Stevens (Okonite-Callender)</t>
    <phoneticPr fontId="22" type="noConversion"/>
  </si>
  <si>
    <t>Can't find details</t>
    <phoneticPr fontId="22" type="noConversion"/>
  </si>
  <si>
    <t>Can't find details</t>
    <phoneticPr fontId="22" type="noConversion"/>
  </si>
  <si>
    <t>1925Pris</t>
  </si>
  <si>
    <t>Compulsory Licensing</t>
    <phoneticPr fontId="22" type="noConversion"/>
  </si>
  <si>
    <t>Scophony</t>
    <phoneticPr fontId="22" type="noConversion"/>
  </si>
  <si>
    <t>Scophony</t>
    <phoneticPr fontId="22" type="noConversion"/>
  </si>
  <si>
    <t>Okolicsanyi</t>
    <phoneticPr fontId="22" type="noConversion"/>
  </si>
  <si>
    <t>Rosenthal</t>
    <phoneticPr fontId="22" type="noConversion"/>
  </si>
  <si>
    <t>Okolicsanyi</t>
    <phoneticPr fontId="22" type="noConversion"/>
  </si>
  <si>
    <t>Wikkenhauser</t>
    <phoneticPr fontId="22" type="noConversion"/>
  </si>
  <si>
    <t>Barasch</t>
    <phoneticPr fontId="22" type="noConversion"/>
  </si>
  <si>
    <t>Skiatron</t>
    <phoneticPr fontId="22" type="noConversion"/>
  </si>
  <si>
    <t>Davis Company</t>
    <phoneticPr fontId="22" type="noConversion"/>
  </si>
  <si>
    <t>Alexanderson (GE)</t>
    <phoneticPr fontId="22" type="noConversion"/>
  </si>
  <si>
    <t>Gasser</t>
    <phoneticPr fontId="22" type="noConversion"/>
  </si>
  <si>
    <t>Gibson</t>
    <phoneticPr fontId="22" type="noConversion"/>
  </si>
  <si>
    <t>Puritz</t>
    <phoneticPr fontId="22" type="noConversion"/>
  </si>
  <si>
    <t>Maas</t>
    <phoneticPr fontId="22" type="noConversion"/>
  </si>
  <si>
    <t>Vaughan (pp. 158): "Between 1935 and 1940, according to a complaint of 1942, Bendix Aviation, a manufacturer and distributor of aircraft instruments and parts, entered into agreements with foreign companies pertaining to markets, prices, patents, and know-how."</t>
    <phoneticPr fontId="22" type="noConversion"/>
  </si>
  <si>
    <t>Schlecker</t>
    <phoneticPr fontId="22" type="noConversion"/>
  </si>
  <si>
    <t>Emanueli</t>
    <phoneticPr fontId="22" type="noConversion"/>
  </si>
  <si>
    <t>Held</t>
    <phoneticPr fontId="22" type="noConversion"/>
  </si>
  <si>
    <t>Kunst</t>
    <phoneticPr fontId="22" type="noConversion"/>
  </si>
  <si>
    <t>Uhlemann Optical Co.</t>
    <phoneticPr fontId="22" type="noConversion"/>
  </si>
  <si>
    <t>United States v. Hartford-Empire Co., 46 F. Supp. 541 (N.D. Ohio, 1942); Hartford-Empire Co. v. United States, 333 U.S. 386, 400 (Jan., 1945).</t>
  </si>
  <si>
    <t>WO, ME</t>
  </si>
  <si>
    <t>No list available; would need to search Google patents</t>
    <phoneticPr fontId="22" type="noConversion"/>
  </si>
  <si>
    <t>Documents from District of Columbia</t>
    <phoneticPr fontId="22" type="noConversion"/>
  </si>
  <si>
    <t>600+ patents RR</t>
    <phoneticPr fontId="22" type="noConversion"/>
  </si>
  <si>
    <t>RE 20944</t>
    <phoneticPr fontId="22" type="noConversion"/>
  </si>
  <si>
    <t>Auditorium Ventillating Corp.</t>
    <phoneticPr fontId="22" type="noConversion"/>
  </si>
  <si>
    <t>Cooling and Air Conditioning Corp.</t>
    <phoneticPr fontId="22" type="noConversion"/>
  </si>
  <si>
    <t>Carrier Engineering Corp.</t>
    <phoneticPr fontId="22" type="noConversion"/>
  </si>
  <si>
    <t>American Blower Corp.</t>
    <phoneticPr fontId="22" type="noConversion"/>
  </si>
  <si>
    <t>Audifren Refrigerating Machine Co.</t>
    <phoneticPr fontId="22" type="noConversion"/>
  </si>
  <si>
    <t>SN 551274</t>
    <phoneticPr fontId="22" type="noConversion"/>
  </si>
  <si>
    <t>Peach Pitting Machinery</t>
  </si>
  <si>
    <t>NAR San Francisco</t>
  </si>
  <si>
    <t>N</t>
  </si>
  <si>
    <t>1933Phil</t>
    <phoneticPr fontId="22" type="noConversion"/>
  </si>
  <si>
    <t>Phillips Screws</t>
    <phoneticPr fontId="22" type="noConversion"/>
  </si>
  <si>
    <t>Meyer (Okonite-Callender)</t>
    <phoneticPr fontId="22" type="noConversion"/>
  </si>
  <si>
    <t>Everest (Okonite-Callender)</t>
    <phoneticPr fontId="22" type="noConversion"/>
  </si>
  <si>
    <t>Soutter (Okonite-Callender)</t>
    <phoneticPr fontId="22" type="noConversion"/>
  </si>
  <si>
    <t>McParlin (Okonite-Callender)</t>
    <phoneticPr fontId="22" type="noConversion"/>
  </si>
  <si>
    <t>Reinitz (Okonite-Callender)</t>
    <phoneticPr fontId="22" type="noConversion"/>
  </si>
  <si>
    <t>Gooding (Okonite-Callender)</t>
    <phoneticPr fontId="22" type="noConversion"/>
  </si>
  <si>
    <t>Re 22628</t>
    <phoneticPr fontId="22" type="noConversion"/>
  </si>
  <si>
    <t>Y</t>
    <phoneticPr fontId="22" type="noConversion"/>
  </si>
  <si>
    <t>Document type abbreviations: LA=License Agreement; FJ/WO=Final Judgment; ME=Memorandum; CC=CCH Written Opinion, CO=Complaint</t>
    <phoneticPr fontId="22" type="noConversion"/>
  </si>
  <si>
    <t>Y</t>
    <phoneticPr fontId="22" type="noConversion"/>
  </si>
  <si>
    <t>N</t>
    <phoneticPr fontId="22" type="noConversion"/>
  </si>
  <si>
    <t>CO, FJ, LA</t>
    <phoneticPr fontId="22" type="noConversion"/>
  </si>
  <si>
    <t>CO, FJ</t>
    <phoneticPr fontId="22" type="noConversion"/>
  </si>
  <si>
    <t>CO, FJ</t>
    <phoneticPr fontId="22" type="noConversion"/>
  </si>
  <si>
    <t>Y</t>
    <phoneticPr fontId="22" type="noConversion"/>
  </si>
  <si>
    <t>N</t>
    <phoneticPr fontId="22" type="noConversion"/>
  </si>
  <si>
    <t>CO, FJ, LA</t>
    <phoneticPr fontId="22" type="noConversion"/>
  </si>
  <si>
    <t>RR, DP</t>
    <phoneticPr fontId="22" type="noConversion"/>
  </si>
  <si>
    <t>RR</t>
    <phoneticPr fontId="22" type="noConversion"/>
  </si>
  <si>
    <t>RR</t>
    <phoneticPr fontId="22" type="noConversion"/>
  </si>
  <si>
    <t>RR, DP</t>
    <phoneticPr fontId="22" type="noConversion"/>
  </si>
  <si>
    <t>RF, RR</t>
    <phoneticPr fontId="22" type="noConversion"/>
  </si>
  <si>
    <t>163-64</t>
    <phoneticPr fontId="22" type="noConversion"/>
  </si>
  <si>
    <t>DP</t>
    <phoneticPr fontId="22" type="noConversion"/>
  </si>
  <si>
    <t>RF, RR</t>
    <phoneticPr fontId="22" type="noConversion"/>
  </si>
  <si>
    <t>RR</t>
    <phoneticPr fontId="22" type="noConversion"/>
  </si>
  <si>
    <t>RR, DP</t>
    <phoneticPr fontId="22" type="noConversion"/>
  </si>
  <si>
    <t>Universal Optical Corporation</t>
    <phoneticPr fontId="22" type="noConversion"/>
  </si>
  <si>
    <t>Nerney</t>
    <phoneticPr fontId="22" type="noConversion"/>
  </si>
  <si>
    <t>Simmons (General Cable)</t>
    <phoneticPr fontId="22" type="noConversion"/>
  </si>
  <si>
    <t>Faucett (General Cable)</t>
    <phoneticPr fontId="22" type="noConversion"/>
  </si>
  <si>
    <t>Bolling</t>
    <phoneticPr fontId="22" type="noConversion"/>
  </si>
  <si>
    <t>Open licensing: No (complaint, p. 8)</t>
    <phoneticPr fontId="22" type="noConversion"/>
  </si>
  <si>
    <t>Compulsory licensing: Yes, RR</t>
    <phoneticPr fontId="22" type="noConversion"/>
  </si>
  <si>
    <t>Patent holding company: Yes (Pacific Machinery)</t>
    <phoneticPr fontId="22" type="noConversion"/>
  </si>
  <si>
    <t>Number of licensees: 0</t>
    <phoneticPr fontId="22" type="noConversion"/>
  </si>
  <si>
    <t>1926Food</t>
    <phoneticPr fontId="22" type="noConversion"/>
  </si>
  <si>
    <t>Pacific Machinery Company</t>
    <phoneticPr fontId="22" type="noConversion"/>
  </si>
  <si>
    <t>Pacific Machinery Company</t>
    <phoneticPr fontId="22" type="noConversion"/>
  </si>
  <si>
    <t>Pacific Machinery Company</t>
    <phoneticPr fontId="22" type="noConversion"/>
  </si>
  <si>
    <t>Completed (X=yes, blank=no)</t>
    <phoneticPr fontId="22" type="noConversion"/>
  </si>
  <si>
    <r>
      <t>Notes from judgment</t>
    </r>
    <r>
      <rPr>
        <sz val="10"/>
        <rFont val="Verdana"/>
      </rPr>
      <t>:</t>
    </r>
    <phoneticPr fontId="22" type="noConversion"/>
  </si>
  <si>
    <t>Vaughan (p. 163): "According to a government complaint of 1945, the leading manufacturers and distributors or water-conditioning products, including the Permuti Company of New York and coconspirators iof England, Germany, France, Belgium, and Spain, divided world markets, prevented all others from using their patent rights and technical information, and utilized the trande name Permutit to facilitate their shceme.  A consent judgment of 1951 provided for the sublicensing of patents, ten of them royalty-free and one hundred twenty-five on a reasonable royalty basis, and for exports from and imports into the United States regardless of foreign or domestic patents.  Permutit was also required to adopt a different trade-mark for foreign trade and to conduct its business in a way that would make possible the sale of its products abroad."</t>
    <phoneticPr fontId="22" type="noConversion"/>
  </si>
  <si>
    <t>Re 22734</t>
    <phoneticPr fontId="22" type="noConversion"/>
  </si>
  <si>
    <t>Walton</t>
    <phoneticPr fontId="22" type="noConversion"/>
  </si>
  <si>
    <t>Compulsory licensing: Yes, RAND and DP.</t>
    <phoneticPr fontId="22" type="noConversion"/>
  </si>
  <si>
    <r>
      <t>Notes from complain</t>
    </r>
    <r>
      <rPr>
        <sz val="10"/>
        <rFont val="Verdana"/>
      </rPr>
      <t>t:</t>
    </r>
    <phoneticPr fontId="22" type="noConversion"/>
  </si>
  <si>
    <t>Belgium and Spanish companies are wholly owned subsidiaries of the French company (p. 3).</t>
    <phoneticPr fontId="22" type="noConversion"/>
  </si>
  <si>
    <t>LA</t>
    <phoneticPr fontId="22" type="noConversion"/>
  </si>
  <si>
    <t>1929Gyps</t>
  </si>
  <si>
    <t>Gypsum Boards</t>
  </si>
  <si>
    <t>Columbia</t>
  </si>
  <si>
    <t>Libby, McNeil &amp; Libby</t>
    <phoneticPr fontId="22" type="noConversion"/>
  </si>
  <si>
    <t>RE 21946</t>
    <phoneticPr fontId="22" type="noConversion"/>
  </si>
  <si>
    <t>Patents listed in United States v. American Air Filter Co., CCH 1946-47 Trade Cases 57,492 (W.D. Ky. Civil No. 574; Complaint, 1943; Consent Judgment, 1946):</t>
    <phoneticPr fontId="22" type="noConversion"/>
  </si>
  <si>
    <t>RE 17998</t>
    <phoneticPr fontId="22" type="noConversion"/>
  </si>
  <si>
    <t>RE 18831</t>
    <phoneticPr fontId="22" type="noConversion"/>
  </si>
  <si>
    <t>Peach canners maintain processing and canning establishments, known as caneries.  The peaches processed and canned in the said canneries are sold, shopping, and transported to purchasers.  The use of peach pitters is essential to the successful operation of a peach cannery.  Peach pitters extract the pits or stones from fresh peaches prior to their being canned.</t>
    <phoneticPr fontId="22" type="noConversion"/>
  </si>
  <si>
    <r>
      <t>Pool members (had/added patents)</t>
    </r>
    <r>
      <rPr>
        <sz val="10"/>
        <rFont val="Verdana"/>
      </rPr>
      <t>:</t>
    </r>
    <phoneticPr fontId="22" type="noConversion"/>
  </si>
  <si>
    <t>Vaughan (p. 164): "General Electric and six coconspirators of Germany, France, England, Japan, Belgium, and Italy restrained foreign commerce in all types of electrical equipment expect electric lamp and radio apparatus.  They divided world markets and granted each other exclusive rights under all their present and future patents relating to such products.  A final consent judgment of 1953 forbad these arrangements and required GE to grant licenses at reasonable royalties under approximately six hundred United States patents which it had acquired under the cartel agreements and also under its own patents on electrical equipment which are necessary to practice the inventions covered by these foreign patents."</t>
    <phoneticPr fontId="22" type="noConversion"/>
  </si>
  <si>
    <t>Think all of the patents are dedicated to public</t>
    <phoneticPr fontId="22" type="noConversion"/>
  </si>
  <si>
    <t>DP</t>
    <phoneticPr fontId="22" type="noConversion"/>
  </si>
  <si>
    <t>RR</t>
    <phoneticPr fontId="22" type="noConversion"/>
  </si>
  <si>
    <t>RR</t>
    <phoneticPr fontId="22" type="noConversion"/>
  </si>
  <si>
    <t>RF, DP</t>
    <phoneticPr fontId="22" type="noConversion"/>
  </si>
  <si>
    <t>Need to obtain these documents again from chicago</t>
    <phoneticPr fontId="22" type="noConversion"/>
  </si>
  <si>
    <t>RR, RF</t>
    <phoneticPr fontId="22" type="noConversion"/>
  </si>
  <si>
    <t>United States v. Associated Patents, 134 F. Supp. 74 (E.D. Mich., 1955).</t>
    <phoneticPr fontId="22" type="noConversion"/>
  </si>
  <si>
    <t>Post-1950</t>
  </si>
  <si>
    <t>Post-1950</t>
    <phoneticPr fontId="22" type="noConversion"/>
  </si>
  <si>
    <t>Post-1950</t>
    <phoneticPr fontId="22" type="noConversion"/>
  </si>
  <si>
    <t>124-25</t>
    <phoneticPr fontId="22" type="noConversion"/>
  </si>
  <si>
    <t>Rottsieper (GE)</t>
    <phoneticPr fontId="22" type="noConversion"/>
  </si>
  <si>
    <t>Runaldue (GE)</t>
    <phoneticPr fontId="22" type="noConversion"/>
  </si>
  <si>
    <t>Buck (GE)</t>
    <phoneticPr fontId="22" type="noConversion"/>
  </si>
  <si>
    <t>Humphrey (GE)</t>
    <phoneticPr fontId="22" type="noConversion"/>
  </si>
  <si>
    <t>Marks (GE)</t>
    <phoneticPr fontId="22" type="noConversion"/>
  </si>
  <si>
    <t>Sheals (GE)</t>
    <phoneticPr fontId="22" type="noConversion"/>
  </si>
  <si>
    <t>Szekely</t>
    <phoneticPr fontId="22" type="noConversion"/>
  </si>
  <si>
    <t>American Optical Company</t>
    <phoneticPr fontId="22" type="noConversion"/>
  </si>
  <si>
    <t>Bausch &amp; Lomb Optical</t>
    <phoneticPr fontId="22" type="noConversion"/>
  </si>
  <si>
    <t>Bausch &amp; Lomb Optical</t>
    <phoneticPr fontId="22" type="noConversion"/>
  </si>
  <si>
    <t>Dauphinee</t>
    <phoneticPr fontId="22" type="noConversion"/>
  </si>
  <si>
    <t>Birkholz</t>
    <phoneticPr fontId="22" type="noConversion"/>
  </si>
  <si>
    <t>Birkholz</t>
    <phoneticPr fontId="22" type="noConversion"/>
  </si>
  <si>
    <t>Goodloe</t>
    <phoneticPr fontId="22" type="noConversion"/>
  </si>
  <si>
    <t>1919Equi</t>
    <phoneticPr fontId="22" type="noConversion"/>
  </si>
  <si>
    <t>FJ</t>
    <phoneticPr fontId="22" type="noConversion"/>
  </si>
  <si>
    <t>CO, FJ</t>
    <phoneticPr fontId="22" type="noConversion"/>
  </si>
  <si>
    <t>FJ, LA</t>
    <phoneticPr fontId="22" type="noConversion"/>
  </si>
  <si>
    <t>These patents were obtained from Google patent search for "Pacific Machinery Company" in assignees, and the word "pitter".  Included patents issued on or after 1940.  No patents with word "pitter" issued to Food Machinery and Chemical Company.</t>
    <phoneticPr fontId="22" type="noConversion"/>
  </si>
  <si>
    <t>Foreign firms: No</t>
    <phoneticPr fontId="22" type="noConversion"/>
  </si>
  <si>
    <t>Sand Spun Pipes</t>
    <phoneticPr fontId="22" type="noConversion"/>
  </si>
  <si>
    <t>Pharmaceuticals</t>
    <phoneticPr fontId="22" type="noConversion"/>
  </si>
  <si>
    <t>Air Reduction Company</t>
    <phoneticPr fontId="22" type="noConversion"/>
  </si>
  <si>
    <t>Wyandotte Chemicals Company</t>
    <phoneticPr fontId="22" type="noConversion"/>
  </si>
  <si>
    <t>Defendants Pacific and Food Machinery are each ordered and directed to grant to any applicant making written request…a nonexclusive license to manufacture, use and vend peach pitters under any, some or all United States patents owned or controlled by said defendant during the entire term of said United States patents...a reasonable nondiscriminatory royalty may be charged.</t>
  </si>
  <si>
    <t>Start year: 1926</t>
    <phoneticPr fontId="22" type="noConversion"/>
  </si>
  <si>
    <t>End year: 1954 (consent decree, final judgment)</t>
    <phoneticPr fontId="22" type="noConversion"/>
  </si>
  <si>
    <r>
      <t>Licensees (did not add patents)</t>
    </r>
    <r>
      <rPr>
        <sz val="10"/>
        <rFont val="Verdana"/>
      </rPr>
      <t>:</t>
    </r>
    <phoneticPr fontId="22" type="noConversion"/>
  </si>
  <si>
    <t>Spanish companies (complaint, p. 14: CFTH, with consent and approval of IGE, has granted exclusive rights and licenses to and under patents and information of IGE and CFTH to certain Spanish companies for the manufacture and sale of electrical equipment in Spain and Portugal)</t>
    <phoneticPr fontId="22" type="noConversion"/>
  </si>
  <si>
    <t>&gt;=1920</t>
    <phoneticPr fontId="22" type="noConversion"/>
  </si>
  <si>
    <t>Need to google search for Corning patents</t>
    <phoneticPr fontId="22" type="noConversion"/>
  </si>
  <si>
    <t>RF</t>
    <phoneticPr fontId="22" type="noConversion"/>
  </si>
  <si>
    <t>RR</t>
  </si>
  <si>
    <t>RR</t>
    <phoneticPr fontId="22" type="noConversion"/>
  </si>
  <si>
    <t>RF, RR</t>
    <phoneticPr fontId="22" type="noConversion"/>
  </si>
  <si>
    <t>DP</t>
    <phoneticPr fontId="22" type="noConversion"/>
  </si>
  <si>
    <t>DP, RR</t>
    <phoneticPr fontId="22" type="noConversion"/>
  </si>
  <si>
    <t>N</t>
    <phoneticPr fontId="22" type="noConversion"/>
  </si>
  <si>
    <t>Foreign firms: Yes.</t>
    <phoneticPr fontId="22" type="noConversion"/>
  </si>
  <si>
    <t>Grantbacks:</t>
    <phoneticPr fontId="22" type="noConversion"/>
  </si>
  <si>
    <t>Vaughan (p. 61): "Four companies pooled and purchased competing patents on peach-pitting machinery, issued restrictive licenses, acquired competitive machinery, and thus monopolized and restrained trade in the manufacture and use of such machinery."</t>
    <phoneticPr fontId="22" type="noConversion"/>
  </si>
  <si>
    <t>International Carbonic Engineering Company</t>
    <phoneticPr fontId="22" type="noConversion"/>
  </si>
  <si>
    <t>Auditorium Conditioning Corp.</t>
    <phoneticPr fontId="22" type="noConversion"/>
  </si>
  <si>
    <t>Carrier</t>
    <phoneticPr fontId="22" type="noConversion"/>
  </si>
  <si>
    <t>McDonald</t>
    <phoneticPr fontId="22" type="noConversion"/>
  </si>
  <si>
    <t>RE 20088</t>
    <phoneticPr fontId="22" type="noConversion"/>
  </si>
  <si>
    <t>Uhlemann</t>
    <phoneticPr fontId="22" type="noConversion"/>
  </si>
  <si>
    <t>Firms: California Packing Corporation, Anderson-Barngrover Manufacturing (acquired by Food Machinery and Chemical Corporation), Pacific Machinery (patent holding company), Mark Ewald, Federal Pitter Company, Benton Ballou Company, and Libby, McNeil &amp; Libby.</t>
    <phoneticPr fontId="22" type="noConversion"/>
  </si>
  <si>
    <t>California Packing Corporation</t>
    <phoneticPr fontId="22" type="noConversion"/>
  </si>
  <si>
    <t>Anderson-Barngrover Manufacturing</t>
    <phoneticPr fontId="22" type="noConversion"/>
  </si>
  <si>
    <r>
      <t>Pool members (contributed patents)</t>
    </r>
    <r>
      <rPr>
        <sz val="10"/>
        <rFont val="Verdana"/>
      </rPr>
      <t>:</t>
    </r>
    <phoneticPr fontId="22" type="noConversion"/>
  </si>
  <si>
    <t>Federal Pitter Company</t>
    <phoneticPr fontId="22" type="noConversion"/>
  </si>
  <si>
    <t>Three types of patents on peach pitting machinery (Duncan, Dunkley, and Thompson).  Thompson were owned by Anderson-Barngrover.  California Packing acquired the Dunkley patents in 1928 and the Duncan patents in 1928 (pages 5 and 9).</t>
    <phoneticPr fontId="22" type="noConversion"/>
  </si>
  <si>
    <t>Mark Ewald</t>
    <phoneticPr fontId="22" type="noConversion"/>
  </si>
  <si>
    <t>Usines Carels Freres (Belgian firm)</t>
    <phoneticPr fontId="22" type="noConversion"/>
  </si>
  <si>
    <t>Campagnia Generale di Elettricita</t>
    <phoneticPr fontId="22" type="noConversion"/>
  </si>
  <si>
    <t>Franco Tosi Societa Anonima (Italian firm, acquired by Campagnia Generale di Elettricita later in 1919)</t>
    <phoneticPr fontId="22" type="noConversion"/>
  </si>
  <si>
    <t>Cannot obtain list from Boston</t>
    <phoneticPr fontId="22" type="noConversion"/>
  </si>
  <si>
    <t>In Ohio?</t>
  </si>
  <si>
    <t>NAR Ohio?</t>
  </si>
  <si>
    <t>Not a patent pool; 18 companies licensed 4 patents from same company after 1937 (though illegal practices began in 1934 using patents licensed from another firm)</t>
  </si>
  <si>
    <t>Daylight Fluorescent Pigments</t>
  </si>
  <si>
    <t>Plate Glass</t>
  </si>
  <si>
    <t>Firms: General Electric Company, International General Electric Company Incorporated (created by GE in 1919 to conduct and manage the foreign business and affairs of GE), Allgemeine Elektricitaets Gesellschaft (Germany firm), Compagnie Francaise Pour l'Exploitations des Procedes Thomson-Houston (French firm), Associated Electrical Industries (UK firm), Tokyo Shibaura Denki Kabushiki Kaisha (Japanese firm), Societe d'Electricite et de Mecanique (Belgian firm), Campagnia Generale di Elettricita (Italian firm).</t>
    <phoneticPr fontId="22" type="noConversion"/>
  </si>
  <si>
    <t>United States v. Food Machinery and Chemical Corp. (N.D. Calif. Civil No. 29308-G; Complaint, 1949).</t>
  </si>
  <si>
    <t>United States v. United States Gypsum Co., 333 U.S. 364, 368-69 (1948).</t>
  </si>
  <si>
    <t>117-18</t>
  </si>
  <si>
    <t>FJ , LA</t>
  </si>
  <si>
    <t>Bay State Optical Company</t>
    <phoneticPr fontId="22" type="noConversion"/>
  </si>
  <si>
    <t>On or about April 1, 1919, GE and IGE entered into an agreement under which GE appointed IGE "its sole agent for the sale in and for use in foreign countries" of electrical equipment manufacted by GE.  Also, appointed IGE its attorney to manage its existing agreements with foreign companies.  IGE then entered into negotiations with 4 of the foreign companies listed above between 1919-22.  Agreements divided up territories.</t>
    <phoneticPr fontId="22" type="noConversion"/>
  </si>
  <si>
    <t>Allgemeine Elektricitaets Gesellschaft</t>
  </si>
  <si>
    <t>Tokyo Shibaura Denki Kabushiki Kaisha</t>
  </si>
  <si>
    <t>Associated Electrical Industries (BTH a the time)</t>
    <phoneticPr fontId="22" type="noConversion"/>
  </si>
  <si>
    <t>Societe d'Electricite et de Mecanique</t>
  </si>
  <si>
    <t>Number of licensees: 0 (in the US territory; US shall be the exclusive territory of IGE for the manufacture and sale of electrical equipment and that the co-conspirator party thereto refrain from the manufacture or sale of such equipment in or for use in the US)</t>
    <phoneticPr fontId="22" type="noConversion"/>
  </si>
  <si>
    <t>GE/IGE</t>
    <phoneticPr fontId="22" type="noConversion"/>
  </si>
  <si>
    <t>Technology: Electrical equipment which are "all aparatus, devices, and systems which concern the generation, transmission, and utilization of electric energy except electric lamps and radio equipment" (complaint, p. 4).</t>
    <phoneticPr fontId="22" type="noConversion"/>
  </si>
  <si>
    <t>Foreign firms: Yes</t>
    <phoneticPr fontId="22" type="noConversion"/>
  </si>
  <si>
    <t>Start year: 1919</t>
    <phoneticPr fontId="22" type="noConversion"/>
  </si>
  <si>
    <t>Compulsory licensing: ?</t>
    <phoneticPr fontId="22" type="noConversion"/>
  </si>
  <si>
    <t>From time to time new parties were admitted to and thereafter participated in the combination and conspiracy (see complaint, pp. 13-15)</t>
    <phoneticPr fontId="22" type="noConversion"/>
  </si>
  <si>
    <t>Compagnie Francaise Pour l'Exploitations des Procedes Thomson-Houston (CFTH)</t>
    <phoneticPr fontId="22" type="noConversion"/>
  </si>
  <si>
    <t>French competitor of CFTH (together with CFTH and IGE organized a new company, Societe General de Constructions Electriques et Mecaniques which assumed rights of CFTH under 1919)</t>
    <phoneticPr fontId="22" type="noConversion"/>
  </si>
  <si>
    <t>SN 597775</t>
    <phoneticPr fontId="22" type="noConversion"/>
  </si>
  <si>
    <t>SN 710345</t>
    <phoneticPr fontId="22" type="noConversion"/>
  </si>
  <si>
    <t>SN 775175</t>
    <phoneticPr fontId="22" type="noConversion"/>
  </si>
  <si>
    <t>SN 12036</t>
    <phoneticPr fontId="22" type="noConversion"/>
  </si>
  <si>
    <t>SN 509144</t>
    <phoneticPr fontId="22" type="noConversion"/>
  </si>
  <si>
    <t>SN 557066</t>
    <phoneticPr fontId="22" type="noConversion"/>
  </si>
  <si>
    <t>NAR Chicago</t>
    <phoneticPr fontId="22" type="noConversion"/>
  </si>
  <si>
    <t>Benton Ballou Company</t>
    <phoneticPr fontId="22" type="noConversion"/>
  </si>
  <si>
    <t>Vaughan (pp. 125-26): "General Electric, along with Westinghouse, had many patents in the fluorescent lamp field.  According to a complaint of 1942, restrictive practices enabled Corning to become virtualy the only manufacturer who sold clear glass tubing and the only source of machinery for making it; GE became the only source of sale of coated glass tubing to manufacturers of neon signs and was the only manufacturer and seller of fluorescent lamp boxes.  A predominant proportion of fluorescent lamps, first placed on the market in 1935, was made and sold by GE, Westinghouse, and Consolidated.  Westinghouse and Consolidated had license agreements which limited their output to certain amounts.  Under a contract of 1927, Westinghouse agreed to sell fluorescent lamps at the same prices and upon the same terms fixed and followed by GE.  This complaint, after amendment and postponement because of war, led to a consent decree against Corning in 1946.  This company was required to grant licenses royalty-free under its present patents and at reasonable royalties under its future patents applied for before 1940; to furnish at a nominal charge technical information on glass formulas in use on date of judgment; to sell glass bulbs, tubing, and cane at nondiscriminatory prices; and to refrain from dividing the market and excluding others and from lessening competition by acquiriing any domestic company.  Final consent judgments against other companies were not entered until 1954.  One of them enjoined GE from entering into any arrangement with any manufacturer of lamps, lamp parts, and lamp machinery to fix prices, allocate markets, limit production, or restrict import and exports.  Moreover, it provided for compulsory royalty-free licensing of the patents of this company covering these products.  Separate judgments required Westinghouse and Consolidated also to refrain from restrictive agreements.  Furthermore, the Westinghouse judgment required the royalty-free licensing of the fluorescent patents of this company."</t>
    <phoneticPr fontId="22" type="noConversion"/>
  </si>
  <si>
    <t>Vaughan (p. 60): "Bearings Distributors Company and two other manufacturers of tractor cabs, in a cross-license agreement, settled a three-way interference, became licensees at certain rates of royalty under the patents awarded for priority of invention and without royalty under any subsequent patents, and refused licenses to others.  A final consent judgment in 1953 required them to grant licenses at reasonable royalties under certain patents owned and under any other tractor cab patents acquired within five years."</t>
    <phoneticPr fontId="22" type="noConversion"/>
  </si>
  <si>
    <t>On or about January 28, 1922, a four-party agreement was entered into between GE, Corning, American Blank, and Empire.  Consent decree in 1926 made licensing agreements illegal.</t>
    <phoneticPr fontId="22" type="noConversion"/>
  </si>
  <si>
    <t>1927Flur</t>
    <phoneticPr fontId="22" type="noConversion"/>
  </si>
  <si>
    <t>Firms: Cab-Ette Company, Fort Dodge Tent and Awning Company, and Bearing Distributor Company.</t>
    <phoneticPr fontId="22" type="noConversion"/>
  </si>
  <si>
    <t>Start year: 1948</t>
    <phoneticPr fontId="22" type="noConversion"/>
  </si>
  <si>
    <t>End year: 1953 (consent decree)</t>
    <phoneticPr fontId="22" type="noConversion"/>
  </si>
  <si>
    <t>Foreign firms: No</t>
    <phoneticPr fontId="22" type="noConversion"/>
  </si>
  <si>
    <t>Ford Motor Company</t>
    <phoneticPr fontId="22" type="noConversion"/>
  </si>
  <si>
    <t>Packard Motor Company</t>
    <phoneticPr fontId="22" type="noConversion"/>
  </si>
  <si>
    <t>duPont</t>
    <phoneticPr fontId="22" type="noConversion"/>
  </si>
  <si>
    <t>Ruska (Vehicular)</t>
    <phoneticPr fontId="22" type="noConversion"/>
  </si>
  <si>
    <t>Michaels</t>
    <phoneticPr fontId="22" type="noConversion"/>
  </si>
  <si>
    <t>Teece (Vehicular)</t>
    <phoneticPr fontId="22" type="noConversion"/>
  </si>
  <si>
    <t>Duration</t>
    <phoneticPr fontId="22" type="noConversion"/>
  </si>
  <si>
    <t>Corning Glass Works entered into a separate (from GE and Westinghouse) consent decree in 1946.</t>
    <phoneticPr fontId="22" type="noConversion"/>
  </si>
  <si>
    <t>Patent holding company: No</t>
    <phoneticPr fontId="22" type="noConversion"/>
  </si>
  <si>
    <t>Start year: 1924</t>
    <phoneticPr fontId="22" type="noConversion"/>
  </si>
  <si>
    <t>RR=reasonable royalty basis; RF=royalty free, DP=dedicated to public</t>
    <phoneticPr fontId="22" type="noConversion"/>
  </si>
  <si>
    <t>Number of licensees: 0</t>
    <phoneticPr fontId="22" type="noConversion"/>
  </si>
  <si>
    <t>Compulsory licensing: RR</t>
    <phoneticPr fontId="22" type="noConversion"/>
  </si>
  <si>
    <t>Patent holding company: No</t>
    <phoneticPr fontId="22" type="noConversion"/>
  </si>
  <si>
    <t>Firms: General Electric, Westinghouse Electric &amp; Manufacturing Company, Corning Glass Works (for glass products), N.V. Phillips (for glass products), American Blank Company (dummy corporation for patent licensing).</t>
    <phoneticPr fontId="22" type="noConversion"/>
  </si>
  <si>
    <t>Start year: 1927</t>
    <phoneticPr fontId="22" type="noConversion"/>
  </si>
  <si>
    <t>Open licensing: No</t>
    <phoneticPr fontId="22" type="noConversion"/>
  </si>
  <si>
    <t>Television Productions</t>
    <phoneticPr fontId="22" type="noConversion"/>
  </si>
  <si>
    <t>Scophony Ltd.</t>
  </si>
  <si>
    <t>Scophony Ltd.</t>
    <phoneticPr fontId="22" type="noConversion"/>
  </si>
  <si>
    <t>Conspiracy related to 5 parts of braking systems: (1) mechanical braking systems, (2) hydaulic braking systems, (3) brake fluid, (4) vacuum boosters, (5) air braking systems.</t>
    <phoneticPr fontId="22" type="noConversion"/>
  </si>
  <si>
    <t>Wagner</t>
    <phoneticPr fontId="22" type="noConversion"/>
  </si>
  <si>
    <t>End year: 1954 (consent decrees against GE and Westinghouse)</t>
    <phoneticPr fontId="22" type="noConversion"/>
  </si>
  <si>
    <t>X</t>
    <phoneticPr fontId="22" type="noConversion"/>
  </si>
  <si>
    <t>Sylvania (Hygrade?)</t>
    <phoneticPr fontId="22" type="noConversion"/>
  </si>
  <si>
    <t>1930 (agreement with Bendix over air braking systems)</t>
    <phoneticPr fontId="22" type="noConversion"/>
  </si>
  <si>
    <t>Consolidated</t>
    <phoneticPr fontId="22" type="noConversion"/>
  </si>
  <si>
    <t>Tung-Sol</t>
    <phoneticPr fontId="22" type="noConversion"/>
  </si>
  <si>
    <t>Chicago Miniature</t>
    <phoneticPr fontId="22" type="noConversion"/>
  </si>
  <si>
    <t>Technology: Television</t>
    <phoneticPr fontId="22" type="noConversion"/>
  </si>
  <si>
    <t>General Precision Equipment</t>
  </si>
  <si>
    <t>Compulsory licensing: RR</t>
    <phoneticPr fontId="22" type="noConversion"/>
  </si>
  <si>
    <t>Radio Condenser Company</t>
    <phoneticPr fontId="22" type="noConversion"/>
  </si>
  <si>
    <t>General Instrument Corporation</t>
    <phoneticPr fontId="22" type="noConversion"/>
  </si>
  <si>
    <t>Dejur-Amsco Corporation</t>
    <phoneticPr fontId="22" type="noConversion"/>
  </si>
  <si>
    <r>
      <t>Licensees</t>
    </r>
    <r>
      <rPr>
        <sz val="10"/>
        <rFont val="Arial"/>
        <family val="2"/>
      </rPr>
      <t>:</t>
    </r>
    <phoneticPr fontId="22" type="noConversion"/>
  </si>
  <si>
    <t>General Precision Equipment</t>
    <phoneticPr fontId="22" type="noConversion"/>
  </si>
  <si>
    <t>Television Productions</t>
  </si>
  <si>
    <t>Technology: "An incandescent electric lamp may be described as a glass bulb within which is a vacuum or a mixture of intert gases and usually a filament of fine metal wire or some non-metallic material having a high melting point which the electric current heats to incandescence" (complaint, p. 9).</t>
    <phoneticPr fontId="22" type="noConversion"/>
  </si>
  <si>
    <t>1924 (hydraulic brakes)</t>
    <phoneticPr fontId="22" type="noConversion"/>
  </si>
  <si>
    <t>Bendix</t>
    <phoneticPr fontId="22" type="noConversion"/>
  </si>
  <si>
    <t>Technology: Braking systems which, by 1938, were all hydraulic (as opposed to mechanical).</t>
    <phoneticPr fontId="22" type="noConversion"/>
  </si>
  <si>
    <t>1935 (brake fluid)</t>
    <phoneticPr fontId="22" type="noConversion"/>
  </si>
  <si>
    <t>1930 (purchased capital stock in Bragg-Kleisrath Coporation to enter market for vacuum boosters)</t>
    <phoneticPr fontId="22" type="noConversion"/>
  </si>
  <si>
    <t>Flora</t>
    <phoneticPr fontId="22" type="noConversion"/>
  </si>
  <si>
    <t>Start year: 1942</t>
    <phoneticPr fontId="22" type="noConversion"/>
  </si>
  <si>
    <t>Licensees</t>
    <phoneticPr fontId="22" type="noConversion"/>
  </si>
  <si>
    <t>1921Cast</t>
    <phoneticPr fontId="22" type="noConversion"/>
  </si>
  <si>
    <t>Number of licensees: 10</t>
    <phoneticPr fontId="22" type="noConversion"/>
  </si>
  <si>
    <t>Applications from Appendix A, RR:</t>
    <phoneticPr fontId="22" type="noConversion"/>
  </si>
  <si>
    <t>N</t>
    <phoneticPr fontId="22" type="noConversion"/>
  </si>
  <si>
    <t>X</t>
    <phoneticPr fontId="22" type="noConversion"/>
  </si>
  <si>
    <t>RR</t>
    <phoneticPr fontId="22" type="noConversion"/>
  </si>
  <si>
    <t>RR</t>
    <phoneticPr fontId="22" type="noConversion"/>
  </si>
  <si>
    <t>DP</t>
    <phoneticPr fontId="22" type="noConversion"/>
  </si>
  <si>
    <t>Davis &amp; Son</t>
  </si>
  <si>
    <t>Davis &amp; Son</t>
    <phoneticPr fontId="22" type="noConversion"/>
  </si>
  <si>
    <t>At the time of the complaint, "Wagner supplies practically all of the hydraulic actuating equipment, and Bendix most of the brake assemblies installed in motor vehicles and industrial equipment in the United States…Bendix-Westinghouse and Wagner manufacture and sell most of the air braking systems employed on automotive vehicles in the United States...braking systems are manufactured by Bendix, Wagner, GM, B-W, and duPont" (p. 19).</t>
    <phoneticPr fontId="22" type="noConversion"/>
  </si>
  <si>
    <t>Patent holding company: Yes (David Company)</t>
    <phoneticPr fontId="22" type="noConversion"/>
  </si>
  <si>
    <t>Vaughan (pp. 96-97): "There was a shift, mostly during the thirties, from mechanical to hydraulic brakes for automotive passenger vehicles.  The manufacture and sale of braking systems was carried out by seven companies - Bendix Aviation, Genereal Motors, Hydraulic Brake, Wagner Electric, Du Pont, Bendix-Westinghouse, and Westinghouse-and the allegations of a 1947 government complaint indicate the concentration of patents in this field...a district court in a final judgment against Westinghouse in 1948, restricted its control over Bendix-Westinghouse, enjoined its action for infringement of any braking system prior to this date, and ordered royalty-free licenses under seventy-seven patents and patent applications and licenses at reasonable royalties under all its other braking system patents outstanding and issued or applied for within five years."</t>
    <phoneticPr fontId="22" type="noConversion"/>
  </si>
  <si>
    <t>Hydraulic Brake Company</t>
    <phoneticPr fontId="22" type="noConversion"/>
  </si>
  <si>
    <t>Condenser Development (Cramer)</t>
    <phoneticPr fontId="22" type="noConversion"/>
  </si>
  <si>
    <t>"On or about July 31, 1942 General, Productions and Limited, to carry out the conspiracy caused the incorporation of Scophony" (p. 8).</t>
    <phoneticPr fontId="22" type="noConversion"/>
  </si>
  <si>
    <t>Ganter &amp; Mattern Co.</t>
    <phoneticPr fontId="22" type="noConversion"/>
  </si>
  <si>
    <t>Firms: Bendix Aviation Corporation, Hydraulic Brake Company, Wagner Electric Corporation, E. I. duPont de Nemours &amp; Company, General Motors Corporation (owns 20% of Bendix voting stock), Bendix-Westinghouse Automotive Air Brake Company, Westinghouse Air Brake Company.</t>
    <phoneticPr fontId="22" type="noConversion"/>
  </si>
  <si>
    <t xml:space="preserve">Since 1927, GE and Corning have acquired and maintained and are maintaining foreign patents and have entered into licensing agreeements with foreign companies in order to keep out of the United States glass parts and glass machinery.  GE and Westinghouse since 19288 have entered into and have maintained and are maintaining unlawful patent pooling and licensing agreeements, and other agreements with potential domestic competitors.  </t>
    <phoneticPr fontId="22" type="noConversion"/>
  </si>
  <si>
    <t>Number of licensees: 11</t>
    <phoneticPr fontId="22" type="noConversion"/>
  </si>
  <si>
    <t xml:space="preserve">Open licensing: </t>
    <phoneticPr fontId="22" type="noConversion"/>
  </si>
  <si>
    <t>End year: 1948</t>
    <phoneticPr fontId="22" type="noConversion"/>
  </si>
  <si>
    <t>N.V. Phillips Gloeilampenfabriekan</t>
    <phoneticPr fontId="22" type="noConversion"/>
  </si>
  <si>
    <r>
      <t xml:space="preserve">Nice paper here: </t>
    </r>
    <r>
      <rPr>
        <u/>
        <sz val="10"/>
        <rFont val="Verdana"/>
      </rPr>
      <t>http://www.ftc.gov/be/econrpt/198002electriclampindustry.pdf</t>
    </r>
    <phoneticPr fontId="22" type="noConversion"/>
  </si>
  <si>
    <t>Ken-Rad (formerly Kentucky Electric Lamp Company)</t>
    <phoneticPr fontId="22" type="noConversion"/>
  </si>
  <si>
    <t>Technology: "Tractor cabs means an accessory or device for a tractor or similar machinery made of canvas or similar materials, and sometimes designated as a heating unit, which when affixed or fastened to a tractor or similar machinery, provides an enclosed space in which the driver of the tractor, or similar machinery, is heated and protected from the weather" (final judgment, p. 2).</t>
    <phoneticPr fontId="22" type="noConversion"/>
  </si>
  <si>
    <t>Cab-Ette Company</t>
    <phoneticPr fontId="22" type="noConversion"/>
  </si>
  <si>
    <t>Fort Dodge Tent and Awning Company</t>
    <phoneticPr fontId="22" type="noConversion"/>
  </si>
  <si>
    <t>Bearing Distributor Company</t>
    <phoneticPr fontId="22" type="noConversion"/>
  </si>
  <si>
    <t>1948Trac</t>
    <phoneticPr fontId="22" type="noConversion"/>
  </si>
  <si>
    <t>1948Trac</t>
    <phoneticPr fontId="22" type="noConversion"/>
  </si>
  <si>
    <t>Type of Compulsory Licensing</t>
    <phoneticPr fontId="22" type="noConversion"/>
  </si>
  <si>
    <t>Clapper</t>
    <phoneticPr fontId="22" type="noConversion"/>
  </si>
  <si>
    <t>End year: 1953 (consent decree)</t>
    <phoneticPr fontId="22" type="noConversion"/>
  </si>
  <si>
    <t>"B" licenses granted to non-Westinghouse licensees (of which there were initially eleven).</t>
    <phoneticPr fontId="22" type="noConversion"/>
  </si>
  <si>
    <t>21 automobile manufacturers (listed on p. 13 of Exhibit A)</t>
    <phoneticPr fontId="22" type="noConversion"/>
  </si>
  <si>
    <t>Interwoven Stocking Company</t>
    <phoneticPr fontId="22" type="noConversion"/>
  </si>
  <si>
    <t>End year: 1953</t>
    <phoneticPr fontId="22" type="noConversion"/>
  </si>
  <si>
    <t>Y</t>
    <phoneticPr fontId="22" type="noConversion"/>
  </si>
  <si>
    <t>Sherwin Williams</t>
    <phoneticPr fontId="22" type="noConversion"/>
  </si>
  <si>
    <t>Grantbacks: Yes</t>
    <phoneticPr fontId="22" type="noConversion"/>
  </si>
  <si>
    <t>Open licensing: No</t>
    <phoneticPr fontId="22" type="noConversion"/>
  </si>
  <si>
    <t>Number of licensees: 0</t>
    <phoneticPr fontId="22" type="noConversion"/>
  </si>
  <si>
    <t>Compulsory licensing: RR</t>
    <phoneticPr fontId="22" type="noConversion"/>
  </si>
  <si>
    <t>Compulsory licensing: RR and DP.</t>
    <phoneticPr fontId="22" type="noConversion"/>
  </si>
  <si>
    <t>Appendix A from Final Judgment, RR:</t>
    <phoneticPr fontId="22" type="noConversion"/>
  </si>
  <si>
    <t xml:space="preserve">Scott &amp; Williams </t>
    <phoneticPr fontId="22" type="noConversion"/>
  </si>
  <si>
    <t>Interwoven Stocking Company</t>
  </si>
  <si>
    <t>1929 (organized Bendix with Bendix Corporation to take over all of the assets of Bendix Corporation and certain assets of GM including all of the latter's patents relating to mechanical braking systems)</t>
    <phoneticPr fontId="22" type="noConversion"/>
  </si>
  <si>
    <t>In 1927 about elevent domestic companies, other than Westinghouse, were operating under patent licensing arrangements with GE to manufacture and sell lampes in the United States.</t>
    <phoneticPr fontId="22" type="noConversion"/>
  </si>
  <si>
    <t>General Electric</t>
    <phoneticPr fontId="22" type="noConversion"/>
  </si>
  <si>
    <t>Westinghouse</t>
    <phoneticPr fontId="22" type="noConversion"/>
  </si>
  <si>
    <t>Corning Glass Works</t>
    <phoneticPr fontId="22" type="noConversion"/>
  </si>
  <si>
    <t>Bendix (formerly Bendix Corporation)</t>
    <phoneticPr fontId="22" type="noConversion"/>
  </si>
  <si>
    <t>Foreign firms: No</t>
    <phoneticPr fontId="22" type="noConversion"/>
  </si>
  <si>
    <t>DP, RR</t>
    <phoneticPr fontId="22" type="noConversion"/>
  </si>
  <si>
    <r>
      <t>Licensees</t>
    </r>
    <r>
      <rPr>
        <sz val="10"/>
        <rFont val="Arial"/>
        <family val="2"/>
      </rPr>
      <t>:</t>
    </r>
    <phoneticPr fontId="22" type="noConversion"/>
  </si>
  <si>
    <t>Firms: Scophony Corporation (organized by pool members), General Precision Equipment, Television Productions (owned by Paramount), Scophony Ltd. (UK firm).</t>
    <phoneticPr fontId="22" type="noConversion"/>
  </si>
  <si>
    <t>Foreign firms: Yes (Scophony Ltd.)</t>
    <phoneticPr fontId="22" type="noConversion"/>
  </si>
  <si>
    <t>Vaughan (p. 60): "Scophony of America, in 1942, acquired control in the United States of the Scophony Ltd. Invention of television which was owned by two companies-General Precision Equipmment and Television Productions, both affiliated with motion-picture companies-a fact which may explain their failure to develop this invention.  A consent decree of 1949 required these two companies to get rid of their Scophony stock and to terminate their exclusive licenses under Scophony patents and processes, and enjoined the division of the world into noncompetitive areas.  A similar judgment was entered against Scophony Ltd."</t>
    <phoneticPr fontId="22" type="noConversion"/>
  </si>
  <si>
    <t>Firms: Radio Condenser Company, General Instrument Corporation, Dejur-Amsco Corporation, and Condenser Development Corporation (patent holding company).</t>
    <phoneticPr fontId="22" type="noConversion"/>
  </si>
  <si>
    <t>Compulsory licensing: RF</t>
    <phoneticPr fontId="22" type="noConversion"/>
  </si>
  <si>
    <r>
      <t>Licensees (did not contribute patents)</t>
    </r>
    <r>
      <rPr>
        <sz val="10"/>
        <rFont val="Verdana"/>
      </rPr>
      <t>:</t>
    </r>
    <phoneticPr fontId="22" type="noConversion"/>
  </si>
  <si>
    <t>GM</t>
    <phoneticPr fontId="22" type="noConversion"/>
  </si>
  <si>
    <t xml:space="preserve">Patent holding company: Yes (Condenser Development Corporation) </t>
    <phoneticPr fontId="22" type="noConversion"/>
  </si>
  <si>
    <t>End year: 1949 (consent decree)</t>
    <phoneticPr fontId="22" type="noConversion"/>
  </si>
  <si>
    <t>Number of licensees: 0 (not certain; need to see complaint)</t>
    <phoneticPr fontId="22" type="noConversion"/>
  </si>
  <si>
    <t>1946Dayl</t>
    <phoneticPr fontId="22" type="noConversion"/>
  </si>
  <si>
    <t>Switzer Brothers</t>
    <phoneticPr fontId="22" type="noConversion"/>
  </si>
  <si>
    <t>Vaughan (pp. 124-25): "According to a complaint, Switzer Brothers entered into license agreements directly or through other companies with about 1,200 purchasers and users of daylight fluorescent materials which allocated products and customers and imposed other unlawful restrictions.  Consent judgments in 1953 provided for royalty-free licensing under three patents and compulsory licensing with reasonable royalties under six others."</t>
    <phoneticPr fontId="22" type="noConversion"/>
  </si>
  <si>
    <t>1929 (organized Bendix with GM)</t>
    <phoneticPr fontId="22" type="noConversion"/>
  </si>
  <si>
    <t>Number of licensees: 21+ (complaint, p. 9)</t>
    <phoneticPr fontId="22" type="noConversion"/>
  </si>
  <si>
    <t>Gabbs Supply Co.</t>
    <phoneticPr fontId="22" type="noConversion"/>
  </si>
  <si>
    <t>pool_id</t>
    <phoneticPr fontId="22" type="noConversion"/>
  </si>
  <si>
    <t>start_year</t>
    <phoneticPr fontId="22" type="noConversion"/>
  </si>
  <si>
    <t>end_year</t>
    <phoneticPr fontId="22" type="noConversion"/>
  </si>
  <si>
    <t>pool_members</t>
    <phoneticPr fontId="22" type="noConversion"/>
  </si>
  <si>
    <t>foreign</t>
    <phoneticPr fontId="22" type="noConversion"/>
  </si>
  <si>
    <t>licensees</t>
    <phoneticPr fontId="22" type="noConversion"/>
  </si>
  <si>
    <t>Start year: 1934</t>
    <phoneticPr fontId="22" type="noConversion"/>
  </si>
  <si>
    <t>End year: 1953</t>
    <phoneticPr fontId="22" type="noConversion"/>
  </si>
  <si>
    <t>Number of licensees: 3</t>
    <phoneticPr fontId="22" type="noConversion"/>
  </si>
  <si>
    <t>1937Park</t>
    <phoneticPr fontId="22" type="noConversion"/>
  </si>
  <si>
    <t>RR</t>
    <phoneticPr fontId="22" type="noConversion"/>
  </si>
  <si>
    <t>Johanson</t>
    <phoneticPr fontId="22" type="noConversion"/>
  </si>
  <si>
    <t>Homan</t>
    <phoneticPr fontId="22" type="noConversion"/>
  </si>
  <si>
    <t>Hutches</t>
    <phoneticPr fontId="22" type="noConversion"/>
  </si>
  <si>
    <t>Ogilvie</t>
    <phoneticPr fontId="22" type="noConversion"/>
  </si>
  <si>
    <t>Not clear that licensees were refrained from producing competing air filters: the pool soughts to buy up everyone!</t>
    <phoneticPr fontId="22" type="noConversion"/>
  </si>
  <si>
    <t>Each license (to pool members) provides that "the licensee shall follow the physical specifications fixed from time to time by defendant licensor for gas and pressure pipe, unless the purchaser of such pipe shall specify otherwise."</t>
    <phoneticPr fontId="22" type="noConversion"/>
  </si>
  <si>
    <t>Not clear about restrictive licensing: tried to obtain all the patents in the field of peach-pitting and prevent competition.</t>
    <phoneticPr fontId="22" type="noConversion"/>
  </si>
  <si>
    <t>Lawter Chemicals</t>
    <phoneticPr fontId="22" type="noConversion"/>
  </si>
  <si>
    <t>Firms: Switzer Brothers, Inc., Ganter &amp; Mattern Co., Sherwin-Williams Co., Aberfoyle Manufacturing Co., Lawter Chemicals, Inc., Gabbs Supply Co.</t>
    <phoneticPr fontId="22" type="noConversion"/>
  </si>
  <si>
    <t>Aberfoyle Manufacturing</t>
    <phoneticPr fontId="22" type="noConversion"/>
  </si>
  <si>
    <t>Patent holding company: No</t>
    <phoneticPr fontId="22" type="noConversion"/>
  </si>
  <si>
    <t>RF</t>
    <phoneticPr fontId="22" type="noConversion"/>
  </si>
  <si>
    <t>RF</t>
    <phoneticPr fontId="22" type="noConversion"/>
  </si>
  <si>
    <r>
      <t>"B" Licensees (did not add patents)</t>
    </r>
    <r>
      <rPr>
        <sz val="10"/>
        <rFont val="Verdana"/>
      </rPr>
      <t>:</t>
    </r>
    <phoneticPr fontId="22" type="noConversion"/>
  </si>
  <si>
    <t>Y</t>
    <phoneticPr fontId="22" type="noConversion"/>
  </si>
  <si>
    <t>1930 (purchased substantially all the capital stock of Hydraulic Brake to expand from mechanical to hydraulic brakes)</t>
    <phoneticPr fontId="22" type="noConversion"/>
  </si>
  <si>
    <t>GM</t>
    <phoneticPr fontId="22" type="noConversion"/>
  </si>
  <si>
    <t>Vaughan (p. 60): "In 1949, the government charged the Davis Company and three other corporations with obtaining a monopoly on elastic-top hosiery and the machinery for making it by pooling competing patents in these fields.  A consent decree judgment of 1952 forbase Davis, the patent holding company, to bring infringement suits under any machinery patent or to acquire in the future any interest in any patent, and required this company to grant licenses under all its hosiery patents upon nondiscriminatory terms and to be dissolved upon the expiration of the last patent owned by it."</t>
    <phoneticPr fontId="22" type="noConversion"/>
  </si>
  <si>
    <t>Three firms: Radio Condenser Company, General Instrument Corporation, and Dejur-Amsco Corporation.  They formed the "Condenser Development Corporation."</t>
    <phoneticPr fontId="22" type="noConversion"/>
  </si>
  <si>
    <t>Open licensing:</t>
    <phoneticPr fontId="22" type="noConversion"/>
  </si>
  <si>
    <t>Number of licensees: &gt;0</t>
    <phoneticPr fontId="22" type="noConversion"/>
  </si>
  <si>
    <t>Firms: Davis Company (patent holding company), Davis &amp; Son, Scott &amp; Williams (S&amp;W), Intervowen Stocking Company.</t>
    <phoneticPr fontId="22" type="noConversion"/>
  </si>
  <si>
    <t>NAR Atlanta</t>
    <phoneticPr fontId="22" type="noConversion"/>
  </si>
  <si>
    <t>Unclear who licensees are.</t>
    <phoneticPr fontId="22" type="noConversion"/>
  </si>
  <si>
    <t>Scott &amp; Williams</t>
  </si>
  <si>
    <t>X</t>
    <phoneticPr fontId="22" type="noConversion"/>
  </si>
  <si>
    <t>Prevented US domestic competition: "that Robert Bosch should impede and suppress competition by American companies in opposition to American Bosch in the business of manufacturing and selling fuel injection equipment by, among other means, (1) causing distributors and service stations throughout the world which handle fuel injection equipment manufactured by Robert Bosch and American Bosch, to refuse to distribute and service fuel injection equipment manufactured in the United States by companies competitive with American Bosch; and (2) waiving minimum royalties payable to Robert Bosch under a Diesel engine license granted a Diesel engine manufacturer in the United States, so long as the Diesel engine manufacturer should equip his entire production of Diesel engines exclusively with American Bosch fuel injection equipment" (complaint, p. 10-11).</t>
    <phoneticPr fontId="22" type="noConversion"/>
  </si>
  <si>
    <t>No mention of licensing restrictions from complaint.</t>
    <phoneticPr fontId="22" type="noConversion"/>
  </si>
  <si>
    <t>Vaughan (pp. 52): "Beginning in 1934, the only patents pertaining to variable condensers were on parts and methods of assembling.  In that year, three manufacturers, two of which accounted for nearly three-fourths of the output, organized General Instrument Corporation to which it assigned their forty-seven patents and from which they received licenses.  They also authorized it to obtain the present and future patents from others and to sue for alleged infringement of its patents.  It could grant licenses to others if the members of the pool gave their unanimous approval.  Infringement suits against other companies termined in the grant of price-fixing licenses to them.  In 1939, two members paid the third member $50k for its patents...a final judgment in 1953 forbade, among other things, the joint acquisition of patents and agreements on validity of future patents and provided for the dissolution of General Instrument and for compulsory licensing of their patents at reasonable royalties until 1958."</t>
    <phoneticPr fontId="22" type="noConversion"/>
  </si>
  <si>
    <t>1937Park</t>
    <phoneticPr fontId="22" type="noConversion"/>
  </si>
  <si>
    <t>1937Park</t>
    <phoneticPr fontId="22" type="noConversion"/>
  </si>
  <si>
    <t>Not clear if there were any restrictions; there were many other manufacturers of metal wheels but their volumes were small compared to the defendant.  But possible given the text from the Final Judgment enjoining them from "entering into any contract (1) with any distributor designating each distributor as an exclusive distributor if he is also a distributor of another wheel manufacturer or (2) with any wheel manufacturer to use or designate a common or exclusive distributor" (final judgment, p. 2).</t>
    <phoneticPr fontId="22" type="noConversion"/>
  </si>
  <si>
    <t>1946Dayl</t>
    <phoneticPr fontId="22" type="noConversion"/>
  </si>
  <si>
    <t>1946Dayl</t>
    <phoneticPr fontId="22" type="noConversion"/>
  </si>
  <si>
    <t>Royalty-free licensing from final judgment:</t>
    <phoneticPr fontId="22" type="noConversion"/>
  </si>
  <si>
    <t>Reasonable-royalty licensing from Exhibit A of final judgment:</t>
    <phoneticPr fontId="22" type="noConversion"/>
  </si>
  <si>
    <t>RR</t>
    <phoneticPr fontId="22" type="noConversion"/>
  </si>
  <si>
    <t>Switzer</t>
    <phoneticPr fontId="22" type="noConversion"/>
  </si>
  <si>
    <t>Switzer</t>
    <phoneticPr fontId="22" type="noConversion"/>
  </si>
  <si>
    <t>Gantner</t>
    <phoneticPr fontId="22" type="noConversion"/>
  </si>
  <si>
    <t>Switzer</t>
    <phoneticPr fontId="22" type="noConversion"/>
  </si>
  <si>
    <t>1925Vent</t>
    <phoneticPr fontId="22" type="noConversion"/>
  </si>
  <si>
    <t>Firms: U.S. Pipe and Foundry, Centrifugal Pipe Corporation, International DeLavaud Manufacturing Corporation (wholly-owned subsidiary of Centrifugal), .</t>
    <phoneticPr fontId="22" type="noConversion"/>
  </si>
  <si>
    <t>X</t>
    <phoneticPr fontId="22" type="noConversion"/>
  </si>
  <si>
    <t>Did "prevent companies other than licensees of defendant Auditorium from manufacturing and selling air conditioning equipment by threat of institution and actual institution of infringement suits" (p. 12).  But nothing about licensing restrictions.</t>
    <phoneticPr fontId="22" type="noConversion"/>
  </si>
  <si>
    <t>.</t>
    <phoneticPr fontId="22" type="noConversion"/>
  </si>
  <si>
    <t>Schedule A - Ottico Patents</t>
  </si>
  <si>
    <t>Umberto Nistri</t>
  </si>
  <si>
    <t>Italy</t>
  </si>
  <si>
    <t>Schedule A - Ottico Patent Applications</t>
  </si>
  <si>
    <t>Schedule B - Zenith Patents</t>
  </si>
  <si>
    <t>Société du Carburateur Zenith</t>
  </si>
  <si>
    <t>Richard H. Taylor</t>
  </si>
  <si>
    <t>Frank E. Ferris</t>
  </si>
  <si>
    <t>François Baverey</t>
  </si>
  <si>
    <t>Effect of pool: "hosiery manufacturers have been compelled to refrain from purchasing elastic top hosiery machinery from others than S&amp;W, under threat of patent infringement suits" (p. 11).</t>
    <phoneticPr fontId="22" type="noConversion"/>
  </si>
  <si>
    <r>
      <t>Notes from final judgment</t>
    </r>
    <r>
      <rPr>
        <sz val="10"/>
        <rFont val="Verdana"/>
      </rPr>
      <t>:</t>
    </r>
    <phoneticPr fontId="22" type="noConversion"/>
  </si>
  <si>
    <t>No evidence of licensing restrictions.</t>
    <phoneticPr fontId="22" type="noConversion"/>
  </si>
  <si>
    <t>DP</t>
    <phoneticPr fontId="22" type="noConversion"/>
  </si>
  <si>
    <t>"General and Productions have prevented Scophony from granting licenses under the Scophony inventions to their competitors in the motion picture and electronic fields, and to others, who were and are ready, able and willing to develop and exploit said inventions within the Western Hemisphere on terms favorable and advantageous to Scophony" (p. 12).</t>
    <phoneticPr fontId="22" type="noConversion"/>
  </si>
  <si>
    <t>Nothing about restricting other technologies but the pool did not grant licenses to its technology.</t>
    <phoneticPr fontId="22" type="noConversion"/>
  </si>
  <si>
    <t>Notes from final judgment:</t>
    <phoneticPr fontId="22" type="noConversion"/>
  </si>
  <si>
    <t>1933Hydr</t>
    <phoneticPr fontId="22" type="noConversion"/>
  </si>
  <si>
    <t>No evidence of restrictive licensing from Complaint.</t>
    <phoneticPr fontId="22" type="noConversion"/>
  </si>
  <si>
    <t>(O) 62499 (Di) 312615</t>
  </si>
  <si>
    <t>(O) 37274 (Di) 288278</t>
  </si>
  <si>
    <t>Schedule B - Zenith Patent Applications</t>
  </si>
  <si>
    <t>The afforesaid offenses were intended to be effectuated and were effectuated by divers means and methods involving agreement, among,…to use such pooled patents to harass non-licensed companies by threats of infringement suits, by instituting infringement suits, by instituting suits, by attempting to induce railroads to refrain from having worn bars reformed by non-licensed companies" (p. 10).</t>
    <phoneticPr fontId="22" type="noConversion"/>
  </si>
  <si>
    <r>
      <t>Notes from Complaint</t>
    </r>
    <r>
      <rPr>
        <sz val="10"/>
        <rFont val="Arial"/>
        <family val="2"/>
      </rPr>
      <t>:</t>
    </r>
    <phoneticPr fontId="22" type="noConversion"/>
  </si>
  <si>
    <t>1946Dayl</t>
    <phoneticPr fontId="22" type="noConversion"/>
  </si>
  <si>
    <t>1933Mach</t>
    <phoneticPr fontId="22" type="noConversion"/>
  </si>
  <si>
    <t>1937Wrin</t>
    <phoneticPr fontId="22" type="noConversion"/>
  </si>
  <si>
    <t>Siemens Apparate und Maschinen GmbH</t>
  </si>
  <si>
    <t>Hugo Junkers, Heinrich Wigge</t>
  </si>
  <si>
    <t>No evidence that they prevented the use of competing technologies.</t>
    <phoneticPr fontId="22" type="noConversion"/>
  </si>
  <si>
    <t>No licensing so no restrictions to impose I guess (no mention of it).</t>
    <phoneticPr fontId="22" type="noConversion"/>
  </si>
  <si>
    <t>Eastman Kodak Company</t>
    <phoneticPr fontId="22" type="noConversion"/>
  </si>
  <si>
    <t>Technicolor</t>
    <phoneticPr fontId="22" type="noConversion"/>
  </si>
  <si>
    <t>Eric Ernest Robinson, Edward William Jack Barrington</t>
  </si>
  <si>
    <t>John Archibald Baines</t>
  </si>
  <si>
    <t>Percy Tatlow, Ivan Jack Hulbert</t>
  </si>
  <si>
    <t>Schedule B - Lucas-Rotax Patent Applications</t>
  </si>
  <si>
    <t>Henry Thomas Heal</t>
  </si>
  <si>
    <t>expires 1963/12/1</t>
  </si>
  <si>
    <t>Joseph Levy</t>
  </si>
  <si>
    <t>Schedule B - Bendix Patents</t>
  </si>
  <si>
    <t>Deutsche Luftfahrt- und Handels- Aktien- Gesellschaft</t>
  </si>
  <si>
    <t>Pool members refused "to continue to sell to independent wholesalers who do not promote and advance the sale of their ophthalmic goods, including regular and license-controlled frames" (Complaint, p. 95).</t>
    <phoneticPr fontId="22" type="noConversion"/>
  </si>
  <si>
    <t>"Defendants are enjoinyed and restrained from (a) requiring any person to use only daylight fluorescent materials and devices manufactured or sold by the defendants, or by any source approved by the defendants" (p. 6).</t>
    <phoneticPr fontId="22" type="noConversion"/>
  </si>
  <si>
    <t>Richard Weniger</t>
  </si>
  <si>
    <t>Gregory V. Rylsky, Ladislaw E. Trefny</t>
  </si>
  <si>
    <t>Louis N. McDonald</t>
  </si>
  <si>
    <t>Gregory V. Rylsky, Stephen Cerstvik</t>
  </si>
  <si>
    <t>Paul Franklin Bechberger</t>
  </si>
  <si>
    <t>Alfred A. Stuart</t>
  </si>
  <si>
    <t>Fritz Fischer, Ludwig Rellstab</t>
  </si>
  <si>
    <t>Gerhard Rieper</t>
  </si>
  <si>
    <t>Hans Schuchmann</t>
  </si>
  <si>
    <t>Paul Eduard Köster</t>
  </si>
  <si>
    <t>Franz Fischer</t>
  </si>
  <si>
    <t>The licenses prevented purchasers from buying braking technologies from other sellers.</t>
    <phoneticPr fontId="22" type="noConversion"/>
  </si>
  <si>
    <t>Agreements have unlawfully restricted the channels of distribution of the Coil-Elliptic device in connection with the construction of new cars by requiring all licensees to refuse to sell the said Coil-Elliptic device to any person other than a manufacturer licensed under Reissue Letters Patents No. 18,266 to manufacturer side frams and bolsters; have unlawfully restricted and suppressed competition in the manufacutre and sale of spring plates by providing that competing spring plates which are interchangeable with Universal plates shall not by manufactured and sold by the defendant spring companies (Complaint, pp. 16-17).</t>
    <phoneticPr fontId="22" type="noConversion"/>
  </si>
  <si>
    <t>Purchasers of machines were to destroy their second-hand machines - restrictive or not?</t>
    <phoneticPr fontId="22" type="noConversion"/>
  </si>
  <si>
    <t>Foreign firms: No</t>
    <phoneticPr fontId="22" type="noConversion"/>
  </si>
  <si>
    <t>No references to restrictions but the pool threatened competition with patent litigation.</t>
    <phoneticPr fontId="22" type="noConversion"/>
  </si>
  <si>
    <t>Eduard Fischel, Gerhard Rieper</t>
  </si>
  <si>
    <t>No apparent indication of license restrictions on technologies.</t>
    <phoneticPr fontId="22" type="noConversion"/>
  </si>
  <si>
    <t>Re.21770 (2188834)</t>
  </si>
  <si>
    <t>Eduard Fischel, Johannes Thiry</t>
  </si>
  <si>
    <t>Schedule A - Siemens Patent Applications</t>
  </si>
  <si>
    <t>Technology: "Large-scale production of elastic top hosiery in the United States commenced in or about 1935, some time after the introduction of a fine, covered, elastic yarn, known as Lastex, capable of combination with the body yarn of hosiery" (Complaint, p. 4).</t>
    <phoneticPr fontId="22" type="noConversion"/>
  </si>
  <si>
    <t>Leo Victor Bjong</t>
  </si>
  <si>
    <t>Victor R. Heftler</t>
  </si>
  <si>
    <t>Henri de Boischevalier</t>
  </si>
  <si>
    <t>Antonin Boulade</t>
  </si>
  <si>
    <t>France</t>
  </si>
  <si>
    <t>1931/1926</t>
  </si>
  <si>
    <t>Paul Emile Heftler</t>
  </si>
  <si>
    <t>Louis Léon Viel</t>
  </si>
  <si>
    <t>Belgium</t>
  </si>
  <si>
    <t>1937Park</t>
    <phoneticPr fontId="22" type="noConversion"/>
  </si>
  <si>
    <t>1946Dayl</t>
    <phoneticPr fontId="22" type="noConversion"/>
  </si>
  <si>
    <t>RR</t>
    <phoneticPr fontId="22" type="noConversion"/>
  </si>
  <si>
    <t>1946Elas</t>
    <phoneticPr fontId="22" type="noConversion"/>
  </si>
  <si>
    <t>1930Cabl</t>
  </si>
  <si>
    <t>num_inital_pats</t>
    <phoneticPr fontId="22" type="noConversion"/>
  </si>
  <si>
    <t>(RN) 1937/8/9</t>
  </si>
  <si>
    <t>Maurice Clément Philippe Thieulin</t>
  </si>
  <si>
    <t>Johan Lichtenstein</t>
  </si>
  <si>
    <t>Johann Lichtenstein</t>
  </si>
  <si>
    <t>René Lozivit</t>
  </si>
  <si>
    <t>(RN) 1939/10/4</t>
  </si>
  <si>
    <t>(O) 62499 (Di) 312613</t>
  </si>
  <si>
    <t>(O) 62499 (Di) 312614</t>
  </si>
  <si>
    <t>Frank C. Mock</t>
  </si>
  <si>
    <t>Emil O. Wirth</t>
  </si>
  <si>
    <t>Frank C. Mock, Emil O. Wirth</t>
  </si>
  <si>
    <t>Samuel R. Willits</t>
  </si>
  <si>
    <t>RR</t>
    <phoneticPr fontId="22" type="noConversion"/>
  </si>
  <si>
    <t>Maurice Clément Philippe Thieulin, Paul Xavier Auguste Gistucci</t>
  </si>
  <si>
    <t>Paul Xavier Auguste Gistucci</t>
  </si>
  <si>
    <t>1930Cabl</t>
    <phoneticPr fontId="22" type="noConversion"/>
  </si>
  <si>
    <t>1932Phar</t>
    <phoneticPr fontId="22" type="noConversion"/>
  </si>
  <si>
    <t>1932Rail</t>
    <phoneticPr fontId="22" type="noConversion"/>
  </si>
  <si>
    <t>1932Text</t>
    <phoneticPr fontId="22" type="noConversion"/>
  </si>
  <si>
    <t>1933Phil</t>
    <phoneticPr fontId="22" type="noConversion"/>
  </si>
  <si>
    <t>1934Colo</t>
    <phoneticPr fontId="22" type="noConversion"/>
  </si>
  <si>
    <t>1934Dry</t>
    <phoneticPr fontId="22" type="noConversion"/>
  </si>
  <si>
    <t>1934Elec</t>
    <phoneticPr fontId="43" type="noConversion"/>
  </si>
  <si>
    <t>1934Vari</t>
    <phoneticPr fontId="22" type="noConversion"/>
  </si>
  <si>
    <t>1937Stam</t>
    <phoneticPr fontId="22" type="noConversion"/>
  </si>
  <si>
    <t>1938Drop</t>
    <phoneticPr fontId="22" type="noConversion"/>
  </si>
  <si>
    <t>1938Opht</t>
    <phoneticPr fontId="22" type="noConversion"/>
  </si>
  <si>
    <t>1942Tele</t>
    <phoneticPr fontId="22" type="noConversion"/>
  </si>
  <si>
    <t>One-Half to Allan Gordon Smith</t>
  </si>
  <si>
    <t>1938Slip</t>
    <phoneticPr fontId="22" type="noConversion"/>
  </si>
  <si>
    <t>Patent</t>
    <phoneticPr fontId="22" type="noConversion"/>
  </si>
  <si>
    <t>Patent</t>
    <phoneticPr fontId="22" type="noConversion"/>
  </si>
  <si>
    <t>.</t>
    <phoneticPr fontId="22" type="noConversion"/>
  </si>
  <si>
    <t>RF</t>
    <phoneticPr fontId="22" type="noConversion"/>
  </si>
  <si>
    <t>Licensing Type</t>
    <phoneticPr fontId="22" type="noConversion"/>
  </si>
  <si>
    <t>Compulsory Licensing Type</t>
    <phoneticPr fontId="22" type="noConversion"/>
  </si>
  <si>
    <t>These are patents listed on the agreement (included in list above):</t>
    <phoneticPr fontId="22" type="noConversion"/>
  </si>
  <si>
    <t>Compulsory Licensing Type</t>
    <phoneticPr fontId="22" type="noConversion"/>
  </si>
  <si>
    <t>1935Airc</t>
  </si>
  <si>
    <t>Listed under</t>
    <phoneticPr fontId="22" type="noConversion"/>
  </si>
  <si>
    <t>Application Date</t>
    <phoneticPr fontId="22" type="noConversion"/>
  </si>
  <si>
    <t>Grant Date</t>
    <phoneticPr fontId="22" type="noConversion"/>
  </si>
  <si>
    <t>Schedule A - Siemens Patents</t>
  </si>
  <si>
    <t>Messgeräte Boykow GmbH</t>
  </si>
  <si>
    <t>Johann Maria Boykow</t>
  </si>
  <si>
    <t>(RN) 1932/5/13</t>
  </si>
  <si>
    <t>Gesellschaft für Elektrische Apparate mbH</t>
  </si>
  <si>
    <t>Hermann Hort</t>
  </si>
  <si>
    <t>Siemens &amp; Halske Aktiengesellschaft</t>
  </si>
  <si>
    <t>Eduard Fischel</t>
  </si>
  <si>
    <t>Bendix Aviation Corporation</t>
  </si>
  <si>
    <t>John Andrew Laird</t>
  </si>
  <si>
    <t>Percy Tatlow</t>
  </si>
  <si>
    <t>X</t>
    <phoneticPr fontId="22" type="noConversion"/>
  </si>
  <si>
    <t>X</t>
    <phoneticPr fontId="22" type="noConversion"/>
  </si>
  <si>
    <t>Listed under</t>
  </si>
  <si>
    <t>1937Male</t>
  </si>
  <si>
    <t>Schedule A - Patents</t>
  </si>
  <si>
    <t>(O) 420846 (Di) 466611</t>
  </si>
  <si>
    <t>Edward C. Kendall</t>
  </si>
  <si>
    <t>Thomas F. Gallagher</t>
  </si>
  <si>
    <t>Schedule A - Applications</t>
  </si>
  <si>
    <t>Research Corporation, USA by the Administrator of the Federal Security Agency</t>
  </si>
  <si>
    <t>Carl J. Crane, Francis G. Nesbitt</t>
  </si>
  <si>
    <t>Cletus J. Jenny</t>
  </si>
  <si>
    <t>Gregory V. Rylsky</t>
  </si>
  <si>
    <t>Heinrich Roland, Johannes Thiry</t>
  </si>
  <si>
    <t>(O) 150415 (Di) 287141</t>
  </si>
  <si>
    <t>Erich Schmettow</t>
  </si>
  <si>
    <t>Karl Wilfrid Fieber</t>
  </si>
  <si>
    <t>Gustav Barth</t>
  </si>
  <si>
    <t>Kurt Volkmann</t>
  </si>
  <si>
    <t>No evidence of restrictions of technology but there were threats of infringement suits.</t>
    <phoneticPr fontId="22" type="noConversion"/>
  </si>
  <si>
    <t>lic_rest</t>
    <phoneticPr fontId="22" type="noConversion"/>
  </si>
  <si>
    <t>.</t>
    <phoneticPr fontId="22" type="noConversion"/>
  </si>
  <si>
    <t>Supreme Court decision in 1948 (http://keionline.org/content/view/69/1).</t>
    <phoneticPr fontId="22" type="noConversion"/>
  </si>
  <si>
    <t>Roche-Organon Incorporated</t>
  </si>
  <si>
    <t>Technology: "Daylight fluorescent devices, as distinguished from daylight fluorescent materials, denotes all types and kinds of end-use products, articles, and devices…including among such devices which utilize daylight fluorescent coating compositions are advertising signs, billboards, posters and displays, fishing lures and tackle, aircraft and shipboard instrument boards and panels, and novelty jewelry.  Included among such devices utilizing daylight fluorescent textiles are swim suits, hosiery, caps, and other garments and articles of apparel, advertising and theatrical banners, signal flags and fishing flies and other lures" (final judgment, p. 2).</t>
    <phoneticPr fontId="22" type="noConversion"/>
  </si>
  <si>
    <t>Heinrich Roland</t>
  </si>
  <si>
    <t>Heinrich Roland, Bruno Schnapperelle, Friedrich Lauck</t>
  </si>
  <si>
    <t>Kurt Marggraf</t>
  </si>
  <si>
    <t>Eduard Fischel, Friedrich Lauck</t>
  </si>
  <si>
    <t>Rudolf von Freydorf</t>
  </si>
  <si>
    <t>Waldemar Voigt</t>
  </si>
  <si>
    <t>Friedrich Lauck, Heinrich Hengsbach</t>
  </si>
  <si>
    <t>Pius Obermeier</t>
  </si>
  <si>
    <t>Hans Heuschmann</t>
  </si>
  <si>
    <t>Hans Jürgen</t>
  </si>
  <si>
    <t>Erwin Mellin</t>
  </si>
  <si>
    <t>Hans Werner Tiebel</t>
  </si>
  <si>
    <t>Erich Nöthe</t>
  </si>
  <si>
    <t>Kurt Jann</t>
  </si>
  <si>
    <t>Gustav Kodal</t>
  </si>
  <si>
    <t>Johannes Goerth</t>
  </si>
  <si>
    <t>Schedule B - Smith Patents</t>
  </si>
  <si>
    <t>Herbert Addison, William Blaine Luard</t>
  </si>
  <si>
    <t>Roland Sydney Portham</t>
  </si>
  <si>
    <t>S. Smith &amp; Sons (Motor Accessors) Limited</t>
  </si>
  <si>
    <t>Ernest Ansley Watson</t>
  </si>
  <si>
    <t>Pool would threaten licensees with litigation if they used competing lecithin but did not include restrictive terms.</t>
    <phoneticPr fontId="22" type="noConversion"/>
  </si>
  <si>
    <t>Didn't really license so couldn't impose restrictions…but did threaten lititgation.</t>
    <phoneticPr fontId="22" type="noConversion"/>
  </si>
  <si>
    <t>(RN) 1932/3/23</t>
  </si>
  <si>
    <t>Edmund Montgomery</t>
  </si>
  <si>
    <t>Adolf Butenandt, Josef Schmidt- Thomé</t>
  </si>
  <si>
    <t>Willy Logemann, Hans Herloff Inhoffen</t>
  </si>
  <si>
    <t>Willy Logemann</t>
  </si>
  <si>
    <t>Willy Logemann, Hans Herloff Inhoffen, Hans Eysenbach</t>
  </si>
  <si>
    <t>Bendix Products Corporation</t>
  </si>
  <si>
    <t>Scott F. Hunt</t>
  </si>
  <si>
    <t>Milton E. Chandler</t>
  </si>
  <si>
    <t>Frederik Barfod</t>
  </si>
  <si>
    <t>Stuyvesant C. Smith</t>
  </si>
  <si>
    <t>George P. Lum</t>
  </si>
  <si>
    <t>1948Trac</t>
    <phoneticPr fontId="22" type="noConversion"/>
  </si>
  <si>
    <t>1933Mach</t>
    <phoneticPr fontId="22" type="noConversion"/>
  </si>
  <si>
    <t>Fritz Blau</t>
  </si>
  <si>
    <t>Roy D. Mailey</t>
  </si>
  <si>
    <t>1925Vent</t>
    <phoneticPr fontId="22" type="noConversion"/>
  </si>
  <si>
    <t>Paul Xavier Auguste Gistucci, Johann Lichtenstein</t>
  </si>
  <si>
    <t>DP</t>
    <phoneticPr fontId="22" type="noConversion"/>
  </si>
  <si>
    <t>Alfred E. Sidwell</t>
  </si>
  <si>
    <t>Roy C. Sylvander</t>
  </si>
  <si>
    <t>Anton Menzer</t>
  </si>
  <si>
    <t>Hans Loen</t>
  </si>
  <si>
    <t>Armand Protzen</t>
  </si>
  <si>
    <t>Feodor Plötz</t>
  </si>
  <si>
    <t>Friedrich Lauck</t>
  </si>
  <si>
    <t>Martin Baesecke</t>
  </si>
  <si>
    <t>Kurt Jann, Heinrich Roland</t>
  </si>
  <si>
    <t>Heinrich Langgässer</t>
  </si>
  <si>
    <t>Karl Saur</t>
  </si>
  <si>
    <t>Hermann Brandt</t>
  </si>
  <si>
    <t>Gerald Klein</t>
  </si>
  <si>
    <t>Erich Freystedt</t>
  </si>
  <si>
    <t>Johannes Thiry</t>
  </si>
  <si>
    <t>Karl Wenzky</t>
  </si>
  <si>
    <t>Schedule C - Patents</t>
  </si>
  <si>
    <t>(O) 605194 (Di) 649768</t>
  </si>
  <si>
    <t>Merck &amp; Co., Inc.</t>
  </si>
  <si>
    <t>Lewis H. Sarett</t>
  </si>
  <si>
    <t>Huang Minlon</t>
  </si>
  <si>
    <t>(O) 605194 (Di) 649761</t>
  </si>
  <si>
    <t>(O) 605194 (Di) 649762</t>
  </si>
  <si>
    <t>(O) 605194 (Di) 649763</t>
  </si>
  <si>
    <t>(O) 605194 (Di) 649765</t>
  </si>
  <si>
    <t>(O) 605194 (Di) 649766</t>
  </si>
  <si>
    <t>(O) 605194 (Di) 649767</t>
  </si>
  <si>
    <t>Armin G. Wilson</t>
  </si>
  <si>
    <t>Schedule C - Applications</t>
  </si>
  <si>
    <t>Lewis Hastings Sarett</t>
  </si>
  <si>
    <t>(O) 50668 (Di) 175021</t>
  </si>
  <si>
    <t>Schedule D - Patents</t>
  </si>
  <si>
    <t>Franz Skaupy, Georg Gaidies</t>
  </si>
  <si>
    <t>Percy A. Campbell</t>
  </si>
  <si>
    <t>Cornelis Bol</t>
  </si>
  <si>
    <t>Holland</t>
  </si>
  <si>
    <t>Tadeus Reichstein, Emil Schlittler</t>
  </si>
  <si>
    <t>Tadeus Reichstein</t>
  </si>
  <si>
    <t>Arthur Serini, Lothar Strassberger, Adolf Butenandt</t>
  </si>
  <si>
    <t>Netherlands, France</t>
  </si>
  <si>
    <t>Hendrik de Jong</t>
  </si>
  <si>
    <t>Willy Ledig, Heinrich Asmussen</t>
  </si>
  <si>
    <t>Roscoe G. Phelps, Ludwig Staudenmeir</t>
  </si>
  <si>
    <t>Walter Schoeller, Arthur Serini, Friedrich Hildebrandt, Lothar Strassberger, Josef Kathol, Willy Logemann</t>
  </si>
  <si>
    <t>(RN) 1939/3/1</t>
  </si>
  <si>
    <t>Albert H. Winkler</t>
  </si>
  <si>
    <t>Richard R. Strebinger</t>
  </si>
  <si>
    <t>Albert H. Winkler, John H. Gore</t>
  </si>
  <si>
    <t>D116277</t>
  </si>
  <si>
    <t>Paul F. Bechberger</t>
  </si>
  <si>
    <t>Karl Wilfrid Fieber, Oskar Würthner</t>
  </si>
  <si>
    <t>Karl Kühnemann</t>
  </si>
  <si>
    <t>Hubert Schweidler</t>
  </si>
  <si>
    <t>Heinz Steinbach</t>
  </si>
  <si>
    <t>(O) 728644 (Co) 230120</t>
  </si>
  <si>
    <t>Kurt Schulze</t>
  </si>
  <si>
    <t>Adolf Butenandt</t>
  </si>
  <si>
    <t>Arthur Serini, Lothar Strassberger</t>
  </si>
  <si>
    <t>Irving Langmuir</t>
  </si>
  <si>
    <t>Robert B. Brownlee</t>
  </si>
  <si>
    <t>Oskar Schlüter</t>
  </si>
  <si>
    <t>Ernst Friederich</t>
  </si>
  <si>
    <t>Alfred La France</t>
  </si>
  <si>
    <t>Burnie Lee Benbow</t>
  </si>
  <si>
    <t>Ralph L. Beach</t>
  </si>
  <si>
    <t>Brayton W. Westcott</t>
  </si>
  <si>
    <t>Emil O. Wirth, George P. Lum</t>
  </si>
  <si>
    <t>Richard Jacoby</t>
  </si>
  <si>
    <t>(O) 789165 (Di) 154608</t>
  </si>
  <si>
    <t>1927Airc</t>
    <phoneticPr fontId="22" type="noConversion"/>
  </si>
  <si>
    <t>1928Rail</t>
    <phoneticPr fontId="22" type="noConversion"/>
  </si>
  <si>
    <t>DP</t>
    <phoneticPr fontId="22" type="noConversion"/>
  </si>
  <si>
    <t>RR</t>
    <phoneticPr fontId="22" type="noConversion"/>
  </si>
  <si>
    <t>RF</t>
    <phoneticPr fontId="22" type="noConversion"/>
  </si>
  <si>
    <t>RR</t>
    <phoneticPr fontId="22" type="noConversion"/>
  </si>
  <si>
    <t>RF</t>
    <phoneticPr fontId="22" type="noConversion"/>
  </si>
  <si>
    <t>DP</t>
    <phoneticPr fontId="22" type="noConversion"/>
  </si>
  <si>
    <t>Primus Otto Dorer</t>
  </si>
  <si>
    <t>Archibald Frazer Nash</t>
  </si>
  <si>
    <t>Robert Le Rossignol</t>
  </si>
  <si>
    <t>William L. Van Keuren</t>
  </si>
  <si>
    <t>(RN) 1919/5/2</t>
  </si>
  <si>
    <t>Alfred Swan</t>
  </si>
  <si>
    <t>Willy Ledig, Walther-Winfried Loebe</t>
  </si>
  <si>
    <t>George Thornton-Norris</t>
  </si>
  <si>
    <t>Howard Clive Mayers</t>
  </si>
  <si>
    <t>Alfred Nutsford</t>
  </si>
  <si>
    <t>Douglas George King Moss</t>
  </si>
  <si>
    <t>Harold E. Gray</t>
  </si>
  <si>
    <t>Eric Beecroft Moss</t>
  </si>
  <si>
    <t>George E. Inman, William P. Zabel</t>
  </si>
  <si>
    <t>Hygrade Engineering Co. Inc.</t>
  </si>
  <si>
    <t>Miner P. Wetmore</t>
  </si>
  <si>
    <t>(O) 175868 (Di) 256351</t>
  </si>
  <si>
    <t>Ralph Beman</t>
  </si>
  <si>
    <t>Mechanism Limited</t>
  </si>
  <si>
    <t>two-thirds to Arthur Joseph Hughes, Henry Hughes &amp; Son, Limited</t>
  </si>
  <si>
    <t>Philip Francis Everitt</t>
  </si>
  <si>
    <t>Frederick William Meredith</t>
  </si>
  <si>
    <t>Charles Edward Meyer Butler</t>
  </si>
  <si>
    <t>Wilfred Owen Davis</t>
  </si>
  <si>
    <t>Loris Edwin Mitchell, Arthur James White</t>
  </si>
  <si>
    <t>Frederick Shand Goucher</t>
  </si>
  <si>
    <t>Tulite Auto Bulb Company</t>
  </si>
  <si>
    <t>Walter D. Frank, Francis M. Case</t>
  </si>
  <si>
    <t>Colin G. Fink</t>
  </si>
  <si>
    <t>John E. Randall, Leroy T. Reser</t>
  </si>
  <si>
    <t>Henry Hughes &amp; Son Limited</t>
  </si>
  <si>
    <t>Schedule B - Lucas-Rotax Patents</t>
  </si>
  <si>
    <t>Joseph Lucas Limited</t>
  </si>
  <si>
    <t>Alfred Massey-Allen</t>
  </si>
  <si>
    <t>D. Napier &amp; Son Limited</t>
  </si>
  <si>
    <t>Max Hartmann, Albert Wettstein</t>
  </si>
  <si>
    <t>Switzerland</t>
  </si>
  <si>
    <t>Karl Miescher, Albert Wettstein</t>
  </si>
  <si>
    <t>Leopold Ruzicka</t>
  </si>
  <si>
    <t>Karl Miescher, Ludwig Ehmann, Albert Wettstein</t>
  </si>
  <si>
    <t>Frank Raymond Faber Ramsay</t>
  </si>
  <si>
    <t>Rotax Limited</t>
  </si>
  <si>
    <t>Ivan Jack Hulbert</t>
  </si>
  <si>
    <t>Norman Hendry, John Andrew Laird</t>
  </si>
  <si>
    <t>(O) 811003 (Di) 18674</t>
  </si>
  <si>
    <t>Erich Schingscholl</t>
  </si>
  <si>
    <t>Lodewijk Hamburger, Dirk Lely, Jr.</t>
  </si>
  <si>
    <t>John H. Anderson</t>
  </si>
  <si>
    <t>Wilford J. Winninghoff</t>
  </si>
  <si>
    <t>Dirk Lely Jr.</t>
  </si>
  <si>
    <t>Jonathan Force</t>
  </si>
  <si>
    <t>Antonius de Graaff, Dirk Lely Jr.</t>
  </si>
  <si>
    <t>The Electron Relay Company</t>
  </si>
  <si>
    <t>James S. Lawhead, Ralph Mozingo, Jacob van de Kamp</t>
  </si>
  <si>
    <t>Robert S. Burnap</t>
  </si>
  <si>
    <t>(RN) 1919/11/29</t>
  </si>
  <si>
    <t>Matt Luckiesh, Don A. Dewey</t>
  </si>
  <si>
    <t>(O) 832121 (Di) 190512</t>
  </si>
  <si>
    <t>James E. Bevins</t>
  </si>
  <si>
    <t>Wladimir A. Reichel, Morris F. Ketay</t>
  </si>
  <si>
    <t>Stephen Cerstvik</t>
  </si>
  <si>
    <t>(O) 195161 (Di) 255483</t>
  </si>
  <si>
    <t>(O) 474892 (Di) 650734</t>
  </si>
  <si>
    <t>Organon Inc.</t>
  </si>
  <si>
    <t>(O) 474726 (Di) 650732</t>
  </si>
  <si>
    <t>Re.22941 (2401775)</t>
  </si>
  <si>
    <t>Schedule D - Applications</t>
  </si>
  <si>
    <t>Schedule E - Patents</t>
  </si>
  <si>
    <t>Schering Aktiengesellschaft</t>
  </si>
  <si>
    <t>Walther-Winfried Loebe, Max Grossmann</t>
  </si>
  <si>
    <t>Carl Martin</t>
  </si>
  <si>
    <t>Louis A. Maurer</t>
  </si>
  <si>
    <t>Carl Severin</t>
  </si>
  <si>
    <t>Jan Bergmans</t>
  </si>
  <si>
    <t>Val J. Roper</t>
  </si>
  <si>
    <t>Erich Mickley</t>
  </si>
  <si>
    <t>Walter C. Ibele, Euclid Village</t>
  </si>
  <si>
    <t>Antonius de Graaff</t>
  </si>
  <si>
    <t>Anton Raus, Elmer B. Isaac</t>
  </si>
  <si>
    <t>Jan Hendrik de Boer</t>
  </si>
  <si>
    <t>Michael E. McGowan</t>
  </si>
  <si>
    <t>William T. Cowhig</t>
  </si>
  <si>
    <t>George E. Inman</t>
  </si>
  <si>
    <t>Hans Wolff, Fritz Koref, Franz Skaupy</t>
  </si>
  <si>
    <t>Roscoe G. Phelps, Anton Raus</t>
  </si>
  <si>
    <t>Walther-Winfried Loebe, Willy Ledig</t>
  </si>
  <si>
    <t>Friedrich Hildebrandt</t>
  </si>
  <si>
    <t>Hans Herloff Inhoffen</t>
  </si>
  <si>
    <t>Erwin Schwenk</t>
  </si>
  <si>
    <t>Emanuel B. Hershberg</t>
  </si>
  <si>
    <t>Schedule E - Applications</t>
  </si>
  <si>
    <t>Filing date</t>
    <phoneticPr fontId="22" type="noConversion"/>
  </si>
  <si>
    <t>1921Flur</t>
  </si>
  <si>
    <t>Elmer M. Bimberg</t>
  </si>
  <si>
    <t>William D. Bumstead, Edward A. Aurada</t>
  </si>
  <si>
    <t>Adolf Fehse</t>
  </si>
  <si>
    <t>Schedule B - Bendix Patent Applications</t>
  </si>
  <si>
    <t>Robert W. Sutton, Albert H. Winkler</t>
  </si>
  <si>
    <t>Robert W. Sloane, Elmer M. Bimberg</t>
  </si>
  <si>
    <t>Willi Fielitz, Kreis Teltow, Anton Schlindwein</t>
  </si>
  <si>
    <t>Paul Specht</t>
  </si>
  <si>
    <t>Willy Lohs</t>
  </si>
  <si>
    <t>Rudolf Neumeister, Heinz Grosshans</t>
  </si>
  <si>
    <t>Helmut Rehm, Hans Schuchmann</t>
  </si>
  <si>
    <t>patent</t>
    <phoneticPr fontId="22" type="noConversion"/>
  </si>
  <si>
    <t>type</t>
    <phoneticPr fontId="22" type="noConversion"/>
  </si>
  <si>
    <t>1925Vent</t>
    <phoneticPr fontId="22" type="noConversion"/>
  </si>
  <si>
    <t>Emil Geisel</t>
  </si>
  <si>
    <t>(RN) 1929/8/21</t>
  </si>
  <si>
    <t>(RN) 1926/12/24</t>
  </si>
  <si>
    <t>Caspar Reiter, Max Stäger</t>
  </si>
  <si>
    <t>Erwin Schwenk, Bradley Whitman</t>
  </si>
  <si>
    <t>Cleveland H. Quackenbush, James C. Smedley</t>
  </si>
  <si>
    <t>James M. Richardson</t>
  </si>
  <si>
    <t>Harrie B. Kenyon</t>
  </si>
  <si>
    <t>Harvey H. Slater</t>
  </si>
  <si>
    <t>William D. Coolidge</t>
  </si>
  <si>
    <t>Harry H. Needham</t>
  </si>
  <si>
    <t>George M. J. Mackay</t>
  </si>
  <si>
    <t>Walther-Winfried Loebe, Willy Ledig, Heinrich Asmussen</t>
  </si>
  <si>
    <t>Caspar Reiter</t>
  </si>
  <si>
    <t>Frank M. Dorsey, Harold D. Blake</t>
  </si>
  <si>
    <t>Daniel K. Wright</t>
  </si>
  <si>
    <t>Wilber M. Johnson</t>
  </si>
  <si>
    <t>Norman Robert Campbell, Christopher Gabriel Eden</t>
  </si>
  <si>
    <t>William Lloyd van Keuren</t>
  </si>
  <si>
    <t>(O) 793567 (Di) 818835</t>
  </si>
  <si>
    <t>Barend H. Berkenvelder</t>
  </si>
  <si>
    <t>Joseph D. Ceader, Carl Severin</t>
  </si>
  <si>
    <t>(RN) 1929/4/26</t>
  </si>
  <si>
    <t>Deutsche Gasglühlicht Aktiengesellschaft (Auergesellschaft)</t>
  </si>
  <si>
    <t>Franz Skaupy</t>
  </si>
  <si>
    <t>Western Electric Company</t>
  </si>
  <si>
    <t>William G. Houskeeper</t>
  </si>
  <si>
    <t>Charles F. Lorenz</t>
  </si>
  <si>
    <t>James E. Marshall</t>
  </si>
  <si>
    <t>André Paul Jan Soepnel, Willem Hendrik Stigter</t>
  </si>
  <si>
    <t>John F. Donovan, Frank J. Malloy</t>
  </si>
  <si>
    <t>Newell T. Gordon</t>
  </si>
  <si>
    <t>(RN) 1929/3/23</t>
  </si>
  <si>
    <t>Fritz Koref, Kurt Moers</t>
  </si>
  <si>
    <t>Willy Ledig</t>
  </si>
  <si>
    <t>Henricus Gooskens, Johannes Marinus van der Poel</t>
  </si>
  <si>
    <t>Keiji Tsuyuki</t>
  </si>
  <si>
    <t>Japan</t>
  </si>
  <si>
    <t>Yoshiro Otaka</t>
  </si>
  <si>
    <t>Walter Noddak, Ida Noddak</t>
  </si>
  <si>
    <t>Ralph B. Thomas</t>
  </si>
  <si>
    <t>Carl A. Cotman, Daniel K. Wright</t>
  </si>
  <si>
    <t>Henry H. Helmbright</t>
  </si>
  <si>
    <t>Kitsuzo Fuwa, Toshizo Okugawa</t>
  </si>
  <si>
    <t>Johannes Marinus van der Poel, Henricus Gooskens</t>
  </si>
  <si>
    <t>Rudolf Kunath</t>
  </si>
  <si>
    <t>William Paul Zabel, Lylburn Eugene Reakes</t>
  </si>
  <si>
    <t>Aladar Pacz</t>
  </si>
  <si>
    <t>Patent-Treuhand-Gesellschaft für-Elektrische Glühlampen mbH</t>
  </si>
  <si>
    <t>Karl Finckh</t>
  </si>
  <si>
    <t>Leon Cammen</t>
  </si>
  <si>
    <t>Clemens A. Laise</t>
  </si>
  <si>
    <t>John F. Donovan, George Illingworth</t>
  </si>
  <si>
    <t>D88782</t>
  </si>
  <si>
    <t>Matt Luckiesh</t>
  </si>
  <si>
    <t>(RN) 1923/1/24</t>
  </si>
  <si>
    <t>Karl Miescher, Werner Fischer</t>
  </si>
  <si>
    <t>Karl Miescher, Caesar Scholz</t>
  </si>
  <si>
    <t>Karl Miescher, Charles Meystre</t>
  </si>
  <si>
    <t>Louis F. Fieser, Srinivasa Rajagopalan</t>
  </si>
  <si>
    <t>Edward C. Kendall, Gerard A. Fleisher</t>
  </si>
  <si>
    <t>Schedule B - Patents</t>
  </si>
  <si>
    <t>Society of Chemical Industry in Basel</t>
  </si>
  <si>
    <t>Charles Meystre, Placidus A. Plattner, Albert Wettstein</t>
  </si>
  <si>
    <t>Albert Wettstein, Charles Meystre</t>
  </si>
  <si>
    <t xml:space="preserve">Leroy G. Leighton </t>
  </si>
  <si>
    <t>Irving H. Van Horn, Leroy G. Leighton</t>
  </si>
  <si>
    <t>Franz Skaupy, Fritz Koret</t>
  </si>
  <si>
    <t>Francis J. Rippl</t>
  </si>
  <si>
    <t>Francis Rippl, Frank J. Malloy</t>
  </si>
  <si>
    <t>Lubrigaiters Limited</t>
  </si>
  <si>
    <t>Thoms James Dennison</t>
  </si>
  <si>
    <t>Samuel L. Hoyt</t>
  </si>
  <si>
    <t>Marcello Pirani</t>
  </si>
  <si>
    <t>Max Ettinger</t>
  </si>
  <si>
    <t>Maurice Descarsin</t>
  </si>
  <si>
    <t>John O. Geissbuhler</t>
  </si>
  <si>
    <t>John E. Stanworth, Alan E. Dale</t>
  </si>
  <si>
    <t>Carl T. Fuller</t>
  </si>
  <si>
    <t>Leroy J. Buttolph</t>
  </si>
  <si>
    <t>Vincent G. Jarman</t>
  </si>
  <si>
    <t>Anne Patricia Dovey, Maurice Manners, John Henry Partridge</t>
  </si>
  <si>
    <t>Cromwell A. B. Halvorson, Jr.</t>
  </si>
  <si>
    <t>(O) 589249 (Di) 3220</t>
  </si>
  <si>
    <t>Melvin L. Stone</t>
  </si>
  <si>
    <t>Fredrick S. Lamb, Herman E. Hermanson</t>
  </si>
  <si>
    <t>Theodore Millner, Paul Túry</t>
  </si>
  <si>
    <t>John T. Fagan, John J. Malloy</t>
  </si>
  <si>
    <t>Robert N. Falge</t>
  </si>
  <si>
    <t>Alfred Rüttenauer, Georg Gaidies</t>
  </si>
  <si>
    <t>Willem Koning</t>
  </si>
  <si>
    <t>Ted E. Foulke</t>
  </si>
  <si>
    <t>(RN) 1936/6/25</t>
  </si>
  <si>
    <t>Herbert E. Metcalf</t>
  </si>
  <si>
    <t>Leo R. Peters</t>
  </si>
  <si>
    <t>Karl Duldner, Roman Wadelka</t>
  </si>
  <si>
    <t>Reginald Edwards Leeds, Bernard Phinease Dudding</t>
  </si>
  <si>
    <t>(O) 68699 (Di) 155061</t>
  </si>
  <si>
    <t>Walter J. Geiger</t>
  </si>
  <si>
    <t>Ernest A. Howard, Kenneth D. Scott</t>
  </si>
  <si>
    <t>Emma B. Pinkle</t>
  </si>
  <si>
    <t>Heinrich Asmussen, Hans Normann von Funcke</t>
  </si>
  <si>
    <t>John Flaws Jr.</t>
  </si>
  <si>
    <t>Johannes Aisch, Heinrich Asmussen</t>
  </si>
  <si>
    <t>John C. Wilson</t>
  </si>
  <si>
    <t>Charles W. Hunt, Daniel S. Gustin</t>
  </si>
  <si>
    <t>John W. Marden, George Meister</t>
  </si>
  <si>
    <t>Wells J. Meeker, Lucas Renftle</t>
  </si>
  <si>
    <t>Arthur J. White, Percy J. Johnson</t>
  </si>
  <si>
    <t>John T. Fagan, Francis J. Rippl, John J. Malloy</t>
  </si>
  <si>
    <t>John T. Fagan, Roscoe G. Phelps</t>
  </si>
  <si>
    <t>Karl Mey</t>
  </si>
  <si>
    <t>Irving H. Van Horn, Wilbur A. Pipkin</t>
  </si>
  <si>
    <t>(RN) 1928/6/20</t>
  </si>
  <si>
    <t>Marvin Pipkin</t>
  </si>
  <si>
    <t>Paul O. Cartun</t>
  </si>
  <si>
    <t>Walter Sobczak, Georg Thal</t>
  </si>
  <si>
    <t>John Flaws, Jr.</t>
  </si>
  <si>
    <t>Johannes A. van Liempt</t>
  </si>
  <si>
    <t>General Electric Company</t>
  </si>
  <si>
    <t>Roy Winne</t>
  </si>
  <si>
    <t>John W. Janvier</t>
  </si>
  <si>
    <t>Dale C. Hughes</t>
  </si>
  <si>
    <t>Albert L. Thompson</t>
  </si>
  <si>
    <t>William C. Pross</t>
  </si>
  <si>
    <t>From Schedule A of final judgment:</t>
    <phoneticPr fontId="22" type="noConversion"/>
  </si>
  <si>
    <t>From Schedule B of final judgment:</t>
    <phoneticPr fontId="22" type="noConversion"/>
  </si>
  <si>
    <t>Re.22184</t>
  </si>
  <si>
    <t>pool_id</t>
    <phoneticPr fontId="22" type="noConversion"/>
  </si>
  <si>
    <t>John T. Fagan, Cleveland H. Quackenbush</t>
  </si>
  <si>
    <t>(O) 35768 (Di) 79001</t>
  </si>
  <si>
    <t>John B. Taylor</t>
  </si>
  <si>
    <t>George A. Freeman, Howard J. Conlin</t>
  </si>
  <si>
    <t>Poor Scan Quality, Please double check dates with other sources if possible</t>
  </si>
  <si>
    <t>Eugen Hurwitz</t>
  </si>
  <si>
    <t>(O) 189514 (Di) 197568</t>
  </si>
  <si>
    <t>Roscow G. Phelps</t>
  </si>
  <si>
    <t>Marinus Wildeboer</t>
  </si>
  <si>
    <t>William P. Zabel</t>
  </si>
  <si>
    <t>Chalmers Morehead, Daniel S. Gustin</t>
  </si>
  <si>
    <t>John M. Campbell</t>
  </si>
  <si>
    <t>(O) 224287 (Co) 461537</t>
  </si>
  <si>
    <t>Henry K. Richardson</t>
  </si>
  <si>
    <t>Jakob Regenstreif</t>
  </si>
  <si>
    <t>Alfred Sittel</t>
  </si>
  <si>
    <t>David Reginald Davies</t>
  </si>
  <si>
    <t>Alfred H. Laidig, Frederick T. May</t>
  </si>
  <si>
    <t>Millard J. Hamner</t>
  </si>
  <si>
    <t>William C. Lilliendahl</t>
  </si>
  <si>
    <t>Rudolph Nagy</t>
  </si>
  <si>
    <t>Colin G. Fink, Walter F. Koerner</t>
  </si>
  <si>
    <t>Frederic W. Gill</t>
  </si>
  <si>
    <t>Roy E. Winne</t>
  </si>
  <si>
    <t>Cornelis A. H. Mulder</t>
  </si>
  <si>
    <t>(RN) 1929/8/22</t>
  </si>
  <si>
    <t>Heinrich Martin Hubert Reufel, Hendrik de Jong, Willem Gustaaf Frederik Wentink</t>
  </si>
  <si>
    <t>Willard F. Greenwald</t>
  </si>
  <si>
    <t>Gwilym F. Prideaux</t>
  </si>
  <si>
    <t>William G. Davis, Harry C. Atkins</t>
  </si>
  <si>
    <t>Walther Dawihl, Wolfgang Thouret</t>
  </si>
  <si>
    <t>Joachim Kühne, Albert Dresler</t>
  </si>
  <si>
    <t>James R. Lait, Mercello Pirani</t>
  </si>
  <si>
    <t>Wilfrid H. Lund</t>
  </si>
  <si>
    <t>Martin Reger, Hans Jancke</t>
  </si>
  <si>
    <t>Reginald E. Leeds, Marcello Pirani</t>
  </si>
  <si>
    <t>Alfred Bergmann, Walther Dawihl, Otto Fritsch</t>
  </si>
  <si>
    <t>Wilber M. Johnson, Elmer B. Isaac</t>
  </si>
  <si>
    <t>Daniel Mullan, Hugo Bauer</t>
  </si>
  <si>
    <t>Gordon H. Jaycox</t>
  </si>
  <si>
    <t>John E. Brock, Dominick Zanotti</t>
  </si>
  <si>
    <t>Exhibit A - Pending Applications</t>
  </si>
  <si>
    <t>Edward G. F. Arnott</t>
  </si>
  <si>
    <t>abandoned</t>
  </si>
  <si>
    <t>Julien J. Mason</t>
  </si>
  <si>
    <t>Kurt Agte</t>
  </si>
  <si>
    <t>Kitsuzo Fuwa, Yuichiro Shiraishi</t>
  </si>
  <si>
    <t>Johannes Antonius Maria van Liempt</t>
  </si>
  <si>
    <t>General Motors Research Corporation</t>
  </si>
  <si>
    <t>Peter Herre</t>
  </si>
  <si>
    <t>Rinzo Hagiwara</t>
  </si>
  <si>
    <t>Roderick S. McNeil, Emile V. Bitterli</t>
  </si>
  <si>
    <t>Alfred T. Gaskill</t>
  </si>
  <si>
    <t>Henry E. Butler</t>
  </si>
  <si>
    <t>Junius Dana</t>
  </si>
  <si>
    <t>Charles L. Fantur</t>
  </si>
  <si>
    <t>Irving H . Van Horn</t>
  </si>
  <si>
    <t>Louis L. Matson</t>
  </si>
  <si>
    <t>Robert A. Kuebler</t>
  </si>
  <si>
    <t>William F. MacGregor</t>
  </si>
  <si>
    <t>Karl Miescher, Hugo Frey, Charles Meystre, Albert Wettstein</t>
  </si>
  <si>
    <t>Schedule B - Applications</t>
  </si>
  <si>
    <t>Charles Meystre, Albert Wettstein</t>
  </si>
  <si>
    <t>Royal F. Strickland</t>
  </si>
  <si>
    <t>(RN) 1924/4/23</t>
  </si>
  <si>
    <t>Gorton R. Fonda</t>
  </si>
  <si>
    <t>Arthur Partzsch</t>
  </si>
  <si>
    <t>Philip K. Devers</t>
  </si>
  <si>
    <t>John T. Fagan, Francis J. Rippl</t>
  </si>
  <si>
    <t>Wilfrid Griffin</t>
  </si>
  <si>
    <t>Conrad E. Bechard</t>
  </si>
  <si>
    <t>Joseph E. Stone, John O. Geissbuhler</t>
  </si>
  <si>
    <t>Alfred Greiner, Elliot Q. Adams</t>
  </si>
  <si>
    <t>Gordon M. Forker</t>
  </si>
  <si>
    <t>(O) 578306 (Di) 693356</t>
  </si>
  <si>
    <t>Ernest W. Allen</t>
  </si>
  <si>
    <t>Exhibit B - Patents</t>
    <phoneticPr fontId="43" type="noConversion"/>
  </si>
  <si>
    <t>General Electric Company</t>
    <phoneticPr fontId="43" type="noConversion"/>
  </si>
  <si>
    <t>Harold D. Blake, Walter J. Geiger</t>
    <phoneticPr fontId="43" type="noConversion"/>
  </si>
  <si>
    <t>Frank H. Rudd</t>
    <phoneticPr fontId="43" type="noConversion"/>
  </si>
  <si>
    <t>Kazuo Setoguchi</t>
    <phoneticPr fontId="43" type="noConversion"/>
  </si>
  <si>
    <t>Japan</t>
    <phoneticPr fontId="43" type="noConversion"/>
  </si>
  <si>
    <t>Fredrick S. Lamb</t>
  </si>
  <si>
    <t>Robert F. Hardwick</t>
  </si>
  <si>
    <t>Leonard F. Kramel</t>
  </si>
  <si>
    <t>Jan Cornelis Lokker, Hendrik Filippo, Pancras Schoonenberg</t>
  </si>
  <si>
    <t>John F. Donovan</t>
  </si>
  <si>
    <t>Hendrik de Jong, Willem Koning</t>
  </si>
  <si>
    <t>Kurt Wiegand, Alexander Koenig</t>
  </si>
  <si>
    <t>Richard E. Smith</t>
  </si>
  <si>
    <t>Bernard Phineas Dudding, Reginald Edward Leeds</t>
  </si>
  <si>
    <t>(O) 669189 (Di) 116583</t>
  </si>
  <si>
    <t>Fredrick S. Lamb, Herman E. Hermanson</t>
    <phoneticPr fontId="43" type="noConversion"/>
  </si>
  <si>
    <t>Exhibit B - Applications</t>
    <phoneticPr fontId="43" type="noConversion"/>
  </si>
  <si>
    <t>abandoned</t>
    <phoneticPr fontId="43" type="noConversion"/>
  </si>
  <si>
    <t>D9964</t>
    <phoneticPr fontId="43" type="noConversion"/>
  </si>
  <si>
    <t>(RN) 1936/5/15</t>
  </si>
  <si>
    <t>Ernest Anton Lederer</t>
  </si>
  <si>
    <t>(O) 575859 (Di) 67099</t>
  </si>
  <si>
    <t>(RN) 1937/11/23</t>
  </si>
  <si>
    <t>Charles V. Iredell, Thomas J. Hankins</t>
  </si>
  <si>
    <t>John William McNall</t>
  </si>
  <si>
    <t>John H. Ramage</t>
  </si>
  <si>
    <t>Jame Bryant Whitmore, Frank A. Newcombe</t>
  </si>
  <si>
    <t>Sten Wadsten</t>
  </si>
  <si>
    <t>Norman C. Beese</t>
  </si>
  <si>
    <t>Milton A. Hoyt</t>
  </si>
  <si>
    <t>James H. Green, Henry K. Richardson</t>
  </si>
  <si>
    <t>Frederic E. Sutter</t>
  </si>
  <si>
    <t>Robert Fred Hays Jr.</t>
  </si>
  <si>
    <t>Hermann Krefft, Kurt Larché</t>
  </si>
  <si>
    <t>Hans Jancke, Martin Reger</t>
  </si>
  <si>
    <t>Harold D. Blake</t>
  </si>
  <si>
    <t>Walter J. Geiger, Alfred T. Gaskill</t>
  </si>
  <si>
    <t>Wilhelm Hagen, Wolfgang Thouret, Josef Kern</t>
  </si>
  <si>
    <t>John J. Malloy</t>
  </si>
  <si>
    <t>Paul O. Cartun, Will D. Pew</t>
  </si>
  <si>
    <t>James Thomson Anderson</t>
    <phoneticPr fontId="43" type="noConversion"/>
  </si>
  <si>
    <t>William Makenny</t>
  </si>
  <si>
    <t>John W. Marden</t>
  </si>
  <si>
    <t>William L. Sullivan</t>
  </si>
  <si>
    <t>Raymond H. Beebe</t>
  </si>
  <si>
    <t>2013432 (Re.22252)</t>
  </si>
  <si>
    <t>Maurice E. Bell, Leo J. Berberich</t>
  </si>
  <si>
    <t>John T. Marshall, by executrix Eliza T. Marshall</t>
  </si>
  <si>
    <t>Cooper Hewitt Electric Company</t>
  </si>
  <si>
    <t>Frederick G. Keyes</t>
  </si>
  <si>
    <t>John T. Fagan</t>
  </si>
  <si>
    <t>Fred C. March</t>
  </si>
  <si>
    <t>Daniel S. Gustin, Daniel Mullan</t>
  </si>
  <si>
    <t>William J. Scott, William T. Cowhig</t>
  </si>
  <si>
    <t>Jean Bernard Ayral</t>
  </si>
  <si>
    <t>Ernest Friederich, Wilfried Meyer</t>
  </si>
  <si>
    <t>Michael E. McGowan, Walter Russell Umbach</t>
  </si>
  <si>
    <t>Rupert O. Morse</t>
  </si>
  <si>
    <t>James W. Greenbowe, Alfred H. Laidig, William F. Kelly Jr.</t>
  </si>
  <si>
    <t>Albert W. Wainio</t>
  </si>
  <si>
    <t>James H. Green</t>
  </si>
  <si>
    <t>(O) 496943 (Di) 746713</t>
  </si>
  <si>
    <t>William H. Stiles, Paul F. Wagener, John F. Donovan</t>
  </si>
  <si>
    <t>Gustav Müller</t>
  </si>
  <si>
    <t>Daniel S. Gustin</t>
  </si>
  <si>
    <t>John C. Lum, George W. Jernstedt</t>
  </si>
  <si>
    <t>Helmut Cypra</t>
  </si>
  <si>
    <t>Otto Mayr</t>
  </si>
  <si>
    <t>Leonard Griffiths, Sidney H. Franklin</t>
  </si>
  <si>
    <t>Charles V. Iredell, Robert J. Enrico</t>
  </si>
  <si>
    <t>Nicholas F. Cerulli, John W. McNall</t>
  </si>
  <si>
    <t>Roscoe G. Phelps</t>
  </si>
  <si>
    <t>Christiaan G. Blom</t>
  </si>
  <si>
    <t>Henricus Gooskens, Pieter Leydens</t>
  </si>
  <si>
    <t>Kurt Wiegand</t>
  </si>
  <si>
    <t>Wilhelm Höpp</t>
  </si>
  <si>
    <t>James B. Whitmore, William Makenny, Frank A. Newcombe</t>
  </si>
  <si>
    <t>(O) 383359 (Co) 493338</t>
  </si>
  <si>
    <t>Fritz Groebe</t>
  </si>
  <si>
    <t>Jean Augier</t>
  </si>
  <si>
    <t>Eugen Sippel</t>
  </si>
  <si>
    <t>Robert W. Wollentin, Rudolph Nagy</t>
  </si>
  <si>
    <t>Gerald E. Reinker</t>
  </si>
  <si>
    <t>Andre Valentin</t>
  </si>
  <si>
    <t>Johannes Kiefer</t>
  </si>
  <si>
    <t>Hermann R. Eggers</t>
  </si>
  <si>
    <t>Herbert Dallmann</t>
  </si>
  <si>
    <t>Max Stöhr</t>
  </si>
  <si>
    <t>(RN) 1937/7/29</t>
  </si>
  <si>
    <t>Georges Belfils, Pierre G. Laurent</t>
  </si>
  <si>
    <t>Walter J. Geiger, Wilson Davidson</t>
  </si>
  <si>
    <t>Gábor Veszi</t>
  </si>
  <si>
    <t>Imre Brody</t>
  </si>
  <si>
    <t>Irving H. Van Horn</t>
  </si>
  <si>
    <t>Georg Thal</t>
  </si>
  <si>
    <t>Raymond W. Goodwin</t>
  </si>
  <si>
    <t>Alfred H. Laidig, Henry K. Richardson</t>
  </si>
  <si>
    <t>Frank A. Newcombe</t>
  </si>
  <si>
    <t>Ruolph Nagy, Robert William Wollentin</t>
  </si>
  <si>
    <t>Robert W. Wollentin</t>
  </si>
  <si>
    <t>John W. Garrison, Albert B. Lovett</t>
  </si>
  <si>
    <t>Daniel Mullan, Theodore F. May, Hugo Bauer</t>
  </si>
  <si>
    <t>Leonard John Davies, Henry William Hugh Warren, Gavin Hamilton</t>
  </si>
  <si>
    <t>Kenneth D. Scott, Daniel K. Wright</t>
  </si>
  <si>
    <t>Noboru Yamashita</t>
  </si>
  <si>
    <t>Frank E. Carlson</t>
  </si>
  <si>
    <t>William Victor Jeffs</t>
  </si>
  <si>
    <t>Arthur Rosch, Herbert Neumann</t>
  </si>
  <si>
    <t>Wolfgang Stöber</t>
  </si>
  <si>
    <t>Charles Sykes</t>
  </si>
  <si>
    <t>John H. T. Millington</t>
  </si>
  <si>
    <t>Rudolph Nagy, Eugene P. Etzel</t>
  </si>
  <si>
    <t>Kenneth R. Haley</t>
  </si>
  <si>
    <t>Jean Quesseque</t>
  </si>
  <si>
    <t>Johannes Antonius Maria van Liempt, Willy Geiss</t>
  </si>
  <si>
    <t>Frederick W. Salz</t>
  </si>
  <si>
    <t>Miner R. Wetmore</t>
  </si>
  <si>
    <t>George H. Lockwood, Robert E. Peterson</t>
  </si>
  <si>
    <t>Roger Brandt</t>
  </si>
  <si>
    <t>Louis R. O'Neill</t>
  </si>
  <si>
    <t>Thomas H. Heine, George S. Evans</t>
  </si>
  <si>
    <t>Naamlooze Vennootschap Philips Gloeilampenfabrieken</t>
  </si>
  <si>
    <t>Gilles Holst</t>
  </si>
  <si>
    <t>William R. Burrows</t>
  </si>
  <si>
    <t>August W. Seitz</t>
  </si>
  <si>
    <t>Arno Greiner, Otto R. Wollentin by Robert W. Wollentin, administrator</t>
  </si>
  <si>
    <t>John W. Fulton</t>
  </si>
  <si>
    <t>Joseph E. Stone</t>
  </si>
  <si>
    <t>Kenneth C. Lyon</t>
  </si>
  <si>
    <t>Alton G. Foote</t>
  </si>
  <si>
    <t>Elmer B. Isaac, Francis J. Rippl</t>
  </si>
  <si>
    <t>Charles N. Huntley, John A. Campbell</t>
  </si>
  <si>
    <t>John Edwin Stanworth</t>
  </si>
  <si>
    <t>Winfield H. Willis</t>
  </si>
  <si>
    <t>Lawrence R. Keiffer</t>
  </si>
  <si>
    <t>Leo R. Peters</t>
    <phoneticPr fontId="43" type="noConversion"/>
  </si>
  <si>
    <t>Jean Augier, Pierre Gabriel Laurent</t>
  </si>
  <si>
    <t>Stuart McLean</t>
  </si>
  <si>
    <t>Paul O. Cartun</t>
    <phoneticPr fontId="43" type="noConversion"/>
  </si>
  <si>
    <t>Robert F. Hardwick</t>
    <phoneticPr fontId="43" type="noConversion"/>
  </si>
  <si>
    <t>Germany, Hungary</t>
  </si>
  <si>
    <t>Reginald Edwards Leeds</t>
  </si>
  <si>
    <t>Herbert Buchwald, Erwin Marx</t>
  </si>
  <si>
    <t>George Dewar</t>
  </si>
  <si>
    <t>Fritz Herrlinger</t>
  </si>
  <si>
    <t>Ludwig Nolte</t>
  </si>
  <si>
    <t>(RN) 1938/5/19</t>
  </si>
  <si>
    <t>Viktor Aigner, Bernhard Nerlich</t>
  </si>
  <si>
    <t>Mary R. Andrews, deceased and represented by Andrews Westendorp, executrix</t>
    <phoneticPr fontId="43" type="noConversion"/>
  </si>
  <si>
    <t>Heinrich Asmussen</t>
    <phoneticPr fontId="43" type="noConversion"/>
  </si>
  <si>
    <t>Germany</t>
    <phoneticPr fontId="43" type="noConversion"/>
  </si>
  <si>
    <t>Wilhelm Dunkel</t>
    <phoneticPr fontId="43" type="noConversion"/>
  </si>
  <si>
    <t>Herbert Gawehn</t>
  </si>
  <si>
    <t>Arnold Mitchell Roberts</t>
  </si>
  <si>
    <t>John W. Boag, John C. Read</t>
  </si>
  <si>
    <t>Takeo Sato</t>
  </si>
  <si>
    <t>Anton Bellm</t>
  </si>
  <si>
    <t>March Rudolph Moritz, Ian Claude</t>
  </si>
  <si>
    <t>Vitaly Grosse</t>
  </si>
  <si>
    <t>Hans Schuhmann</t>
  </si>
  <si>
    <t>(RN) 1938/3/30</t>
  </si>
  <si>
    <t>Anton Lederer, Catherine Danzer, General Conrad Bands, executors of Anton Lederer</t>
  </si>
  <si>
    <t>Daniel Mullan</t>
  </si>
  <si>
    <t>Emilio Romanelli</t>
  </si>
  <si>
    <t>Adolph C. Szafran, Robert L. Imboden</t>
    <phoneticPr fontId="43" type="noConversion"/>
  </si>
  <si>
    <t>William B. Landgraf</t>
    <phoneticPr fontId="43" type="noConversion"/>
  </si>
  <si>
    <t>Melvin L. Stone</t>
    <phoneticPr fontId="43" type="noConversion"/>
  </si>
  <si>
    <t>Albert F. Pate, Howard A, Wyman</t>
    <phoneticPr fontId="43" type="noConversion"/>
  </si>
  <si>
    <t>Conrad E. Bechard, Waldemar P. Schoenoff</t>
    <phoneticPr fontId="43" type="noConversion"/>
  </si>
  <si>
    <t>(O) 263438 (Di) 399742</t>
    <phoneticPr fontId="43" type="noConversion"/>
  </si>
  <si>
    <t>Charles E. Beck</t>
    <phoneticPr fontId="43" type="noConversion"/>
  </si>
  <si>
    <t>Paul A. Carson</t>
    <phoneticPr fontId="43" type="noConversion"/>
  </si>
  <si>
    <t>(O) 263458 (Di) 399783</t>
    <phoneticPr fontId="43" type="noConversion"/>
  </si>
  <si>
    <t>Max E. Arnold</t>
    <phoneticPr fontId="43" type="noConversion"/>
  </si>
  <si>
    <t>Hubert Korndörfer</t>
  </si>
  <si>
    <t>Karl A. Lohausen</t>
  </si>
  <si>
    <t>Werner Oesinghaus</t>
  </si>
  <si>
    <t>Karl Bölte</t>
  </si>
  <si>
    <t>Eugen Hubel</t>
  </si>
  <si>
    <t>Erich Kliemann</t>
  </si>
  <si>
    <t>William Gould Brockel</t>
  </si>
  <si>
    <t>Charles Wiener</t>
  </si>
  <si>
    <t>(O) 248418 (Di) 449059</t>
  </si>
  <si>
    <t>Paul E. Moes, Michael E. McGowan</t>
  </si>
  <si>
    <t>John O. Geissbuhler, William W. Kirk Jr.</t>
    <phoneticPr fontId="43" type="noConversion"/>
  </si>
  <si>
    <t>(O) 153076 (Di) 295463</t>
    <phoneticPr fontId="43" type="noConversion"/>
  </si>
  <si>
    <t>Carl A. Brown, Clarence E. Hahn</t>
  </si>
  <si>
    <t>Richard Wallace Carlisle</t>
  </si>
  <si>
    <t>(RN) 1937/5/21</t>
  </si>
  <si>
    <t>Alfred Greiner</t>
  </si>
  <si>
    <t>Colin J. Smithells</t>
  </si>
  <si>
    <t>George Illingworth</t>
  </si>
  <si>
    <t>(O) 82370 (Di) 325248</t>
  </si>
  <si>
    <t>Raymond H. Beebe</t>
    <phoneticPr fontId="43" type="noConversion"/>
  </si>
  <si>
    <t>1919Equip</t>
  </si>
  <si>
    <t>Westinghouse Electric Corporation</t>
  </si>
  <si>
    <t>Robert Fredrik Rennie</t>
  </si>
  <si>
    <t>Chalmers Morehead</t>
  </si>
  <si>
    <t>Alfred H. Laidig</t>
  </si>
  <si>
    <t>Norman Carl Beese</t>
  </si>
  <si>
    <t>Roy D. Hall</t>
  </si>
  <si>
    <t>Roy D. Hall, Emilio Romanelli</t>
  </si>
  <si>
    <t>Eberhard Courtin</t>
  </si>
  <si>
    <t>George Wall</t>
  </si>
  <si>
    <t>Arthur Lohe</t>
  </si>
  <si>
    <t>Robert Koch</t>
  </si>
  <si>
    <t>Friedrich Hehlgans</t>
  </si>
  <si>
    <t>Erwin Thiemer</t>
  </si>
  <si>
    <t>Walter P. Venzke</t>
  </si>
  <si>
    <t>Walter Volkers</t>
  </si>
  <si>
    <t>Arthur Uhde</t>
  </si>
  <si>
    <t>Waldemar Petersen</t>
  </si>
  <si>
    <t>Raoul Willheim</t>
  </si>
  <si>
    <t>Walter Achenbach, Rudolf v. Tempelhoff</t>
  </si>
  <si>
    <t>Leonard Jones</t>
  </si>
  <si>
    <t>Ernst Trübenbach</t>
  </si>
  <si>
    <t>Ernst Glowatzki</t>
  </si>
  <si>
    <t>Henry de Boyne Knight</t>
  </si>
  <si>
    <t>Frank Whyman</t>
  </si>
  <si>
    <t>Hans Joachim Schmiedel</t>
  </si>
  <si>
    <t>Leonard Griffiths</t>
  </si>
  <si>
    <t>Otto Leopold</t>
  </si>
  <si>
    <t>Yosio Matusita</t>
  </si>
  <si>
    <t>Hermann Geise</t>
  </si>
  <si>
    <t>Bruno Hoffmann</t>
  </si>
  <si>
    <t>Ernst Dozler</t>
  </si>
  <si>
    <t>Kurt Koch</t>
  </si>
  <si>
    <t>Rudolf Reeh</t>
  </si>
  <si>
    <t>Hermann Burmeister</t>
  </si>
  <si>
    <t>William E. Gough, William H. Maycock</t>
  </si>
  <si>
    <t>Walter Boeker</t>
  </si>
  <si>
    <t>Alfred Bigalke</t>
  </si>
  <si>
    <t>Stephen E. Rogers, Austyn L. Whiteley</t>
  </si>
  <si>
    <t>Yoshiaki Toda</t>
  </si>
  <si>
    <t>Austyn L. Whiteley</t>
  </si>
  <si>
    <t>Paul Nowak, Hermann Hofmeier, Carlos Tobis</t>
  </si>
  <si>
    <t>Rudolph Nagy, Robert W. Wollentin</t>
  </si>
  <si>
    <t>Canadian Westinghouse Company</t>
  </si>
  <si>
    <t>Alonzo C. Jones</t>
  </si>
  <si>
    <t>Henry W. Rimbach</t>
  </si>
  <si>
    <t>Tsutomu Kurokochi, Isao Miyamoto</t>
  </si>
  <si>
    <t>Walter Lenz</t>
  </si>
  <si>
    <t>Arnold Maas</t>
  </si>
  <si>
    <t>Friedrich Lehmhaus</t>
  </si>
  <si>
    <t>Komao Fukushima</t>
  </si>
  <si>
    <t>Joachim Pfaffenberger</t>
  </si>
  <si>
    <t>(O) 111990 (Di) 139792</t>
  </si>
  <si>
    <t>Alfred H. Laidig, George S. Evans</t>
  </si>
  <si>
    <t>Henry Trencham, Harold Ernest Cox</t>
  </si>
  <si>
    <t>Raoul Willheim, Gerhard Frühauf</t>
  </si>
  <si>
    <t>Paul Nowak, Hermann Hofmeier</t>
  </si>
  <si>
    <t>Rowland Embleton</t>
  </si>
  <si>
    <t>Emil Rupp</t>
  </si>
  <si>
    <t>August Glaser, Werner Koch, Heins Voigt</t>
  </si>
  <si>
    <t>Ludwig Treubert</t>
  </si>
  <si>
    <t>Friedrich Hauffe</t>
  </si>
  <si>
    <t>Reinhard Wasmund</t>
  </si>
  <si>
    <t>Wilhelm Köchling</t>
  </si>
  <si>
    <t>Charles Wiener, Frank J. Camarata, Arno Greiner</t>
  </si>
  <si>
    <t>Howard L. Steele Jr.</t>
  </si>
  <si>
    <t>George Pailin</t>
  </si>
  <si>
    <t>Helmut Johannson</t>
  </si>
  <si>
    <t>Alexander Greenwood Williamson</t>
  </si>
  <si>
    <t>Erich Schröter</t>
  </si>
  <si>
    <t>George Meister, Thomas H. Heine</t>
  </si>
  <si>
    <t>James R. Lait</t>
  </si>
  <si>
    <t>John W. Garrison</t>
  </si>
  <si>
    <t>Warren R. Walker</t>
  </si>
  <si>
    <t>John H. Partridge</t>
  </si>
  <si>
    <t>John E. Stanworth</t>
  </si>
  <si>
    <t>Louis Nawo</t>
  </si>
  <si>
    <t>Seiichi Taniai</t>
  </si>
  <si>
    <t>Etablissements Claude, Paz et Silva</t>
  </si>
  <si>
    <t>René Penon</t>
  </si>
  <si>
    <t>Emile Melvin Bellott</t>
  </si>
  <si>
    <t>Thomas H. Heine, George Meister</t>
  </si>
  <si>
    <t>George F. Schaefer</t>
  </si>
  <si>
    <t>John H. Barrett, Ralph R. Parducci</t>
  </si>
  <si>
    <t>Lester M. Hertz</t>
  </si>
  <si>
    <t>numbers and dates match but the filer name doesn't</t>
  </si>
  <si>
    <t>Ernst Fricke</t>
  </si>
  <si>
    <t>Robert Pohl</t>
  </si>
  <si>
    <t>Ernst Froböse</t>
  </si>
  <si>
    <t>Franz Petermichl</t>
  </si>
  <si>
    <t>William Train Gray</t>
  </si>
  <si>
    <t>Iwane Schigyo</t>
  </si>
  <si>
    <t>Hans Heinrich Verse</t>
  </si>
  <si>
    <t>John Bentley Hansell</t>
  </si>
  <si>
    <t>(O) 238925 (Di) 285126</t>
  </si>
  <si>
    <t>Henry de B. Knight, Bertram G. Higins</t>
  </si>
  <si>
    <t>Heinz Wittke</t>
  </si>
  <si>
    <t>Hans Boersch</t>
  </si>
  <si>
    <t>Charles A. E. Beurtheret</t>
  </si>
  <si>
    <t>Tadashi Iwasaki, Fukua Tsuji</t>
  </si>
  <si>
    <t>Herbert Dallmann, Hermann Ragnar Eggers</t>
  </si>
  <si>
    <t>Paul Melchior</t>
  </si>
  <si>
    <t>Fritz Brunke</t>
  </si>
  <si>
    <t>(RN) 1938/3/17</t>
  </si>
  <si>
    <t>Tatsuo Hongo</t>
  </si>
  <si>
    <t>Thomas C.R. Shepherd</t>
  </si>
  <si>
    <t>Josef Biermanns, Otto Mayr</t>
  </si>
  <si>
    <t>Heinrich Adenstedt, Heinz Wittke</t>
  </si>
  <si>
    <t>Wolfgang Ferrant</t>
  </si>
  <si>
    <t>Jack H. Walter, Bernard Adkins</t>
  </si>
  <si>
    <t>Hans Boekels, Adolf Brosch</t>
  </si>
  <si>
    <t>Hans Boersch, Hans Mahl</t>
  </si>
  <si>
    <t>Nicolaus Rapp</t>
  </si>
  <si>
    <t>Rudolf Reese, Hans Hüttig</t>
  </si>
  <si>
    <t>Ernst Kirch</t>
  </si>
  <si>
    <t>Fredrick S. Lamb</t>
    <phoneticPr fontId="43" type="noConversion"/>
  </si>
  <si>
    <t>Herman E. Hermanson</t>
    <phoneticPr fontId="43" type="noConversion"/>
  </si>
  <si>
    <t>Otto Dahl, Franz Pawlek</t>
  </si>
  <si>
    <t>Wilhelm Stäblein, Raoul Willheim, Werner Uebermuth</t>
  </si>
  <si>
    <t>Wolfgang Günther</t>
  </si>
  <si>
    <t>Otto Welle</t>
  </si>
  <si>
    <t>Andrew Beetlestone, Frank Waterton</t>
  </si>
  <si>
    <t>(O) 263456 (Di) 399782</t>
    <phoneticPr fontId="43" type="noConversion"/>
  </si>
  <si>
    <t>Conrad E. Bechard</t>
    <phoneticPr fontId="43" type="noConversion"/>
  </si>
  <si>
    <t>Charleas E. Beck</t>
    <phoneticPr fontId="43" type="noConversion"/>
  </si>
  <si>
    <t>Robert A. Kuebler</t>
    <phoneticPr fontId="43" type="noConversion"/>
  </si>
  <si>
    <t>Henry Trencham</t>
  </si>
  <si>
    <t>Cedric Harold Flurscheim</t>
  </si>
  <si>
    <t>Thomas F. Robinson</t>
  </si>
  <si>
    <t>Austyn L. Whiteley, Bertram G. Higgins</t>
  </si>
  <si>
    <t>Reginald S. Gilling</t>
  </si>
  <si>
    <r>
      <t>Richard S. Hinds, Arthur Man</t>
    </r>
    <r>
      <rPr>
        <sz val="10"/>
        <rFont val="#궁서체"/>
        <family val="3"/>
        <charset val="129"/>
      </rPr>
      <t>이</t>
    </r>
  </si>
  <si>
    <t>Paul Nowak, Carlos Tobis, Hermann Hofmeier</t>
  </si>
  <si>
    <t>Claus Fröhmer</t>
  </si>
  <si>
    <t>Great Britain</t>
    <phoneticPr fontId="43" type="noConversion"/>
  </si>
  <si>
    <t>Rudolf Auerbach, Dahlewitz Hoppegarten, Hermann Burmeister</t>
  </si>
  <si>
    <t>(RN) 1935/6/24</t>
  </si>
  <si>
    <t>Karl August Lohausen</t>
  </si>
  <si>
    <t>John Flaws, John W. Anthony</t>
    <phoneticPr fontId="43" type="noConversion"/>
  </si>
  <si>
    <t>Harold Stanley Wellington</t>
    <phoneticPr fontId="43" type="noConversion"/>
  </si>
  <si>
    <t>Angelo Simonelli</t>
    <phoneticPr fontId="43" type="noConversion"/>
  </si>
  <si>
    <t>Exhibit A - Patents</t>
    <phoneticPr fontId="43" type="noConversion"/>
  </si>
  <si>
    <t>Kuno Bauerschmidt</t>
  </si>
  <si>
    <t>Fritz Brunke, Werner Koch</t>
  </si>
  <si>
    <t>Acquired Patents Exhibit "A"</t>
  </si>
  <si>
    <t>Hugo Heymann</t>
  </si>
  <si>
    <t>Wilhelm Stäblein</t>
  </si>
  <si>
    <t>Herbert A. Lingard</t>
  </si>
  <si>
    <t>Cedric H. Flurscheim</t>
  </si>
  <si>
    <t>Maurice Masnou</t>
  </si>
  <si>
    <t>Georg Stark</t>
  </si>
  <si>
    <t>Herman Antoine Tournier</t>
  </si>
  <si>
    <t>James B. Whitmore, William Makenny</t>
  </si>
  <si>
    <t>George S. Evans</t>
  </si>
  <si>
    <t>William Charles Lilliendahl</t>
  </si>
  <si>
    <t>Daniel S. Gustin, Albert W. Wainio</t>
  </si>
  <si>
    <t>(O) 243356 (Di) 494142</t>
  </si>
  <si>
    <t>Richard Tröger</t>
  </si>
  <si>
    <t>Eberhard Rietsch</t>
  </si>
  <si>
    <t>Tadao Okamura, Kazuma Sakai</t>
  </si>
  <si>
    <t>Leslie Carter Ludbrook</t>
  </si>
  <si>
    <t>Fritz Well</t>
  </si>
  <si>
    <t>Sin-Iti Irigai</t>
  </si>
  <si>
    <t>Ryukichi Kitani, Naoichi Takashima, Hideo Kaneko</t>
  </si>
  <si>
    <t>Frank de la Roche Gunton</t>
  </si>
  <si>
    <t>Herbert Wickler, Hugo Heymann</t>
  </si>
  <si>
    <t>Erich Dehmel</t>
  </si>
  <si>
    <t>(O) 178820 (Di) 276460</t>
  </si>
  <si>
    <t>Masaaki Hyodo</t>
  </si>
  <si>
    <t>Johann Grünschneder</t>
  </si>
  <si>
    <t>Karl Schiebeler</t>
  </si>
  <si>
    <t>Albert Stubbs, Robert Townend</t>
  </si>
  <si>
    <t>George A. Williams, Howard Brecknock</t>
  </si>
  <si>
    <t>Ryukichi Kitani, Naoichi Takashima</t>
  </si>
  <si>
    <t>Floris Koppelmann</t>
  </si>
  <si>
    <t>Max Cholewa</t>
  </si>
  <si>
    <t>Joseph R. Mortlock, Kenneth J. R. Wilkinson, Geoffrey W. Carter</t>
  </si>
  <si>
    <t>John A. Henley</t>
  </si>
  <si>
    <t>Paul Nowak, Telemach Triantaphyllides</t>
  </si>
  <si>
    <t>Georg Pohler</t>
  </si>
  <si>
    <t>Richard Modlinger</t>
  </si>
  <si>
    <t>(RN) 1939/8/24</t>
  </si>
  <si>
    <t>Karl Hoffmann</t>
  </si>
  <si>
    <t>Arthur C. Lane</t>
  </si>
  <si>
    <t>August Glaser, Werner Koch, Hans Neidhardt, Fritz Brunke</t>
  </si>
  <si>
    <t>Richard Schulze</t>
  </si>
  <si>
    <t>Otto Dahl, Joachim Pfaffenberger, Paul Melchior</t>
  </si>
  <si>
    <t>Kenneth J. R. Wilkinson</t>
  </si>
  <si>
    <t>Herbert Hootz</t>
  </si>
  <si>
    <t>Friedrich Metzger</t>
  </si>
  <si>
    <t>Carl Schiebeler</t>
  </si>
  <si>
    <t>Waldemar Brückel, Karl Haas</t>
  </si>
  <si>
    <t>Werner Guilhauman</t>
  </si>
  <si>
    <t>Otto Wünsche</t>
  </si>
  <si>
    <t>Herbert Burat, Hermann R. Eggers</t>
  </si>
  <si>
    <t>Leonhard Carl</t>
  </si>
  <si>
    <t>Kenneth J. R. Wilkinson, Douglas F. Welch, Frederic H. Clough</t>
  </si>
  <si>
    <t>expires 1963/2/8</t>
  </si>
  <si>
    <t>Thomas Frederic Robinson</t>
  </si>
  <si>
    <t>Otto Bork</t>
  </si>
  <si>
    <t>Hans F. Grave</t>
  </si>
  <si>
    <t>Rudolf Reese</t>
  </si>
  <si>
    <t>Leslie C. Ludbrook</t>
  </si>
  <si>
    <t>Werner Jähde, Otfried Plass</t>
  </si>
  <si>
    <t>Ferdinand Brieger</t>
  </si>
  <si>
    <t>Juno Bauerschmidt</t>
  </si>
  <si>
    <t>Peter-Konrad Hermann</t>
  </si>
  <si>
    <t>Georges Balachowsky</t>
  </si>
  <si>
    <t>Ralph d. Given</t>
  </si>
  <si>
    <t>Ralph Poole</t>
  </si>
  <si>
    <t>Carl Haase, Otto Dahl</t>
  </si>
  <si>
    <t>Fritz Hamacher</t>
  </si>
  <si>
    <t>Renato Lombardi</t>
  </si>
  <si>
    <t>Hans Neidhardt</t>
  </si>
  <si>
    <t>Fritz Hölters</t>
  </si>
  <si>
    <t>William H. Maycock</t>
  </si>
  <si>
    <t>John C. Read</t>
  </si>
  <si>
    <t>Robert H. Collingham</t>
  </si>
  <si>
    <t>Yoshiji Matsuyama, Shukichi Kuno, Shigeji Nasu</t>
  </si>
  <si>
    <t>Werner Krämer</t>
  </si>
  <si>
    <t>Max Nippold</t>
  </si>
  <si>
    <t>Chukichi Okawa, Shigenebu Wada</t>
  </si>
  <si>
    <t>George Meister</t>
  </si>
  <si>
    <t>Joseph R. Ardizzone, James M. Harper</t>
  </si>
  <si>
    <t>Louis L. Nicolaro</t>
  </si>
  <si>
    <t>Robert T. Cameron</t>
  </si>
  <si>
    <t>Arthur P. Meier, Sylvester P. Denison</t>
  </si>
  <si>
    <t>Hugh D. Fraser</t>
  </si>
  <si>
    <t>Hans Boekels</t>
  </si>
  <si>
    <t>Otto Dahl, Carl Haase</t>
  </si>
  <si>
    <t>Wilhelm Mann</t>
  </si>
  <si>
    <t>Paul Nowak, Walter Dietloff</t>
  </si>
  <si>
    <t>John Carley Read</t>
  </si>
  <si>
    <t>Kenneth R. Hopkirk</t>
  </si>
  <si>
    <t>Shafi-uddin Ahmed Choudhury</t>
  </si>
  <si>
    <t>Frank Waterton</t>
  </si>
  <si>
    <t>expires 1963/11/17</t>
  </si>
  <si>
    <t>Eric H. B. Martin</t>
  </si>
  <si>
    <t>Thomas B. Somerville</t>
  </si>
  <si>
    <t>expires 1963/3/25</t>
  </si>
  <si>
    <t>George R. Higgs</t>
  </si>
  <si>
    <t>expires 1965/7/30</t>
  </si>
  <si>
    <t>Kunitaro Ono, Saburo Ikeda</t>
  </si>
  <si>
    <t>Peter Bissinger</t>
  </si>
  <si>
    <t>Hermann Hill</t>
  </si>
  <si>
    <t>Hans Gugel</t>
  </si>
  <si>
    <t>Thomas Henry Woodfield, Cecil James Morton</t>
  </si>
  <si>
    <t>Thomas H. Woodfield, Cecil J. Morton</t>
  </si>
  <si>
    <t>William Tain Gray</t>
  </si>
  <si>
    <t>expires 1963/5/6</t>
  </si>
  <si>
    <t>Robert Keitley</t>
  </si>
  <si>
    <t>Werner Nürnberg</t>
  </si>
  <si>
    <t>Wilhelm Pistor, Paul Walther</t>
  </si>
  <si>
    <t>Wilhelm Würth</t>
  </si>
  <si>
    <t>Erhard Schulz</t>
  </si>
  <si>
    <t>Georg Seefeld</t>
  </si>
  <si>
    <t>Fritz Brann</t>
  </si>
  <si>
    <t>Kenneth J. R. Wilkinson, Christopher J. Milner</t>
  </si>
  <si>
    <t>expires 1965/10/4</t>
  </si>
  <si>
    <t>James Moir, William S. Graff-Baker</t>
  </si>
  <si>
    <t>Waldemar Petersen, Herbert Gumprecht</t>
  </si>
  <si>
    <t>Leopold Janisch (by William A. Dodge)</t>
  </si>
  <si>
    <t>Oskar Krines</t>
  </si>
  <si>
    <t>Hansheinrich Verse</t>
  </si>
  <si>
    <t>Hans Rist</t>
  </si>
  <si>
    <t>Kiichi Ishiwata</t>
  </si>
  <si>
    <t>Frank P. Whitaker</t>
  </si>
  <si>
    <t>Kurt Genschmer</t>
  </si>
  <si>
    <t>Günther Mathes</t>
  </si>
  <si>
    <t>Eduard Krochmann</t>
  </si>
  <si>
    <t>Raymond G. Rayden</t>
  </si>
  <si>
    <t>Hideo Inutsuka</t>
  </si>
  <si>
    <t>Erich Krautz</t>
  </si>
  <si>
    <t>Louis Krieger</t>
  </si>
  <si>
    <t>Hans Mahl, Adolf Pendzich, Eberhard Steudel</t>
  </si>
  <si>
    <t>Arthur C. Lane, Bernard Adkins</t>
  </si>
  <si>
    <t>Reginald T. Coe</t>
  </si>
  <si>
    <t>Harold Ernest Cox, Arthur Charles Gibson</t>
  </si>
  <si>
    <t>Oliver F. Gullick</t>
  </si>
  <si>
    <t>Frederick Harold Belsey, David Travis Broadbent</t>
  </si>
  <si>
    <t>Richard S. Page</t>
  </si>
  <si>
    <t>Jean Dormont</t>
  </si>
  <si>
    <t>Frank R. Harris</t>
  </si>
  <si>
    <t>Shinichiro Horikoshi</t>
  </si>
  <si>
    <t>Paul Mathews</t>
  </si>
  <si>
    <t>Martin Gieseler</t>
  </si>
  <si>
    <t>Franz Arndt, August Rausch, Wilhelm Staffel</t>
  </si>
  <si>
    <t>Albert Stubbs</t>
  </si>
  <si>
    <t>Jacques Marie Saint Germain, Georges Balachowsky</t>
  </si>
  <si>
    <t>Franz Krantwig</t>
  </si>
  <si>
    <t>Erich Abendroth</t>
  </si>
  <si>
    <t>Nicolai Fitger</t>
  </si>
  <si>
    <t>Gerd Hempel</t>
  </si>
  <si>
    <t>Heinz Gutmann</t>
  </si>
  <si>
    <t>Alfred Fritsche</t>
  </si>
  <si>
    <t>Maximilian Stöhr</t>
  </si>
  <si>
    <t>Douglas F. Welch</t>
  </si>
  <si>
    <t>Othmar Pollok</t>
  </si>
  <si>
    <t>Josef Biermanns</t>
  </si>
  <si>
    <t>Wilhelm Büngner</t>
  </si>
  <si>
    <t>Günther Dobke</t>
  </si>
  <si>
    <t>Jean Fallou</t>
  </si>
  <si>
    <t>Jacques Marie Saint Germain</t>
  </si>
  <si>
    <t>Franz Pawlek, Otto Dahl</t>
  </si>
  <si>
    <t>Karl Schmer, Richard Tröger</t>
  </si>
  <si>
    <t>Johannes Türk, Hans Brede</t>
  </si>
  <si>
    <t>August Arnold</t>
  </si>
  <si>
    <t>Gustav W. Müller</t>
  </si>
  <si>
    <t>Karl Prade</t>
  </si>
  <si>
    <t>Walter Lange</t>
  </si>
  <si>
    <t>Rudolf Buch, Friedrich Haemmerling</t>
  </si>
  <si>
    <t>Hans F. Grave, Gustav Lingg</t>
  </si>
  <si>
    <t>(O) 192804 (Di) 374935</t>
  </si>
  <si>
    <t>Raymond Duval</t>
  </si>
  <si>
    <t>Frederick H. Belsey</t>
  </si>
  <si>
    <t>Arthur Samuel Ennis</t>
  </si>
  <si>
    <t>James D. Simmons, Joseph H. Liversidge, Robert William Wrathall</t>
  </si>
  <si>
    <t>Norman C. Cordingly</t>
  </si>
  <si>
    <t>Howard F. Carter</t>
  </si>
  <si>
    <t>William S. Melville</t>
  </si>
  <si>
    <t>Werner Krämer, Wilhelm Köchling</t>
  </si>
  <si>
    <t>Herbert Toms Ashton</t>
  </si>
  <si>
    <t>Sunvic Controls Limited</t>
  </si>
  <si>
    <t>Colin Charles Hall</t>
  </si>
  <si>
    <t>Douglas Francis Welch, Kenneth Barrington Randall</t>
  </si>
  <si>
    <t>Metropolitan-Vickers Electrical Company Limited</t>
  </si>
  <si>
    <t>Karl Wethmüller</t>
  </si>
  <si>
    <t>Friedrich Hölters</t>
  </si>
  <si>
    <t>Karl Hessenberg</t>
  </si>
  <si>
    <t>Metropolitan-Vickers Electrical Company Limied</t>
  </si>
  <si>
    <t>James Dyson</t>
  </si>
  <si>
    <t>Michael Crowley Crowley-Milling</t>
  </si>
  <si>
    <t>Leslie R. Blake, Arthur H. Maggs</t>
  </si>
  <si>
    <t>John Wesley Mulligan, Owen Thomas Evans</t>
  </si>
  <si>
    <t>Walter Dietloff</t>
  </si>
  <si>
    <t>Kurt Heinrich</t>
  </si>
  <si>
    <t>Friedrich Kostka</t>
  </si>
  <si>
    <t>Alfred M. Schmidt</t>
  </si>
  <si>
    <t>Walter Spielhagen</t>
  </si>
  <si>
    <t>Frederick A. Haigh</t>
  </si>
  <si>
    <t>Clifford Ryder</t>
  </si>
  <si>
    <t>Paul Thieme</t>
  </si>
  <si>
    <t>William Norman Kilner, Harald Isbister Wood</t>
  </si>
  <si>
    <t>William Norman Kilner</t>
  </si>
  <si>
    <t>Jean A. Augier</t>
  </si>
  <si>
    <t>Reginald T. Coe, Thomas F. Robinson, Douglas F. Welch</t>
  </si>
  <si>
    <t>expires 1964/2/8</t>
  </si>
  <si>
    <t>John Fowler</t>
  </si>
  <si>
    <t>Douglas H. Graham</t>
  </si>
  <si>
    <t>Metropolitan-Vickers Electrical Company Limited, G.K. Jensen &amp; Company Limited</t>
  </si>
  <si>
    <t>Selchouk Ahmed, Norman Arthur Taylor</t>
  </si>
  <si>
    <t>Walter Schulze</t>
  </si>
  <si>
    <t>Friedrich Müllner</t>
  </si>
  <si>
    <t>Hellmuth O. Schmidt</t>
  </si>
  <si>
    <t>Kurt Herzog</t>
  </si>
  <si>
    <t>Mitsuo Hirose, Hiroshi Kamogawa</t>
  </si>
  <si>
    <t>Leonard Darke</t>
  </si>
  <si>
    <t>Thomas William Brady</t>
  </si>
  <si>
    <t>Arthur Clive Lane</t>
  </si>
  <si>
    <t>Arthur Hemborough Maggs, Ambrose Ellison Young</t>
  </si>
  <si>
    <t>Thomas F. Robinson, Reginald T. Coe, Douglas F. Welch</t>
  </si>
  <si>
    <t>Dennis Ernest Jewitt</t>
  </si>
  <si>
    <t>Thomas W. Wilcox</t>
  </si>
  <si>
    <t>Nicolaas E. Groeneveld Meijer</t>
  </si>
  <si>
    <t>Norman Wright</t>
  </si>
  <si>
    <t>Paul Nowak</t>
  </si>
  <si>
    <t>Bernard Adkins</t>
  </si>
  <si>
    <t>Karl Schmer</t>
  </si>
  <si>
    <t>Karl Bobek</t>
  </si>
  <si>
    <t>Emerson C. Barwick</t>
  </si>
  <si>
    <t>Arthur Rosch</t>
  </si>
  <si>
    <t>Kurt Moeger</t>
  </si>
  <si>
    <t>Friedrich Schmidt</t>
  </si>
  <si>
    <t>Joseph Stanley Hall</t>
  </si>
  <si>
    <t>Bertram G. Higgins</t>
  </si>
  <si>
    <t>Douglas F. Welch, Kenneth J. R. Wilkinson</t>
  </si>
  <si>
    <t>Thomas H. Petch Jr., Hugh W. C. Liddiard</t>
  </si>
  <si>
    <t>Kenneth M. Mackay, William J. Sims</t>
  </si>
  <si>
    <t>Phyllis Holmes</t>
  </si>
  <si>
    <t>Dennis Gabor</t>
  </si>
  <si>
    <t>Grantbacks</t>
    <phoneticPr fontId="22" type="noConversion"/>
  </si>
  <si>
    <t>expires 1964/8/14</t>
  </si>
  <si>
    <t>Ahmed Choudhury, Leonard Jack Clark, Arthur Hemborough Maggs</t>
  </si>
  <si>
    <t>expires 1963/1/18</t>
  </si>
  <si>
    <t>Georges Belfils</t>
  </si>
  <si>
    <t>Harry Whalley, George Shand</t>
  </si>
  <si>
    <t>William S. Graff-Baker</t>
  </si>
  <si>
    <t>John G. Wellings</t>
  </si>
  <si>
    <t>Thomas X. Lewis</t>
  </si>
  <si>
    <t>expires 1964/11/17</t>
  </si>
  <si>
    <t>León Kogane</t>
  </si>
  <si>
    <t>expires 1965/6/22</t>
  </si>
  <si>
    <t>Armand A. Chabrol</t>
  </si>
  <si>
    <t>Heinz Puppe, deceased, by administrator William A. Dodge</t>
  </si>
  <si>
    <t>Thomas C. R. Shephered</t>
  </si>
  <si>
    <t>Alexandre Desfachelles</t>
  </si>
  <si>
    <t>Otto Kaufmann</t>
  </si>
  <si>
    <t>Eugen Geiss</t>
  </si>
  <si>
    <t>Wilhelm Ziegenbein</t>
  </si>
  <si>
    <t>Hans Werner Pieplow</t>
  </si>
  <si>
    <t>Ei Hara</t>
  </si>
  <si>
    <t>must be wrong; data do not match</t>
  </si>
  <si>
    <t>Charles Hood, Thomas F. Robinson</t>
  </si>
  <si>
    <t>Austyn L. Whiteley, Leslie C. Ludbrook</t>
  </si>
  <si>
    <t>Alan A. Pollock</t>
  </si>
  <si>
    <t>expires 1965/10/30</t>
  </si>
  <si>
    <t>Graham J. Scholes</t>
  </si>
  <si>
    <t>André Valentin</t>
  </si>
  <si>
    <t>Douglas H. Graham, Bengt E. G. Forsling, George Tabberer</t>
  </si>
  <si>
    <t>Grantbacks: Yes (Final Judgment: "Kobe and Rodless were to assign to Roko all of their patents and all future inventions or patents acquired for the 25 year period provided for in the agreement")</t>
    <phoneticPr fontId="22" type="noConversion"/>
  </si>
  <si>
    <t>expires 1964/1/25</t>
  </si>
  <si>
    <t>Gerhard Liebmann</t>
  </si>
  <si>
    <t>Marcel Perolini</t>
  </si>
  <si>
    <t>David Ralph Price by administrator William Swift Wade, Albert Grayson</t>
  </si>
  <si>
    <t>James W. Hodgkiss</t>
  </si>
  <si>
    <t>Leonhard Carl, Paul Nowak</t>
  </si>
  <si>
    <t>Kenichi Nakayama</t>
  </si>
  <si>
    <t>Sataro Aoki</t>
  </si>
  <si>
    <t>Trevor Lundsden Herbert Butterfield</t>
  </si>
  <si>
    <t>Leopold Blaha</t>
  </si>
  <si>
    <t>Thomas F. Stent</t>
  </si>
  <si>
    <t>Probably Wrong, doesn't match data in the packet</t>
  </si>
  <si>
    <t>Philip Baxter</t>
  </si>
  <si>
    <t>Tokutaro Salto</t>
  </si>
  <si>
    <t>Walter Kleinow</t>
  </si>
  <si>
    <t>Gerhard Maerkisch</t>
  </si>
  <si>
    <t>Hans Stegelitz, Wilhelm Schreiner</t>
  </si>
  <si>
    <t>Arthur Mandl</t>
  </si>
  <si>
    <t>Viktor Aigner</t>
  </si>
  <si>
    <t>Otto Rosenlöcher</t>
  </si>
  <si>
    <t>Maurice Wilfart</t>
  </si>
  <si>
    <t>Rudolf Auerbach</t>
  </si>
  <si>
    <t>Hammond C. Hastings, Frederick F. Usher</t>
  </si>
  <si>
    <t>Charles Sykes, William Needham</t>
  </si>
  <si>
    <t>Carlos Tobis</t>
  </si>
  <si>
    <t>Grantbacks: Yes (Complaint, p. 8: "it was also provided therein that the parties should mutually exchange information and experience regarding their respective processes and improvements relating to designated present products and to future products")</t>
    <phoneticPr fontId="22" type="noConversion"/>
  </si>
  <si>
    <t>Grantbacks: Yes; Universal and Symington-Gould filed for patents after 1932</t>
    <phoneticPr fontId="22" type="noConversion"/>
  </si>
  <si>
    <t>Divided world markets</t>
    <phoneticPr fontId="22" type="noConversion"/>
  </si>
  <si>
    <t>Grantbacks: Yes (Complaint, p. 16: "in addition to those products described in (e) above, manufacturer by Robert Bosch should be manufactured in American Territory, Robert Bosch should offer American Bosch, on terms to be agreed upon, the exclusive manufacturing rights for the American Territory as to such product")</t>
    <phoneticPr fontId="22" type="noConversion"/>
  </si>
  <si>
    <t>United States v. Krasnov, 143 F. Supp. 184 (E.D. Penn., 1956).</t>
    <phoneticPr fontId="22" type="noConversion"/>
  </si>
  <si>
    <t>Independent licensing:</t>
    <phoneticPr fontId="22" type="noConversion"/>
  </si>
  <si>
    <t>Grantbacks: Yes (Complaint, p. 5: "that the defendants create and maintain for their exclusive use and benefit a pool of all present and future patents and technological information relating to fluid-filled cable and accessories")</t>
    <phoneticPr fontId="22" type="noConversion"/>
  </si>
  <si>
    <t>Grantbacks: Yes (Complaint, p. 8: "each of the said parties grant exclusive rights under present and future patents and technical information owned or to be owned by each relating to water conditioning materials")</t>
    <phoneticPr fontId="22" type="noConversion"/>
  </si>
  <si>
    <t>Georges Dion</t>
  </si>
  <si>
    <t>Cecil J. Morton, Raymond G. Riddle, Thomas H. Woodfield</t>
  </si>
  <si>
    <t>Thomas Edward Allibone</t>
  </si>
  <si>
    <t>Peter Konrad Hermann</t>
  </si>
  <si>
    <t>Richard Stroehlen</t>
  </si>
  <si>
    <t>Hans Bechmann, Johannes Föster, Gustav Reinhardt, Max Stöhr</t>
  </si>
  <si>
    <t>Ulrich Eggers</t>
  </si>
  <si>
    <t>Hideo Inutsuka, Shujiro Kawase</t>
  </si>
  <si>
    <t>England</t>
  </si>
  <si>
    <t>Carl Bosch</t>
  </si>
  <si>
    <t>Harold Ernest Cox</t>
  </si>
  <si>
    <t>Josef Biermanns, Kuno Bauerschmidt, Willy Mutschke</t>
  </si>
  <si>
    <t>Technology</t>
    <phoneticPr fontId="22" type="noConversion"/>
  </si>
  <si>
    <t>Sand Spun Pipes</t>
    <phoneticPr fontId="22" type="noConversion"/>
  </si>
  <si>
    <t>Maurice L. Blondet</t>
  </si>
  <si>
    <t>Keiji Okaniwa</t>
  </si>
  <si>
    <t>Cedric H. Flurscheim, Ronald W. Sillars, Kenneth J. Saulez</t>
  </si>
  <si>
    <t>Pierre Bonin, Xavier Randria</t>
  </si>
  <si>
    <t>Alexander D. Ferguson</t>
  </si>
  <si>
    <t>David Edmundson, Eric A. Hall</t>
  </si>
  <si>
    <t>John C. Read, Derek R. Smith</t>
  </si>
  <si>
    <t>Sidney Rodda</t>
  </si>
  <si>
    <t>Grantbacks: Yes (Complaint, p. 9: "From that date until the summer of 1941, said defendant and said co-conspirator from time to time exchanged information under the terms of this agreement")</t>
    <phoneticPr fontId="22" type="noConversion"/>
  </si>
  <si>
    <t>Grantbacks: No (appears as though the pool was a series of agreements between manufacturers that were renewed)</t>
    <phoneticPr fontId="22" type="noConversion"/>
  </si>
  <si>
    <t>Siemens-Schuckert Company (Company A)</t>
    <phoneticPr fontId="22" type="noConversion"/>
  </si>
  <si>
    <t>Firms: Siemens-Schuckert Company (German firm, according to Vaughan there are 2 Siemens firms), and Westinghouse Electrix &amp; Manufacturing Company.</t>
    <phoneticPr fontId="22" type="noConversion"/>
  </si>
  <si>
    <t>Grantbacks: Yes (Vaughan, pp. 163-64: "exchanged exclusively among themselves both rights and know-now under their present and future patents")</t>
    <phoneticPr fontId="22" type="noConversion"/>
  </si>
  <si>
    <t>Grantbacks: Yes Complaint, p. 11: "Technicolor, so long as it should purchase at least 50 percent of its requirements of film from Kodak, was to have an exclusive license for purposes of practicing the "imbibation" process under any patents applied for by Kodak on all inventions relating to the  "imbibation" process made by Kodak during the term of the agreement as a result of research work conducted thereunder")</t>
    <phoneticPr fontId="22" type="noConversion"/>
  </si>
  <si>
    <t>Grantbacks: Yes (Vaughan, p. 99: "Licensees were required to reveal their improvements upon the licensed inventions and to transfer relevant patent rights to Engineering")</t>
    <phoneticPr fontId="22" type="noConversion"/>
  </si>
  <si>
    <t>Independent licensing: unclear</t>
    <phoneticPr fontId="22" type="noConversion"/>
  </si>
  <si>
    <t>Open licensing: No</t>
    <phoneticPr fontId="22" type="noConversion"/>
  </si>
  <si>
    <t>End year: 1952 (consent decree)</t>
    <phoneticPr fontId="22" type="noConversion"/>
  </si>
  <si>
    <t>Start year: 1934 (Complaint, p. 90)</t>
    <phoneticPr fontId="22" type="noConversion"/>
  </si>
  <si>
    <t>expires 1965/7/16</t>
  </si>
  <si>
    <t>Price-fixing; Denied licenses to competitors unless forced to</t>
    <phoneticPr fontId="22" type="noConversion"/>
  </si>
  <si>
    <t>None: agreements dissolved prior to suit due to disagreement among pool members</t>
    <phoneticPr fontId="22" type="noConversion"/>
  </si>
  <si>
    <t>George H. Fletcher</t>
  </si>
  <si>
    <t>Cyril G. Hawkins</t>
  </si>
  <si>
    <t>expires 1965/10/19</t>
  </si>
  <si>
    <t>expires 1965/8/1</t>
  </si>
  <si>
    <t>Arnold Tustin</t>
  </si>
  <si>
    <t>expires 1961/5/31</t>
  </si>
  <si>
    <t>André J. Deniau</t>
  </si>
  <si>
    <t>expires 1963/10/9</t>
  </si>
  <si>
    <t>Edward H. Higham</t>
  </si>
  <si>
    <t xml:space="preserve">Denied licenses to competitors; Divided world markets; </t>
    <phoneticPr fontId="22" type="noConversion"/>
  </si>
  <si>
    <t>Grantbacks: Yes because it had the effect of grant-backs (Complaint, p. 9: "additional patents controlled by Phillips were brought within the scope of the original agreement")</t>
    <phoneticPr fontId="22" type="noConversion"/>
  </si>
  <si>
    <t>Grantbacks: No evidence of (other than accumulation of patents but pool members were not competitors per se, one manufactured machines, the other used them)</t>
    <phoneticPr fontId="22" type="noConversion"/>
  </si>
  <si>
    <t>None: pool dissolved by pool members due to internal litigation over the terms of their agreement</t>
    <phoneticPr fontId="22" type="noConversion"/>
  </si>
  <si>
    <t>Antitrust Violations</t>
    <phoneticPr fontId="22" type="noConversion"/>
  </si>
  <si>
    <t>Remedies</t>
    <phoneticPr fontId="22" type="noConversion"/>
  </si>
  <si>
    <t>Case</t>
    <phoneticPr fontId="22" type="noConversion"/>
  </si>
  <si>
    <t>1919Equi</t>
    <phoneticPr fontId="22" type="noConversion"/>
  </si>
  <si>
    <t>Electrical Equipment</t>
    <phoneticPr fontId="22" type="noConversion"/>
  </si>
  <si>
    <t>1921Cast</t>
    <phoneticPr fontId="22" type="noConversion"/>
  </si>
  <si>
    <t>1924Brak</t>
    <phoneticPr fontId="22" type="noConversion"/>
  </si>
  <si>
    <t>Braking Systems</t>
    <phoneticPr fontId="22" type="noConversion"/>
  </si>
  <si>
    <t>1925Vent</t>
    <phoneticPr fontId="22" type="noConversion"/>
  </si>
  <si>
    <t>Ventilating Air Filters</t>
    <phoneticPr fontId="22" type="noConversion"/>
  </si>
  <si>
    <t>1927Airc</t>
    <phoneticPr fontId="22" type="noConversion"/>
  </si>
  <si>
    <t>1927Flur</t>
    <phoneticPr fontId="22" type="noConversion"/>
  </si>
  <si>
    <t>Glass Lamps</t>
    <phoneticPr fontId="22" type="noConversion"/>
  </si>
  <si>
    <t>1928Rail</t>
    <phoneticPr fontId="22" type="noConversion"/>
  </si>
  <si>
    <t>Rail Joint Bars</t>
    <phoneticPr fontId="22" type="noConversion"/>
  </si>
  <si>
    <t>1930Cabl</t>
    <phoneticPr fontId="22" type="noConversion"/>
  </si>
  <si>
    <t>High-Tension Cables</t>
    <phoneticPr fontId="22" type="noConversion"/>
  </si>
  <si>
    <t>Price-fixing; Denied licenses to competitors; Divided world markets</t>
    <phoneticPr fontId="22" type="noConversion"/>
  </si>
  <si>
    <t>Restrictive agreements cancelled; Compulsory RAND licensing</t>
    <phoneticPr fontId="22" type="noConversion"/>
  </si>
  <si>
    <t>Hydraulic Oil Pumps</t>
    <phoneticPr fontId="22" type="noConversion"/>
  </si>
  <si>
    <t>Price-fixing; Denied licenses to competitors</t>
    <phoneticPr fontId="22" type="noConversion"/>
  </si>
  <si>
    <t>Triple damages awarded to a competitor, and alleged infringer, due to violation of Sherman Act</t>
    <phoneticPr fontId="22" type="noConversion"/>
  </si>
  <si>
    <t>Price-fixing; Allocating distributors to manufacturers</t>
    <phoneticPr fontId="22" type="noConversion"/>
  </si>
  <si>
    <t>Restrictive practices enjoined; Compulsory RAND licensing</t>
    <phoneticPr fontId="22" type="noConversion"/>
  </si>
  <si>
    <t>Furniture Slip Covers</t>
    <phoneticPr fontId="22" type="noConversion"/>
  </si>
  <si>
    <t>Price-fixing</t>
    <phoneticPr fontId="22" type="noConversion"/>
  </si>
  <si>
    <t>59-60</t>
    <phoneticPr fontId="22" type="noConversion"/>
  </si>
  <si>
    <t>Grantbacks: No evidence of</t>
    <phoneticPr fontId="22" type="noConversion"/>
  </si>
  <si>
    <t>1932Phar</t>
    <phoneticPr fontId="22" type="noConversion"/>
  </si>
  <si>
    <t>1932Rail</t>
    <phoneticPr fontId="22" type="noConversion"/>
  </si>
  <si>
    <t>1933Mach</t>
    <phoneticPr fontId="22" type="noConversion"/>
  </si>
  <si>
    <t>patent</t>
    <phoneticPr fontId="22" type="noConversion"/>
  </si>
  <si>
    <t>RR</t>
    <phoneticPr fontId="22" type="noConversion"/>
  </si>
  <si>
    <t>RF</t>
    <phoneticPr fontId="22" type="noConversion"/>
  </si>
  <si>
    <t>DP</t>
    <phoneticPr fontId="22" type="noConversion"/>
  </si>
  <si>
    <t>1933Phil</t>
    <phoneticPr fontId="22" type="noConversion"/>
  </si>
  <si>
    <t>Thomas H. Kinman</t>
  </si>
  <si>
    <t>Albert Roxburgh, Albert Leigh</t>
  </si>
  <si>
    <t>The British Thomson-Houston Company Limited</t>
  </si>
  <si>
    <t>William S. Melville, Guy R. Jackson</t>
  </si>
  <si>
    <t>Jack Blears, John Henry Leck</t>
  </si>
  <si>
    <t>Application</t>
  </si>
  <si>
    <t>Philip A. Ewer</t>
  </si>
  <si>
    <t>Michael Edward Haine</t>
  </si>
  <si>
    <t>Grantbacks: Yes (License Agreement, p.5: "It is agreed that each of the first contracting parties shall give timely notice to the other parties of all Letters Patents, applications and inventions that are to be the subject of each such meeting so as to enable timely investigation thereof to be made by such other partie; it is agreed that a party who shall be ready to place a new invention in a radio tuning device or variable condenser on the market shall give timely notice thereof by submitting full information thereof to the other parties at the time such party is ready to place the same on the market")</t>
    <phoneticPr fontId="22" type="noConversion"/>
  </si>
  <si>
    <t>1932Phar</t>
    <phoneticPr fontId="22" type="noConversion"/>
  </si>
  <si>
    <t>Pharmaceuticals</t>
    <phoneticPr fontId="22" type="noConversion"/>
  </si>
  <si>
    <t>Price-fixing; Divided world markets</t>
    <phoneticPr fontId="22" type="noConversion"/>
  </si>
  <si>
    <t>Restrictive agreements cancelled; Compulsory royalty-free licensing</t>
    <phoneticPr fontId="22" type="noConversion"/>
  </si>
  <si>
    <t>1932Rail</t>
    <phoneticPr fontId="22" type="noConversion"/>
  </si>
  <si>
    <t>Railroad Springs</t>
    <phoneticPr fontId="22" type="noConversion"/>
  </si>
  <si>
    <t>Price-fixing; Allocating customers to specific manufacturers through bid-rigging</t>
    <phoneticPr fontId="22" type="noConversion"/>
  </si>
  <si>
    <t>1932Text</t>
    <phoneticPr fontId="22" type="noConversion"/>
  </si>
  <si>
    <t>Hosiery Machinery</t>
    <phoneticPr fontId="22" type="noConversion"/>
  </si>
  <si>
    <t>Denied sales of machinery to competitors of a pool member; Destroyed competing second-hand machinery</t>
    <phoneticPr fontId="22" type="noConversion"/>
  </si>
  <si>
    <t>Compulsory RAND and royalty-free licensing</t>
    <phoneticPr fontId="22" type="noConversion"/>
  </si>
  <si>
    <t>1933Mach</t>
    <phoneticPr fontId="22" type="noConversion"/>
  </si>
  <si>
    <t>Machine Tools</t>
    <phoneticPr fontId="22" type="noConversion"/>
  </si>
  <si>
    <t>1933Phil</t>
    <phoneticPr fontId="22" type="noConversion"/>
  </si>
  <si>
    <t>Phillips Screws</t>
    <phoneticPr fontId="22" type="noConversion"/>
  </si>
  <si>
    <t>Price-fixing; Prevented licensees from producing competing screws</t>
    <phoneticPr fontId="22" type="noConversion"/>
  </si>
  <si>
    <t>Ophthalmic Frames</t>
    <phoneticPr fontId="22" type="noConversion"/>
  </si>
  <si>
    <t>Price-fixing; Restricting the sale of frames to certain wholesalers</t>
    <phoneticPr fontId="22" type="noConversion"/>
  </si>
  <si>
    <t>1942Tele</t>
    <phoneticPr fontId="22" type="noConversion"/>
  </si>
  <si>
    <t>Television</t>
    <phoneticPr fontId="22" type="noConversion"/>
  </si>
  <si>
    <t>1946Dayl</t>
    <phoneticPr fontId="22" type="noConversion"/>
  </si>
  <si>
    <t>Firms: Kelsey-Hayes Wheel Company, The Budd Company, and Motor Wheel Corporation.</t>
    <phoneticPr fontId="22" type="noConversion"/>
  </si>
  <si>
    <t>Restricitve agreements cancelled; Compulsory RAND licensing</t>
    <phoneticPr fontId="22" type="noConversion"/>
  </si>
  <si>
    <t>1938Drop</t>
    <phoneticPr fontId="22" type="noConversion"/>
  </si>
  <si>
    <t>Dropout Cutouts</t>
    <phoneticPr fontId="22" type="noConversion"/>
  </si>
  <si>
    <t>grantbacks</t>
    <phoneticPr fontId="22" type="noConversion"/>
  </si>
  <si>
    <t>.</t>
    <phoneticPr fontId="22" type="noConversion"/>
  </si>
  <si>
    <t>.</t>
    <phoneticPr fontId="22" type="noConversion"/>
  </si>
  <si>
    <t>.</t>
    <phoneticPr fontId="22" type="noConversion"/>
  </si>
  <si>
    <t>Restrictive agreements cancelled; Ccompulsory RAND and royalty-free licensing</t>
  </si>
  <si>
    <t>Fuel Injection Equipment</t>
    <phoneticPr fontId="22" type="noConversion"/>
  </si>
  <si>
    <t>Restrictive contracts cancelled; Compulsory RAND licensing</t>
    <phoneticPr fontId="22" type="noConversion"/>
  </si>
  <si>
    <t>1938Opht</t>
    <phoneticPr fontId="22" type="noConversion"/>
  </si>
  <si>
    <t>Restricitve agreements cancelled; Compulsory RAND licensing</t>
    <phoneticPr fontId="22" type="noConversion"/>
  </si>
  <si>
    <t>1931Mill</t>
    <phoneticPr fontId="22" type="noConversion"/>
  </si>
  <si>
    <t>Milling Machines</t>
    <phoneticPr fontId="22" type="noConversion"/>
  </si>
  <si>
    <t>Restrictive agreements cancelled; Compulsory RAND licensing</t>
    <phoneticPr fontId="22" type="noConversion"/>
  </si>
  <si>
    <t>1934Colo</t>
    <phoneticPr fontId="22" type="noConversion"/>
  </si>
  <si>
    <t>Color Film</t>
    <phoneticPr fontId="22" type="noConversion"/>
  </si>
  <si>
    <t>Allocating color film production to Technicolor only</t>
    <phoneticPr fontId="22" type="noConversion"/>
  </si>
  <si>
    <t>1934Dry</t>
    <phoneticPr fontId="22" type="noConversion"/>
  </si>
  <si>
    <t>Dry Ice</t>
    <phoneticPr fontId="22" type="noConversion"/>
  </si>
  <si>
    <t>Price-fixing; Allocated territories; Denied licenses to competitors; Conducted price wars against competitors</t>
    <phoneticPr fontId="22" type="noConversion"/>
  </si>
  <si>
    <t>1934Elec</t>
    <phoneticPr fontId="22" type="noConversion"/>
  </si>
  <si>
    <t>Electric Generators</t>
    <phoneticPr fontId="22" type="noConversion"/>
  </si>
  <si>
    <t>added</t>
    <phoneticPr fontId="22" type="noConversion"/>
  </si>
  <si>
    <t>Price-fixing; Divided world markets</t>
    <phoneticPr fontId="22" type="noConversion"/>
  </si>
  <si>
    <t>1934Leci</t>
    <phoneticPr fontId="22" type="noConversion"/>
  </si>
  <si>
    <t>Lecithin</t>
    <phoneticPr fontId="22" type="noConversion"/>
  </si>
  <si>
    <t>Allocated domestic market shares; Divided world markets; Threatened competitors with litigation</t>
    <phoneticPr fontId="22" type="noConversion"/>
  </si>
  <si>
    <t>1934Vari</t>
    <phoneticPr fontId="22" type="noConversion"/>
  </si>
  <si>
    <t>Variable Condensers</t>
    <phoneticPr fontId="22" type="noConversion"/>
  </si>
  <si>
    <t>Dissolution of pool; Compulsory royalty-free licensing</t>
    <phoneticPr fontId="22" type="noConversion"/>
  </si>
  <si>
    <t>1935Airc</t>
    <phoneticPr fontId="22" type="noConversion"/>
  </si>
  <si>
    <t>1937Male</t>
    <phoneticPr fontId="22" type="noConversion"/>
  </si>
  <si>
    <t>Male Hormones</t>
    <phoneticPr fontId="22" type="noConversion"/>
  </si>
  <si>
    <t>Parking Meters</t>
    <phoneticPr fontId="22" type="noConversion"/>
  </si>
  <si>
    <t>1937Wrin</t>
    <phoneticPr fontId="22" type="noConversion"/>
  </si>
  <si>
    <t>Wrinkle Finishes</t>
    <phoneticPr fontId="22" type="noConversion"/>
  </si>
  <si>
    <t>Air-conditioning Equipment</t>
    <phoneticPr fontId="22" type="noConversion"/>
  </si>
  <si>
    <t>Water Conditioning Apparatus</t>
    <phoneticPr fontId="22" type="noConversion"/>
  </si>
  <si>
    <t>Denied licenses to competitors; Divided world markets</t>
    <phoneticPr fontId="22" type="noConversion"/>
  </si>
  <si>
    <t>Restrictive agreements cancelled; Compulsory royalty-free licensing</t>
    <phoneticPr fontId="22" type="noConversion"/>
  </si>
  <si>
    <t>Allocated specific fields to pool members; Denied licenses to competitors</t>
    <phoneticPr fontId="22" type="noConversion"/>
  </si>
  <si>
    <t>1930Wate</t>
    <phoneticPr fontId="22" type="noConversion"/>
  </si>
  <si>
    <t>1931Fuel</t>
    <phoneticPr fontId="22" type="noConversion"/>
  </si>
  <si>
    <t>Patents of the pool members indicated by the opinion (inventors are Crum, Scott, Humphreys, Yungling, Knox)</t>
    <phoneticPr fontId="22" type="noConversion"/>
  </si>
  <si>
    <t>Other patents licensed to Associated Patents (not listed in agreement but listed in "Findings of Fact" document):</t>
    <phoneticPr fontId="22" type="noConversion"/>
  </si>
  <si>
    <t>pool_id</t>
    <phoneticPr fontId="22" type="noConversion"/>
  </si>
  <si>
    <t>DP</t>
    <phoneticPr fontId="22" type="noConversion"/>
  </si>
  <si>
    <t>1934Vari</t>
    <phoneticPr fontId="22" type="noConversion"/>
  </si>
  <si>
    <t>Patents issued after 1934 agreement but listed in the 1937 agreement:</t>
    <phoneticPr fontId="22" type="noConversion"/>
  </si>
  <si>
    <t>1934Vari</t>
  </si>
  <si>
    <t>1937Wrin</t>
    <phoneticPr fontId="22" type="noConversion"/>
  </si>
  <si>
    <t>1938Drop</t>
    <phoneticPr fontId="22" type="noConversion"/>
  </si>
  <si>
    <t>RR</t>
    <phoneticPr fontId="22" type="noConversion"/>
  </si>
  <si>
    <t>1938Slip</t>
    <phoneticPr fontId="22" type="noConversion"/>
  </si>
  <si>
    <t>On or about June 25, 1934, Technicolor and Kodak entered into a written contract where they granted each other cross licenses subject to certain limitations and conditions, for the term of the agreement, under all the "monopack" patents and patent rights that each respectively then held of might thereafter acquire, and Kodak convenanted not to engage in the commerical processing of wide "monopack" film, nor to license any other party to process such film, nor to sell any such film (except to Technicolor) with the right for the customer to process it.</t>
    <phoneticPr fontId="22" type="noConversion"/>
  </si>
  <si>
    <t>For a period of several years prior to 1934, Technicolor and Kodak, having respectively acquired various inventions, patents, and patent rights relating to the "monopack" method of color cinematography, were engaged in independent efforts to develop and perfect said "monopack" method.  The prospective development of the "monopack" method, if controlled by others than Technicolor, threatened Technicolor's control of professional color cinematography.</t>
    <phoneticPr fontId="22" type="noConversion"/>
  </si>
  <si>
    <t>By agreement dated September 28, 1932, between the Railway Steel Spring Company and Symington Company, Symington Company gave to Railway Steel Spring Company an exclusive license under Reissue Letters Patent No. 18,266 to manufacture and sell the Coil-Elliptic device or any parts thereof, and to grant sublicenses.  In the Fall of 1932, Railway Steel Spring Company entered into an identical agreement with each of the defendant spring companies, licensing each company to manufacture and sell said Coil-Elliptic device and its parts (p. 8). By agreeement dated March 5, 1934, Universal Draft Gear Attachment Company gave to Railway Steel Company a license under Letters Patent No. 1,913,076 to manufacture, use, and sell Universal plates, with power to sublicense.  Railway Steel Spring Company, later in 1934, issued sublicenses to all of the defendant spring companies, except Crucible Steel Company of America, which was sublicensed in 1937.</t>
    <phoneticPr fontId="22" type="noConversion"/>
  </si>
  <si>
    <t>Rewald - American Lecithin Corporation</t>
    <phoneticPr fontId="22" type="noConversion"/>
  </si>
  <si>
    <t>Sollman (not German) - American Lecithin Corporation</t>
    <phoneticPr fontId="22" type="noConversion"/>
  </si>
  <si>
    <t>Schwieger - American Lecithin</t>
    <phoneticPr fontId="22" type="noConversion"/>
  </si>
  <si>
    <t>1934Leci</t>
    <phoneticPr fontId="22" type="noConversion"/>
  </si>
  <si>
    <t>Hansa</t>
    <phoneticPr fontId="22" type="noConversion"/>
  </si>
  <si>
    <t>1934Leci</t>
    <phoneticPr fontId="22" type="noConversion"/>
  </si>
  <si>
    <t>Working</t>
    <phoneticPr fontId="22" type="noConversion"/>
  </si>
  <si>
    <t>Rosse and Rowe</t>
    <phoneticPr fontId="22" type="noConversion"/>
  </si>
  <si>
    <t>Sollman</t>
    <phoneticPr fontId="22" type="noConversion"/>
  </si>
  <si>
    <t>Conway</t>
    <phoneticPr fontId="22" type="noConversion"/>
  </si>
  <si>
    <t>Jordan</t>
    <phoneticPr fontId="22" type="noConversion"/>
  </si>
  <si>
    <t>Beale</t>
    <phoneticPr fontId="22" type="noConversion"/>
  </si>
  <si>
    <t xml:space="preserve"> </t>
    <phoneticPr fontId="22" type="noConversion"/>
  </si>
  <si>
    <r>
      <t>From complaint</t>
    </r>
    <r>
      <rPr>
        <sz val="10"/>
        <rFont val="Verdana"/>
      </rPr>
      <t>:</t>
    </r>
    <phoneticPr fontId="22" type="noConversion"/>
  </si>
  <si>
    <t>(difficult to break up the second series of patents - assume one "sequence" number)</t>
    <phoneticPr fontId="22" type="noConversion"/>
  </si>
  <si>
    <t>RF</t>
  </si>
  <si>
    <t>sequence</t>
    <phoneticPr fontId="22" type="noConversion"/>
  </si>
  <si>
    <t>sequence</t>
    <phoneticPr fontId="22" type="noConversion"/>
  </si>
  <si>
    <t>sequence</t>
    <phoneticPr fontId="22" type="noConversion"/>
  </si>
  <si>
    <t>sequence</t>
    <phoneticPr fontId="22" type="noConversion"/>
  </si>
  <si>
    <t>Ful-Vue Sales Company</t>
  </si>
  <si>
    <t>Ful-Vue Sales Company</t>
    <phoneticPr fontId="22" type="noConversion"/>
  </si>
  <si>
    <t>Uhlemann Optical</t>
  </si>
  <si>
    <t>Uhlemann Optical</t>
    <phoneticPr fontId="22" type="noConversion"/>
  </si>
  <si>
    <t>Firms: American Optical, Bausch &amp; Lomb, Ful-Vue Sales Company, Uhlemann Optical</t>
    <phoneticPr fontId="22" type="noConversion"/>
  </si>
  <si>
    <t>International Carbonic Engineering Company (Adico)</t>
    <phoneticPr fontId="22" type="noConversion"/>
  </si>
  <si>
    <t>Rewald (Germany)</t>
    <phoneticPr fontId="22" type="noConversion"/>
  </si>
  <si>
    <t>Bollman (Germany)</t>
    <phoneticPr fontId="22" type="noConversion"/>
  </si>
  <si>
    <t>Hanseatiche</t>
    <phoneticPr fontId="22" type="noConversion"/>
  </si>
  <si>
    <t>Bollman (Germany) - Hanseatiche</t>
    <phoneticPr fontId="22" type="noConversion"/>
  </si>
  <si>
    <t>Beale - American Lecithin (not German)</t>
    <phoneticPr fontId="22" type="noConversion"/>
  </si>
  <si>
    <t>Rewald</t>
    <phoneticPr fontId="22" type="noConversion"/>
  </si>
  <si>
    <t>Hanseatische</t>
    <phoneticPr fontId="22" type="noConversion"/>
  </si>
  <si>
    <t>Bollman</t>
    <phoneticPr fontId="22" type="noConversion"/>
  </si>
  <si>
    <t>Rewald - Hanseatische</t>
    <phoneticPr fontId="22" type="noConversion"/>
  </si>
  <si>
    <t>Working (not German) - American Lecithin Corporation</t>
    <phoneticPr fontId="22" type="noConversion"/>
  </si>
  <si>
    <t>American Lecithin - Corporation (not German)</t>
    <phoneticPr fontId="22" type="noConversion"/>
  </si>
  <si>
    <t>Working (not German) - American Lecithin Corporation</t>
    <phoneticPr fontId="22" type="noConversion"/>
  </si>
  <si>
    <t>Ross and Rowe</t>
    <phoneticPr fontId="22" type="noConversion"/>
  </si>
  <si>
    <t>prior_litigation</t>
    <phoneticPr fontId="22" type="noConversion"/>
  </si>
  <si>
    <t>Average</t>
    <phoneticPr fontId="22" type="noConversion"/>
  </si>
  <si>
    <t>Median</t>
    <phoneticPr fontId="22" type="noConversion"/>
  </si>
  <si>
    <t>firm</t>
    <phoneticPr fontId="22" type="noConversion"/>
  </si>
  <si>
    <t>Pirelli</t>
    <phoneticPr fontId="22" type="noConversion"/>
  </si>
  <si>
    <t>General Cable Corporation</t>
    <phoneticPr fontId="22" type="noConversion"/>
  </si>
  <si>
    <t>GE</t>
    <phoneticPr fontId="22" type="noConversion"/>
  </si>
  <si>
    <t>Okonite</t>
    <phoneticPr fontId="22" type="noConversion"/>
  </si>
  <si>
    <t>Phelps-Dodge</t>
    <phoneticPr fontId="22" type="noConversion"/>
  </si>
  <si>
    <t>unclear</t>
    <phoneticPr fontId="22" type="noConversion"/>
  </si>
  <si>
    <t>Berkshire Knitting Mills</t>
    <phoneticPr fontId="22" type="noConversion"/>
  </si>
  <si>
    <t>Roko</t>
    <phoneticPr fontId="22" type="noConversion"/>
  </si>
  <si>
    <t>Gage</t>
    <phoneticPr fontId="22" type="noConversion"/>
  </si>
  <si>
    <t>DeVileg</t>
    <phoneticPr fontId="22" type="noConversion"/>
  </si>
  <si>
    <t>Phillips</t>
    <phoneticPr fontId="22" type="noConversion"/>
  </si>
  <si>
    <t>Kodak</t>
    <phoneticPr fontId="22" type="noConversion"/>
  </si>
  <si>
    <t>Technicolor</t>
    <phoneticPr fontId="22" type="noConversion"/>
  </si>
  <si>
    <t>Westinghouse</t>
    <phoneticPr fontId="22" type="noConversion"/>
  </si>
  <si>
    <t>American</t>
    <phoneticPr fontId="22" type="noConversion"/>
  </si>
  <si>
    <t>Hansa</t>
    <phoneticPr fontId="22" type="noConversion"/>
  </si>
  <si>
    <t>Ross and Rowe</t>
    <phoneticPr fontId="22" type="noConversion"/>
  </si>
  <si>
    <t>American</t>
    <phoneticPr fontId="22" type="noConversion"/>
  </si>
  <si>
    <t>Radio Condenser Company</t>
    <phoneticPr fontId="22" type="noConversion"/>
  </si>
  <si>
    <t>General Instrument Corporation</t>
    <phoneticPr fontId="22" type="noConversion"/>
  </si>
  <si>
    <t>Dejur-Amsco</t>
    <phoneticPr fontId="22" type="noConversion"/>
  </si>
  <si>
    <t>Siemens</t>
    <phoneticPr fontId="22" type="noConversion"/>
  </si>
  <si>
    <t>Bendix</t>
    <phoneticPr fontId="22" type="noConversion"/>
  </si>
  <si>
    <t>Smith and Sons</t>
    <phoneticPr fontId="22" type="noConversion"/>
  </si>
  <si>
    <t>Zenith (French)</t>
    <phoneticPr fontId="22" type="noConversion"/>
  </si>
  <si>
    <t>Budd Wheel Company</t>
    <phoneticPr fontId="22" type="noConversion"/>
  </si>
  <si>
    <t>Kelsey-Hayes</t>
    <phoneticPr fontId="22" type="noConversion"/>
  </si>
  <si>
    <t>Motor Wheel Corporation</t>
    <phoneticPr fontId="22" type="noConversion"/>
  </si>
  <si>
    <t>Chadeloid</t>
    <phoneticPr fontId="22" type="noConversion"/>
  </si>
  <si>
    <t>Kay &amp; Ess</t>
    <phoneticPr fontId="22" type="noConversion"/>
  </si>
  <si>
    <t>Southern States Equipment Company</t>
    <phoneticPr fontId="22" type="noConversion"/>
  </si>
  <si>
    <t>Ful-Vue Sales Company</t>
    <phoneticPr fontId="22" type="noConversion"/>
  </si>
  <si>
    <t>American Optical</t>
    <phoneticPr fontId="22" type="noConversion"/>
  </si>
  <si>
    <t>Bausch &amp; Lomb</t>
    <phoneticPr fontId="22" type="noConversion"/>
  </si>
  <si>
    <t>Uhlemann Optical</t>
    <phoneticPr fontId="22" type="noConversion"/>
  </si>
  <si>
    <t>Surefit Products Company</t>
    <phoneticPr fontId="22" type="noConversion"/>
  </si>
  <si>
    <t>American Bosch Magento Corporation/United American Bosch Corporation</t>
    <phoneticPr fontId="22" type="noConversion"/>
  </si>
  <si>
    <t>Note that American Bosch Magneto Corporation changed its name to United American Bosch Corporation on December 18, 1930</t>
    <phoneticPr fontId="22" type="noConversion"/>
  </si>
  <si>
    <t>Vaughan (pp. 157-58): "Another government complaint, in 1943, charged that Merck and Company entered into an agreement with E. Merck Chemical Works of Germany for a division of world markets and an exchange of patents and technological information for pharmaceutical products.  A consent decree in 1945 enjoined Merck from giving Merck of Germany any control over its affairs and from exchanging patents with it upon condition of refraining from competition.  It further required Merch to license about sixty patents royalty-free and to surrender for license by the alien property custodian its rights to fifty patents formerly owned by the German company."</t>
    <phoneticPr fontId="22" type="noConversion"/>
  </si>
  <si>
    <t>Symington-Gould</t>
    <phoneticPr fontId="22" type="noConversion"/>
  </si>
  <si>
    <t>Universal Railway Devices Corporation patents forced to be licensed (from Final Judgment):</t>
    <phoneticPr fontId="22" type="noConversion"/>
  </si>
  <si>
    <t>Universal Railway Devices Corporation</t>
  </si>
  <si>
    <t>Bolen- American Lecithin Corporation</t>
    <phoneticPr fontId="22" type="noConversion"/>
  </si>
  <si>
    <t>Jordan - American Lecithin Corporation</t>
    <phoneticPr fontId="22" type="noConversion"/>
  </si>
</sst>
</file>

<file path=xl/styles.xml><?xml version="1.0" encoding="utf-8"?>
<styleSheet xmlns="http://schemas.openxmlformats.org/spreadsheetml/2006/main">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8" formatCode="[$-409]d\-mmm;@"/>
    <numFmt numFmtId="169" formatCode="yyyy&quot;/&quot;m&quot;/&quot;d;@"/>
    <numFmt numFmtId="170" formatCode="m/d/yyyy"/>
  </numFmts>
  <fonts count="47">
    <font>
      <sz val="10"/>
      <name val="Verdana"/>
    </font>
    <font>
      <b/>
      <sz val="10"/>
      <name val="Verdana"/>
    </font>
    <font>
      <b/>
      <sz val="10"/>
      <name val="Verdana"/>
    </font>
    <font>
      <b/>
      <sz val="10"/>
      <name val="Verdana"/>
    </font>
    <font>
      <sz val="10"/>
      <name val="Verdana"/>
    </font>
    <font>
      <b/>
      <sz val="10"/>
      <name val="Verdana"/>
    </font>
    <font>
      <sz val="10"/>
      <name val="Verdana"/>
    </font>
    <font>
      <b/>
      <sz val="10"/>
      <name val="Verdana"/>
    </font>
    <font>
      <sz val="10"/>
      <name val="Verdana"/>
    </font>
    <font>
      <b/>
      <sz val="10"/>
      <name val="Verdana"/>
    </font>
    <font>
      <sz val="10"/>
      <name val="Verdana"/>
    </font>
    <font>
      <b/>
      <sz val="10"/>
      <name val="Verdana"/>
    </font>
    <font>
      <sz val="10"/>
      <name val="Verdana"/>
    </font>
    <font>
      <sz val="10"/>
      <name val="Verdana"/>
    </font>
    <font>
      <sz val="10"/>
      <name val="Verdana"/>
    </font>
    <font>
      <sz val="10"/>
      <name val="Verdana"/>
    </font>
    <font>
      <sz val="10"/>
      <name val="Verdana"/>
    </font>
    <font>
      <b/>
      <sz val="10"/>
      <name val="Verdana"/>
    </font>
    <font>
      <u/>
      <sz val="12"/>
      <name val="Calibri"/>
    </font>
    <font>
      <sz val="10"/>
      <name val="Verdana"/>
    </font>
    <font>
      <b/>
      <sz val="10"/>
      <name val="Verdana"/>
    </font>
    <font>
      <sz val="10"/>
      <name val="Verdana"/>
    </font>
    <font>
      <sz val="8"/>
      <name val="Verdana"/>
    </font>
    <font>
      <sz val="11"/>
      <color indexed="8"/>
      <name val="Calibri"/>
      <family val="3"/>
    </font>
    <font>
      <b/>
      <sz val="10"/>
      <color indexed="8"/>
      <name val="Arial"/>
      <family val="2"/>
    </font>
    <font>
      <sz val="10"/>
      <color indexed="8"/>
      <name val="Arial"/>
      <family val="2"/>
    </font>
    <font>
      <b/>
      <sz val="12"/>
      <color indexed="8"/>
      <name val="Calibri"/>
    </font>
    <font>
      <sz val="12"/>
      <name val="Calibri"/>
    </font>
    <font>
      <sz val="12"/>
      <color indexed="8"/>
      <name val="Calibri"/>
    </font>
    <font>
      <b/>
      <sz val="12"/>
      <name val="Calibri"/>
    </font>
    <font>
      <sz val="10"/>
      <name val="Arial"/>
      <family val="2"/>
    </font>
    <font>
      <sz val="11"/>
      <color indexed="60"/>
      <name val="Calibri"/>
      <family val="3"/>
    </font>
    <font>
      <sz val="10"/>
      <color indexed="8"/>
      <name val="Verdana"/>
    </font>
    <font>
      <u/>
      <sz val="10"/>
      <name val="Verdana"/>
    </font>
    <font>
      <u/>
      <sz val="10"/>
      <name val="Arial"/>
    </font>
    <font>
      <sz val="10"/>
      <name val="Verdana"/>
    </font>
    <font>
      <sz val="10"/>
      <name val="Arial"/>
      <family val="2"/>
    </font>
    <font>
      <sz val="10"/>
      <name val="Verdana"/>
    </font>
    <font>
      <b/>
      <sz val="10"/>
      <color indexed="8"/>
      <name val="Verdana"/>
    </font>
    <font>
      <sz val="10"/>
      <name val="Verdana"/>
    </font>
    <font>
      <b/>
      <sz val="10"/>
      <color indexed="25"/>
      <name val="Arial"/>
    </font>
    <font>
      <sz val="11"/>
      <name val="Calibri"/>
      <family val="2"/>
    </font>
    <font>
      <sz val="10"/>
      <color indexed="10"/>
      <name val="Verdana"/>
      <family val="2"/>
    </font>
    <font>
      <sz val="8"/>
      <name val="돋움"/>
      <family val="3"/>
    </font>
    <font>
      <sz val="10"/>
      <name val="#궁서체"/>
      <family val="3"/>
      <charset val="129"/>
    </font>
    <font>
      <b/>
      <sz val="11"/>
      <color indexed="8"/>
      <name val="Calibri"/>
      <family val="3"/>
    </font>
    <font>
      <b/>
      <sz val="11"/>
      <name val="Calibri"/>
    </font>
  </fonts>
  <fills count="19">
    <fill>
      <patternFill patternType="none"/>
    </fill>
    <fill>
      <patternFill patternType="gray125"/>
    </fill>
    <fill>
      <patternFill patternType="solid">
        <fgColor indexed="13"/>
        <bgColor indexed="64"/>
      </patternFill>
    </fill>
    <fill>
      <patternFill patternType="solid">
        <fgColor indexed="40"/>
        <bgColor indexed="64"/>
      </patternFill>
    </fill>
    <fill>
      <patternFill patternType="solid">
        <fgColor indexed="10"/>
        <bgColor indexed="64"/>
      </patternFill>
    </fill>
    <fill>
      <patternFill patternType="solid">
        <fgColor indexed="50"/>
        <bgColor indexed="64"/>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indexed="53"/>
        <bgColor indexed="64"/>
      </patternFill>
    </fill>
    <fill>
      <patternFill patternType="solid">
        <fgColor indexed="45"/>
        <bgColor indexed="64"/>
      </patternFill>
    </fill>
    <fill>
      <patternFill patternType="solid">
        <fgColor indexed="46"/>
        <bgColor indexed="64"/>
      </patternFill>
    </fill>
    <fill>
      <patternFill patternType="solid">
        <fgColor indexed="55"/>
        <bgColor indexed="64"/>
      </patternFill>
    </fill>
    <fill>
      <patternFill patternType="solid">
        <fgColor indexed="52"/>
        <bgColor indexed="64"/>
      </patternFill>
    </fill>
    <fill>
      <patternFill patternType="solid">
        <fgColor indexed="51"/>
        <bgColor indexed="64"/>
      </patternFill>
    </fill>
    <fill>
      <patternFill patternType="solid">
        <fgColor indexed="9"/>
        <bgColor indexed="64"/>
      </patternFill>
    </fill>
    <fill>
      <patternFill patternType="solid">
        <fgColor indexed="49"/>
        <bgColor indexed="64"/>
      </patternFill>
    </fill>
    <fill>
      <patternFill patternType="solid">
        <fgColor indexed="21"/>
        <bgColor indexed="64"/>
      </patternFill>
    </fill>
    <fill>
      <patternFill patternType="solid">
        <fgColor indexed="15"/>
        <bgColor indexed="64"/>
      </patternFill>
    </fill>
  </fills>
  <borders count="4">
    <border>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31" fillId="2" borderId="0" applyNumberFormat="0" applyBorder="0" applyAlignment="0" applyProtection="0"/>
  </cellStyleXfs>
  <cellXfs count="384">
    <xf numFmtId="0" fontId="0" fillId="0" borderId="0" xfId="0"/>
    <xf numFmtId="0" fontId="24" fillId="0" borderId="0" xfId="0" applyFont="1" applyAlignment="1">
      <alignment horizontal="center" wrapText="1"/>
    </xf>
    <xf numFmtId="0" fontId="24" fillId="6" borderId="1" xfId="0" applyFont="1" applyFill="1" applyBorder="1" applyAlignment="1">
      <alignment horizontal="center" wrapText="1"/>
    </xf>
    <xf numFmtId="0" fontId="24" fillId="6" borderId="2" xfId="0" applyFont="1" applyFill="1" applyBorder="1" applyAlignment="1">
      <alignment horizontal="center" wrapText="1"/>
    </xf>
    <xf numFmtId="0" fontId="24" fillId="6" borderId="0" xfId="0" applyFont="1" applyFill="1" applyAlignment="1">
      <alignment horizontal="center" wrapText="1"/>
    </xf>
    <xf numFmtId="0" fontId="24" fillId="7" borderId="1" xfId="0" applyFont="1" applyFill="1" applyBorder="1" applyAlignment="1">
      <alignment horizontal="center" wrapText="1"/>
    </xf>
    <xf numFmtId="0" fontId="24" fillId="7" borderId="0" xfId="0" applyFont="1" applyFill="1" applyBorder="1" applyAlignment="1">
      <alignment horizontal="center" wrapText="1"/>
    </xf>
    <xf numFmtId="0" fontId="24" fillId="7" borderId="3" xfId="0" applyFont="1" applyFill="1" applyBorder="1" applyAlignment="1">
      <alignment horizontal="center" wrapText="1"/>
    </xf>
    <xf numFmtId="0" fontId="24" fillId="8" borderId="1" xfId="0" applyFont="1" applyFill="1" applyBorder="1" applyAlignment="1">
      <alignment horizontal="center" wrapText="1"/>
    </xf>
    <xf numFmtId="0" fontId="24" fillId="8" borderId="0" xfId="0" applyFont="1" applyFill="1" applyBorder="1" applyAlignment="1">
      <alignment horizontal="center" wrapText="1"/>
    </xf>
    <xf numFmtId="0" fontId="24" fillId="8" borderId="0" xfId="0" applyFont="1" applyFill="1" applyAlignment="1">
      <alignment horizontal="center" wrapText="1"/>
    </xf>
    <xf numFmtId="0" fontId="24" fillId="0" borderId="1" xfId="0" applyFont="1" applyBorder="1" applyAlignment="1">
      <alignment horizontal="center" wrapText="1"/>
    </xf>
    <xf numFmtId="0" fontId="25" fillId="0" borderId="0" xfId="0" applyFont="1" applyAlignment="1">
      <alignment horizontal="center" wrapText="1"/>
    </xf>
    <xf numFmtId="0" fontId="20" fillId="0" borderId="0" xfId="0" applyFont="1"/>
    <xf numFmtId="0" fontId="26" fillId="0" borderId="0" xfId="0" applyFont="1"/>
    <xf numFmtId="0" fontId="27" fillId="0" borderId="0" xfId="0" applyFont="1"/>
    <xf numFmtId="0" fontId="28" fillId="0" borderId="0" xfId="0" applyFont="1"/>
    <xf numFmtId="0" fontId="27" fillId="2" borderId="0" xfId="0" applyFont="1" applyFill="1"/>
    <xf numFmtId="0" fontId="27" fillId="4" borderId="0" xfId="0" applyFont="1" applyFill="1"/>
    <xf numFmtId="0" fontId="27" fillId="0" borderId="0" xfId="0" applyFont="1" applyAlignment="1">
      <alignment horizontal="left"/>
    </xf>
    <xf numFmtId="0" fontId="27" fillId="3" borderId="0" xfId="0" applyFont="1" applyFill="1"/>
    <xf numFmtId="0" fontId="28" fillId="0" borderId="0" xfId="0" applyFont="1" applyAlignment="1">
      <alignment horizontal="left"/>
    </xf>
    <xf numFmtId="0" fontId="28" fillId="0" borderId="0" xfId="0" applyFont="1" applyAlignment="1"/>
    <xf numFmtId="0" fontId="27" fillId="0" borderId="0" xfId="0" applyFont="1" applyFill="1"/>
    <xf numFmtId="0" fontId="27" fillId="5" borderId="0" xfId="0" applyFont="1" applyFill="1"/>
    <xf numFmtId="0" fontId="29" fillId="0" borderId="0" xfId="0" applyFont="1"/>
    <xf numFmtId="0" fontId="30" fillId="0" borderId="0" xfId="0" applyFont="1"/>
    <xf numFmtId="0" fontId="30" fillId="0" borderId="0" xfId="0" applyFont="1" applyAlignment="1">
      <alignment horizontal="center"/>
    </xf>
    <xf numFmtId="0" fontId="21" fillId="0" borderId="0" xfId="0" applyFont="1"/>
    <xf numFmtId="0" fontId="27" fillId="0" borderId="0" xfId="0" applyFont="1" applyAlignment="1">
      <alignment horizontal="center"/>
    </xf>
    <xf numFmtId="0" fontId="27" fillId="0" borderId="0" xfId="0" applyFont="1" applyAlignment="1"/>
    <xf numFmtId="0" fontId="0" fillId="0" borderId="0" xfId="0" applyAlignment="1">
      <alignment horizontal="left"/>
    </xf>
    <xf numFmtId="0" fontId="25" fillId="0" borderId="0" xfId="0" applyFont="1" applyAlignment="1">
      <alignment horizontal="left"/>
    </xf>
    <xf numFmtId="0" fontId="30" fillId="0" borderId="0" xfId="0" applyFont="1" applyAlignment="1">
      <alignment horizontal="left"/>
    </xf>
    <xf numFmtId="0" fontId="30" fillId="0" borderId="0" xfId="0" applyFont="1" applyAlignment="1"/>
    <xf numFmtId="15" fontId="30" fillId="0" borderId="0" xfId="0" applyNumberFormat="1" applyFont="1" applyAlignment="1">
      <alignment horizontal="center"/>
    </xf>
    <xf numFmtId="0" fontId="25" fillId="0" borderId="0" xfId="0" applyFont="1" applyAlignment="1">
      <alignment horizontal="left" wrapText="1"/>
    </xf>
    <xf numFmtId="0" fontId="24" fillId="7" borderId="0" xfId="0" applyFont="1" applyFill="1" applyAlignment="1">
      <alignment horizontal="center" wrapText="1"/>
    </xf>
    <xf numFmtId="0" fontId="19" fillId="0" borderId="0" xfId="0" applyFont="1"/>
    <xf numFmtId="0" fontId="27" fillId="0" borderId="0" xfId="0" applyFont="1" applyFill="1" applyAlignment="1"/>
    <xf numFmtId="15" fontId="0" fillId="0" borderId="0" xfId="0" applyNumberFormat="1"/>
    <xf numFmtId="17" fontId="0" fillId="0" borderId="0" xfId="0" applyNumberFormat="1"/>
    <xf numFmtId="0" fontId="0" fillId="0" borderId="0" xfId="0" applyFill="1"/>
    <xf numFmtId="15" fontId="0" fillId="0" borderId="0" xfId="0" applyNumberFormat="1" applyFill="1"/>
    <xf numFmtId="0" fontId="25" fillId="0" borderId="0" xfId="0" applyFont="1" applyFill="1" applyBorder="1" applyAlignment="1">
      <alignment horizontal="center" wrapText="1"/>
    </xf>
    <xf numFmtId="0" fontId="25" fillId="0" borderId="0" xfId="0" applyFont="1" applyFill="1" applyAlignment="1">
      <alignment horizontal="center" wrapText="1"/>
    </xf>
    <xf numFmtId="14" fontId="0" fillId="0" borderId="0" xfId="0" applyNumberFormat="1"/>
    <xf numFmtId="0" fontId="33" fillId="0" borderId="0" xfId="0" applyFont="1"/>
    <xf numFmtId="0" fontId="34" fillId="0" borderId="0" xfId="0" applyFont="1"/>
    <xf numFmtId="15" fontId="30" fillId="0" borderId="0" xfId="0" applyNumberFormat="1" applyFont="1"/>
    <xf numFmtId="0" fontId="24" fillId="6" borderId="0" xfId="0" applyFont="1" applyFill="1" applyBorder="1" applyAlignment="1">
      <alignment horizontal="center" wrapText="1"/>
    </xf>
    <xf numFmtId="0" fontId="24" fillId="0" borderId="0" xfId="0" applyFont="1" applyBorder="1" applyAlignment="1">
      <alignment horizontal="center" wrapText="1"/>
    </xf>
    <xf numFmtId="0" fontId="24" fillId="0" borderId="0" xfId="0" applyFont="1" applyFill="1" applyAlignment="1">
      <alignment horizontal="center" wrapText="1"/>
    </xf>
    <xf numFmtId="0" fontId="24" fillId="0" borderId="0" xfId="0" applyFont="1" applyFill="1" applyBorder="1" applyAlignment="1">
      <alignment horizontal="center" wrapText="1"/>
    </xf>
    <xf numFmtId="0" fontId="25" fillId="0" borderId="0" xfId="0" applyFont="1" applyFill="1" applyAlignment="1">
      <alignment horizontal="left" vertical="top" wrapText="1"/>
    </xf>
    <xf numFmtId="0" fontId="24" fillId="0" borderId="0" xfId="0" applyFont="1" applyFill="1" applyAlignment="1">
      <alignment horizontal="left" vertical="top" wrapText="1"/>
    </xf>
    <xf numFmtId="0" fontId="24" fillId="0" borderId="0" xfId="0" applyFont="1" applyFill="1" applyBorder="1" applyAlignment="1">
      <alignment horizontal="left" vertical="top" wrapText="1"/>
    </xf>
    <xf numFmtId="0" fontId="25" fillId="0" borderId="0" xfId="0" applyFont="1" applyFill="1" applyAlignment="1">
      <alignment horizontal="left" vertical="top"/>
    </xf>
    <xf numFmtId="0" fontId="25" fillId="0" borderId="0" xfId="0" applyFont="1" applyFill="1" applyAlignment="1">
      <alignment horizontal="left"/>
    </xf>
    <xf numFmtId="15" fontId="0" fillId="0" borderId="0" xfId="0" applyNumberFormat="1" applyAlignment="1">
      <alignment horizontal="center"/>
    </xf>
    <xf numFmtId="0" fontId="0" fillId="0" borderId="0" xfId="0" applyAlignment="1"/>
    <xf numFmtId="0" fontId="0" fillId="0" borderId="0" xfId="0"/>
    <xf numFmtId="0" fontId="0" fillId="0" borderId="0" xfId="0" applyAlignment="1">
      <alignment horizontal="center"/>
    </xf>
    <xf numFmtId="0" fontId="35" fillId="0" borderId="0" xfId="0" applyFont="1" applyAlignment="1">
      <alignment horizontal="center"/>
    </xf>
    <xf numFmtId="0" fontId="37" fillId="0" borderId="0" xfId="0" applyFont="1"/>
    <xf numFmtId="15" fontId="37" fillId="0" borderId="0" xfId="0" applyNumberFormat="1" applyFont="1"/>
    <xf numFmtId="0" fontId="36" fillId="0" borderId="0" xfId="0" applyFont="1"/>
    <xf numFmtId="0" fontId="0" fillId="0" borderId="0" xfId="0"/>
    <xf numFmtId="0" fontId="0" fillId="0" borderId="0" xfId="0"/>
    <xf numFmtId="0" fontId="0" fillId="0" borderId="0" xfId="0"/>
    <xf numFmtId="0" fontId="35" fillId="0" borderId="0" xfId="0" applyFont="1"/>
    <xf numFmtId="0" fontId="0" fillId="0" borderId="0" xfId="0"/>
    <xf numFmtId="0" fontId="0" fillId="0" borderId="0" xfId="0" applyAlignment="1">
      <alignment horizontal="right"/>
    </xf>
    <xf numFmtId="0" fontId="0" fillId="0" borderId="0" xfId="0"/>
    <xf numFmtId="0" fontId="26" fillId="0" borderId="0" xfId="0" applyFont="1" applyFill="1"/>
    <xf numFmtId="0" fontId="28" fillId="0" borderId="0" xfId="0" applyFont="1" applyFill="1"/>
    <xf numFmtId="0" fontId="18" fillId="0" borderId="0" xfId="0" applyFont="1"/>
    <xf numFmtId="0" fontId="26" fillId="0" borderId="0" xfId="0" applyFont="1" applyAlignment="1">
      <alignment horizontal="right"/>
    </xf>
    <xf numFmtId="0" fontId="27" fillId="0" borderId="0" xfId="0" applyFont="1" applyAlignment="1">
      <alignment horizontal="right"/>
    </xf>
    <xf numFmtId="0" fontId="28" fillId="0" borderId="0" xfId="0" applyFont="1" applyAlignment="1">
      <alignment horizontal="right"/>
    </xf>
    <xf numFmtId="0" fontId="27" fillId="0" borderId="0" xfId="0" applyFont="1" applyFill="1" applyAlignment="1">
      <alignment horizontal="right"/>
    </xf>
    <xf numFmtId="0" fontId="17" fillId="0" borderId="0" xfId="0" applyFont="1"/>
    <xf numFmtId="0" fontId="38" fillId="0" borderId="0" xfId="0" applyFont="1" applyAlignment="1">
      <alignment horizontal="center" wrapText="1"/>
    </xf>
    <xf numFmtId="0" fontId="39" fillId="0" borderId="0" xfId="0" applyFont="1"/>
    <xf numFmtId="0" fontId="32" fillId="0" borderId="0" xfId="0" applyFont="1" applyAlignment="1">
      <alignment horizontal="left"/>
    </xf>
    <xf numFmtId="14" fontId="39" fillId="0" borderId="0" xfId="0" applyNumberFormat="1" applyFont="1"/>
    <xf numFmtId="0" fontId="0" fillId="0" borderId="0" xfId="0" applyFont="1"/>
    <xf numFmtId="0" fontId="32" fillId="0" borderId="0" xfId="0" applyFont="1" applyAlignment="1">
      <alignment horizontal="center" wrapText="1"/>
    </xf>
    <xf numFmtId="0" fontId="39" fillId="0" borderId="0" xfId="0" applyFont="1" applyAlignment="1">
      <alignment horizontal="left"/>
    </xf>
    <xf numFmtId="0" fontId="32" fillId="0" borderId="0" xfId="0" applyFont="1" applyAlignment="1">
      <alignment horizontal="left" wrapText="1"/>
    </xf>
    <xf numFmtId="0" fontId="38" fillId="6" borderId="1" xfId="0" applyFont="1" applyFill="1" applyBorder="1" applyAlignment="1">
      <alignment horizontal="center" wrapText="1"/>
    </xf>
    <xf numFmtId="0" fontId="38" fillId="6" borderId="2" xfId="0" applyFont="1" applyFill="1" applyBorder="1" applyAlignment="1">
      <alignment horizontal="center" wrapText="1"/>
    </xf>
    <xf numFmtId="0" fontId="38" fillId="6" borderId="0" xfId="0" applyFont="1" applyFill="1" applyAlignment="1">
      <alignment horizontal="center" wrapText="1"/>
    </xf>
    <xf numFmtId="0" fontId="38" fillId="7" borderId="1" xfId="0" applyFont="1" applyFill="1" applyBorder="1" applyAlignment="1">
      <alignment horizontal="center" wrapText="1"/>
    </xf>
    <xf numFmtId="0" fontId="38" fillId="7" borderId="0" xfId="0" applyFont="1" applyFill="1" applyBorder="1" applyAlignment="1">
      <alignment horizontal="center" wrapText="1"/>
    </xf>
    <xf numFmtId="0" fontId="38" fillId="7" borderId="3" xfId="0" applyFont="1" applyFill="1" applyBorder="1" applyAlignment="1">
      <alignment horizontal="center" wrapText="1"/>
    </xf>
    <xf numFmtId="0" fontId="38" fillId="8" borderId="1" xfId="0" applyFont="1" applyFill="1" applyBorder="1" applyAlignment="1">
      <alignment horizontal="center" wrapText="1"/>
    </xf>
    <xf numFmtId="0" fontId="38" fillId="8" borderId="0" xfId="0" applyFont="1" applyFill="1" applyBorder="1" applyAlignment="1">
      <alignment horizontal="center" wrapText="1"/>
    </xf>
    <xf numFmtId="0" fontId="38" fillId="8" borderId="0" xfId="0" applyFont="1" applyFill="1" applyAlignment="1">
      <alignment horizontal="center" wrapText="1"/>
    </xf>
    <xf numFmtId="0" fontId="38" fillId="0" borderId="1" xfId="0" applyFont="1" applyBorder="1" applyAlignment="1">
      <alignment horizontal="center" wrapText="1"/>
    </xf>
    <xf numFmtId="0" fontId="38" fillId="0" borderId="0" xfId="0" applyFont="1" applyFill="1" applyAlignment="1">
      <alignment horizontal="center" wrapText="1"/>
    </xf>
    <xf numFmtId="0" fontId="38" fillId="0" borderId="0" xfId="0" applyFont="1" applyFill="1" applyBorder="1" applyAlignment="1">
      <alignment horizontal="center" wrapText="1"/>
    </xf>
    <xf numFmtId="0" fontId="32" fillId="0" borderId="0" xfId="0" applyFont="1" applyFill="1" applyAlignment="1">
      <alignment horizontal="center" wrapText="1"/>
    </xf>
    <xf numFmtId="14" fontId="35" fillId="0" borderId="0" xfId="0" applyNumberFormat="1" applyFont="1"/>
    <xf numFmtId="14" fontId="35" fillId="0" borderId="0" xfId="0" applyNumberFormat="1" applyFont="1" applyAlignment="1"/>
    <xf numFmtId="0" fontId="35" fillId="0" borderId="0" xfId="0" applyFont="1" applyFill="1" applyBorder="1"/>
    <xf numFmtId="14" fontId="35" fillId="0" borderId="0" xfId="0" applyNumberFormat="1" applyFont="1" applyAlignment="1">
      <alignment horizontal="right"/>
    </xf>
    <xf numFmtId="0" fontId="27" fillId="9" borderId="0" xfId="0" applyFont="1" applyFill="1"/>
    <xf numFmtId="14" fontId="30" fillId="0" borderId="0" xfId="0" applyNumberFormat="1" applyFont="1"/>
    <xf numFmtId="0" fontId="0" fillId="0" borderId="0" xfId="0" applyFill="1" applyBorder="1"/>
    <xf numFmtId="0" fontId="38" fillId="6" borderId="0" xfId="0" applyFont="1" applyFill="1" applyBorder="1" applyAlignment="1">
      <alignment horizontal="center" wrapText="1"/>
    </xf>
    <xf numFmtId="0" fontId="38" fillId="0" borderId="0" xfId="0" applyFont="1" applyBorder="1" applyAlignment="1">
      <alignment horizontal="center" wrapText="1"/>
    </xf>
    <xf numFmtId="14" fontId="0" fillId="0" borderId="0" xfId="0" applyNumberFormat="1" applyFill="1"/>
    <xf numFmtId="0" fontId="27" fillId="0" borderId="0" xfId="0" applyFont="1"/>
    <xf numFmtId="0" fontId="27" fillId="10" borderId="0" xfId="0" applyFont="1" applyFill="1"/>
    <xf numFmtId="0" fontId="0" fillId="0" borderId="0" xfId="0"/>
    <xf numFmtId="0" fontId="27" fillId="0" borderId="0" xfId="0" applyFont="1"/>
    <xf numFmtId="0" fontId="0" fillId="0" borderId="0" xfId="0"/>
    <xf numFmtId="0" fontId="27" fillId="0" borderId="0" xfId="0" applyFont="1"/>
    <xf numFmtId="0" fontId="27" fillId="0" borderId="0" xfId="0" applyFont="1"/>
    <xf numFmtId="0" fontId="0" fillId="0" borderId="0" xfId="0"/>
    <xf numFmtId="0" fontId="27" fillId="0" borderId="0" xfId="0" applyFont="1"/>
    <xf numFmtId="0" fontId="28" fillId="0" borderId="0" xfId="0" applyFont="1" applyAlignment="1">
      <alignment horizontal="left"/>
    </xf>
    <xf numFmtId="0" fontId="0" fillId="0" borderId="0" xfId="0"/>
    <xf numFmtId="0" fontId="20" fillId="0" borderId="0" xfId="0" applyFont="1" applyFill="1"/>
    <xf numFmtId="0" fontId="35" fillId="0" borderId="0" xfId="0" applyFont="1" applyFill="1"/>
    <xf numFmtId="0" fontId="33" fillId="0" borderId="0" xfId="0" applyFont="1" applyFill="1"/>
    <xf numFmtId="0" fontId="39" fillId="0" borderId="0" xfId="0" applyFont="1" applyFill="1"/>
    <xf numFmtId="0" fontId="23" fillId="0" borderId="0" xfId="0" applyFont="1" applyFill="1"/>
    <xf numFmtId="168" fontId="23" fillId="0" borderId="0" xfId="0" applyNumberFormat="1" applyFont="1" applyFill="1"/>
    <xf numFmtId="0" fontId="27" fillId="0" borderId="0" xfId="0" applyFont="1"/>
    <xf numFmtId="0" fontId="29" fillId="0" borderId="0" xfId="0" applyFont="1" applyFill="1"/>
    <xf numFmtId="3" fontId="27" fillId="0" borderId="0" xfId="0" applyNumberFormat="1" applyFont="1" applyAlignment="1"/>
    <xf numFmtId="14" fontId="32" fillId="0" borderId="0" xfId="0" applyNumberFormat="1" applyFont="1" applyAlignment="1">
      <alignment horizontal="right" wrapText="1"/>
    </xf>
    <xf numFmtId="0" fontId="26" fillId="0" borderId="0" xfId="0" applyFont="1" applyAlignment="1">
      <alignment horizontal="center"/>
    </xf>
    <xf numFmtId="0" fontId="27" fillId="0" borderId="0" xfId="0" applyFont="1" applyFill="1" applyAlignment="1">
      <alignment horizontal="center"/>
    </xf>
    <xf numFmtId="0" fontId="16" fillId="0" borderId="0" xfId="0" applyFont="1"/>
    <xf numFmtId="0" fontId="39" fillId="0" borderId="0" xfId="0" applyFont="1" applyAlignment="1">
      <alignment horizontal="right"/>
    </xf>
    <xf numFmtId="0" fontId="27" fillId="0" borderId="0" xfId="0" applyFont="1"/>
    <xf numFmtId="0" fontId="39" fillId="0" borderId="0" xfId="0" applyFont="1" applyFill="1" applyAlignment="1">
      <alignment horizontal="center"/>
    </xf>
    <xf numFmtId="14" fontId="39" fillId="0" borderId="0" xfId="0" applyNumberFormat="1" applyFont="1" applyFill="1"/>
    <xf numFmtId="15" fontId="30" fillId="0" borderId="0" xfId="0" applyNumberFormat="1" applyFont="1" applyAlignment="1">
      <alignment horizontal="right"/>
    </xf>
    <xf numFmtId="15" fontId="0" fillId="0" borderId="0" xfId="0" applyNumberFormat="1" applyAlignment="1">
      <alignment horizontal="right"/>
    </xf>
    <xf numFmtId="0" fontId="30" fillId="0" borderId="0" xfId="0" applyFont="1" applyFill="1" applyAlignment="1">
      <alignment horizontal="center"/>
    </xf>
    <xf numFmtId="15" fontId="30" fillId="0" borderId="0" xfId="0" applyNumberFormat="1" applyFont="1" applyFill="1" applyAlignment="1">
      <alignment horizontal="center"/>
    </xf>
    <xf numFmtId="0" fontId="30" fillId="0" borderId="0" xfId="0" applyFont="1" applyFill="1" applyAlignment="1">
      <alignment horizontal="left"/>
    </xf>
    <xf numFmtId="0" fontId="30" fillId="0" borderId="0" xfId="0" applyFont="1" applyFill="1"/>
    <xf numFmtId="0" fontId="23" fillId="0" borderId="0" xfId="0" applyFont="1" applyFill="1" applyAlignment="1">
      <alignment horizontal="center"/>
    </xf>
    <xf numFmtId="0" fontId="41" fillId="0" borderId="0" xfId="0" applyFont="1" applyFill="1"/>
    <xf numFmtId="168" fontId="41" fillId="0" borderId="0" xfId="0" applyNumberFormat="1" applyFont="1" applyFill="1"/>
    <xf numFmtId="16" fontId="23" fillId="0" borderId="0" xfId="0" applyNumberFormat="1" applyFont="1" applyFill="1"/>
    <xf numFmtId="0" fontId="0" fillId="0" borderId="0" xfId="0" applyFill="1" applyAlignment="1">
      <alignment horizontal="center"/>
    </xf>
    <xf numFmtId="0" fontId="27" fillId="0" borderId="0" xfId="0" applyFont="1"/>
    <xf numFmtId="0" fontId="27" fillId="0" borderId="0" xfId="0" applyFont="1"/>
    <xf numFmtId="0" fontId="13" fillId="0" borderId="0" xfId="0" applyFont="1" applyFill="1"/>
    <xf numFmtId="0" fontId="30" fillId="0" borderId="0" xfId="0" applyFont="1" applyAlignment="1">
      <alignment horizontal="right"/>
    </xf>
    <xf numFmtId="14" fontId="25" fillId="0" borderId="0" xfId="0" applyNumberFormat="1" applyFont="1" applyFill="1" applyAlignment="1">
      <alignment horizontal="center" wrapText="1"/>
    </xf>
    <xf numFmtId="14" fontId="30" fillId="0" borderId="0" xfId="0" applyNumberFormat="1" applyFont="1" applyAlignment="1">
      <alignment horizontal="center"/>
    </xf>
    <xf numFmtId="0" fontId="11" fillId="0" borderId="0" xfId="0" applyFont="1"/>
    <xf numFmtId="169" fontId="0" fillId="0" borderId="0" xfId="0" applyNumberFormat="1"/>
    <xf numFmtId="0" fontId="42" fillId="0" borderId="0" xfId="0" applyFont="1"/>
    <xf numFmtId="169" fontId="42" fillId="0" borderId="0" xfId="0" applyNumberFormat="1" applyFont="1"/>
    <xf numFmtId="0" fontId="0" fillId="11" borderId="0" xfId="0" applyFill="1"/>
    <xf numFmtId="0" fontId="0" fillId="0" borderId="0" xfId="0"/>
    <xf numFmtId="169" fontId="0" fillId="0" borderId="0" xfId="0" applyNumberFormat="1" applyFill="1"/>
    <xf numFmtId="0" fontId="32" fillId="0" borderId="0" xfId="0" applyFont="1" applyFill="1"/>
    <xf numFmtId="0" fontId="32" fillId="0" borderId="0" xfId="0" applyFont="1" applyFill="1" applyAlignment="1">
      <alignment horizontal="center"/>
    </xf>
    <xf numFmtId="0" fontId="0" fillId="12" borderId="0" xfId="0" applyFill="1"/>
    <xf numFmtId="14" fontId="0" fillId="12" borderId="0" xfId="0" applyNumberFormat="1" applyFill="1"/>
    <xf numFmtId="169" fontId="38" fillId="0" borderId="0" xfId="0" applyNumberFormat="1" applyFont="1" applyAlignment="1">
      <alignment horizontal="center" wrapText="1"/>
    </xf>
    <xf numFmtId="0" fontId="0" fillId="0" borderId="0" xfId="0" applyAlignment="1">
      <alignment vertical="center"/>
    </xf>
    <xf numFmtId="169" fontId="0" fillId="0" borderId="0" xfId="0" applyNumberFormat="1" applyAlignment="1">
      <alignment vertical="center"/>
    </xf>
    <xf numFmtId="169" fontId="0" fillId="0" borderId="0" xfId="0" applyNumberFormat="1" applyFill="1" applyAlignment="1">
      <alignment vertical="center"/>
    </xf>
    <xf numFmtId="0" fontId="0" fillId="2" borderId="0" xfId="0" applyFill="1"/>
    <xf numFmtId="0" fontId="0" fillId="2" borderId="0" xfId="0" applyFill="1" applyAlignment="1">
      <alignment vertical="center"/>
    </xf>
    <xf numFmtId="169" fontId="0" fillId="2" borderId="0" xfId="0" applyNumberFormat="1" applyFill="1" applyAlignment="1">
      <alignment vertical="center"/>
    </xf>
    <xf numFmtId="0" fontId="0" fillId="13" borderId="0" xfId="0" applyFill="1"/>
    <xf numFmtId="0" fontId="0" fillId="0" borderId="0" xfId="0" applyFill="1" applyAlignment="1">
      <alignment vertical="center"/>
    </xf>
    <xf numFmtId="0" fontId="0" fillId="14" borderId="0" xfId="0" applyFill="1"/>
    <xf numFmtId="0" fontId="0" fillId="14" borderId="0" xfId="0" applyFont="1" applyFill="1"/>
    <xf numFmtId="169" fontId="0" fillId="0" borderId="0" xfId="0" applyNumberFormat="1" applyFill="1" applyAlignment="1">
      <alignment vertical="center"/>
    </xf>
    <xf numFmtId="169" fontId="0" fillId="0" borderId="0" xfId="0" applyNumberFormat="1" applyFill="1"/>
    <xf numFmtId="0" fontId="0" fillId="0" borderId="0" xfId="0" applyFont="1" applyAlignment="1">
      <alignment horizontal="left"/>
    </xf>
    <xf numFmtId="169" fontId="0" fillId="0" borderId="0" xfId="0" applyNumberFormat="1" applyAlignment="1">
      <alignment horizontal="left"/>
    </xf>
    <xf numFmtId="169" fontId="0" fillId="0" borderId="0" xfId="0" applyNumberFormat="1" applyFont="1" applyAlignment="1">
      <alignment horizontal="left"/>
    </xf>
    <xf numFmtId="0" fontId="0" fillId="0" borderId="0" xfId="0" applyFill="1" applyAlignment="1">
      <alignment horizontal="left"/>
    </xf>
    <xf numFmtId="169" fontId="0" fillId="0" borderId="0" xfId="0" applyNumberFormat="1" applyFill="1" applyAlignment="1">
      <alignment horizontal="left"/>
    </xf>
    <xf numFmtId="169" fontId="0" fillId="0" borderId="0" xfId="0" applyNumberFormat="1" applyFont="1" applyFill="1" applyAlignment="1">
      <alignment horizontal="left"/>
    </xf>
    <xf numFmtId="0" fontId="0" fillId="0" borderId="0" xfId="0" applyFont="1" applyFill="1" applyAlignment="1">
      <alignment horizontal="left"/>
    </xf>
    <xf numFmtId="0" fontId="0" fillId="0" borderId="0" xfId="0" applyFont="1" applyFill="1"/>
    <xf numFmtId="0" fontId="38" fillId="0" borderId="0" xfId="0" applyFont="1" applyAlignment="1">
      <alignment horizontal="left"/>
    </xf>
    <xf numFmtId="169" fontId="38" fillId="0" borderId="0" xfId="0" applyNumberFormat="1" applyFont="1" applyAlignment="1">
      <alignment horizontal="left"/>
    </xf>
    <xf numFmtId="0" fontId="11" fillId="0" borderId="0" xfId="0" applyFont="1" applyAlignment="1">
      <alignment horizontal="left"/>
    </xf>
    <xf numFmtId="169" fontId="12" fillId="0" borderId="0" xfId="0" applyNumberFormat="1" applyFont="1" applyFill="1"/>
    <xf numFmtId="0" fontId="0" fillId="15" borderId="0" xfId="0" applyFill="1"/>
    <xf numFmtId="0" fontId="42" fillId="0" borderId="0" xfId="0" applyFont="1" applyFill="1"/>
    <xf numFmtId="169" fontId="42" fillId="0" borderId="0" xfId="0" applyNumberFormat="1" applyFont="1" applyFill="1"/>
    <xf numFmtId="169" fontId="0" fillId="2" borderId="0" xfId="0" applyNumberFormat="1" applyFill="1"/>
    <xf numFmtId="0" fontId="0" fillId="13" borderId="0" xfId="0" applyFont="1" applyFill="1"/>
    <xf numFmtId="0" fontId="42" fillId="12" borderId="0" xfId="0" applyFont="1" applyFill="1"/>
    <xf numFmtId="169" fontId="0" fillId="0" borderId="0" xfId="0" applyNumberFormat="1"/>
    <xf numFmtId="169" fontId="38" fillId="0" borderId="0" xfId="0" applyNumberFormat="1" applyFont="1" applyAlignment="1">
      <alignment horizontal="center" wrapText="1"/>
    </xf>
    <xf numFmtId="169" fontId="0" fillId="0" borderId="0" xfId="0" applyNumberFormat="1" applyFont="1" applyFill="1"/>
    <xf numFmtId="0" fontId="0" fillId="0" borderId="0" xfId="0"/>
    <xf numFmtId="0" fontId="0" fillId="0" borderId="0" xfId="0"/>
    <xf numFmtId="0" fontId="0" fillId="0" borderId="0" xfId="0"/>
    <xf numFmtId="14" fontId="30" fillId="0" borderId="0" xfId="0" applyNumberFormat="1" applyFont="1" applyFill="1" applyAlignment="1">
      <alignment horizontal="center"/>
    </xf>
    <xf numFmtId="0" fontId="0" fillId="0" borderId="0" xfId="0"/>
    <xf numFmtId="0" fontId="27" fillId="0" borderId="0" xfId="0" applyFont="1"/>
    <xf numFmtId="0" fontId="0" fillId="0" borderId="0" xfId="0"/>
    <xf numFmtId="0" fontId="30" fillId="16" borderId="0" xfId="0" applyFont="1" applyFill="1" applyAlignment="1">
      <alignment horizontal="center"/>
    </xf>
    <xf numFmtId="0" fontId="35" fillId="0" borderId="0" xfId="0" applyFont="1" applyFill="1" applyAlignment="1">
      <alignment horizontal="center"/>
    </xf>
    <xf numFmtId="0" fontId="32" fillId="0" borderId="0" xfId="0" applyFont="1" applyFill="1" applyAlignment="1">
      <alignment horizontal="left"/>
    </xf>
    <xf numFmtId="0" fontId="15" fillId="0" borderId="0" xfId="0" applyFont="1" applyFill="1"/>
    <xf numFmtId="0" fontId="15" fillId="0" borderId="0" xfId="0" applyFont="1" applyFill="1" applyAlignment="1">
      <alignment horizontal="center"/>
    </xf>
    <xf numFmtId="0" fontId="0" fillId="0" borderId="0" xfId="0" applyFill="1" applyAlignment="1"/>
    <xf numFmtId="0" fontId="16" fillId="0" borderId="0" xfId="0" applyFont="1" applyFill="1"/>
    <xf numFmtId="0" fontId="39" fillId="3" borderId="0" xfId="0" applyFont="1" applyFill="1"/>
    <xf numFmtId="0" fontId="39" fillId="3" borderId="0" xfId="0" applyFont="1" applyFill="1" applyAlignment="1">
      <alignment horizontal="center"/>
    </xf>
    <xf numFmtId="0" fontId="32" fillId="0" borderId="0" xfId="0" applyFont="1" applyFill="1" applyAlignment="1">
      <alignment horizontal="right" wrapText="1"/>
    </xf>
    <xf numFmtId="0" fontId="0" fillId="3" borderId="0" xfId="0" applyFill="1"/>
    <xf numFmtId="0" fontId="0" fillId="3" borderId="0" xfId="0" applyFill="1" applyAlignment="1">
      <alignment horizontal="center"/>
    </xf>
    <xf numFmtId="0" fontId="34" fillId="0" borderId="0" xfId="0" applyFont="1" applyFill="1"/>
    <xf numFmtId="0" fontId="36" fillId="0" borderId="0" xfId="0" applyFont="1" applyFill="1"/>
    <xf numFmtId="0" fontId="36" fillId="0" borderId="0" xfId="0" applyFont="1" applyFill="1" applyAlignment="1">
      <alignment horizontal="center"/>
    </xf>
    <xf numFmtId="15" fontId="36" fillId="0" borderId="0" xfId="0" applyNumberFormat="1" applyFont="1" applyFill="1"/>
    <xf numFmtId="15" fontId="36" fillId="0" borderId="0" xfId="0" applyNumberFormat="1" applyFont="1" applyFill="1" applyAlignment="1">
      <alignment horizontal="center"/>
    </xf>
    <xf numFmtId="0" fontId="36" fillId="0" borderId="0" xfId="0" applyFont="1" applyFill="1" applyAlignment="1">
      <alignment horizontal="left"/>
    </xf>
    <xf numFmtId="0" fontId="25" fillId="0" borderId="0" xfId="0" applyFont="1" applyFill="1"/>
    <xf numFmtId="0" fontId="25" fillId="3" borderId="0" xfId="0" applyFont="1" applyFill="1" applyAlignment="1">
      <alignment horizontal="left"/>
    </xf>
    <xf numFmtId="0" fontId="30" fillId="3" borderId="0" xfId="0" applyFont="1" applyFill="1"/>
    <xf numFmtId="0" fontId="30" fillId="3" borderId="0" xfId="0" applyFont="1" applyFill="1" applyAlignment="1">
      <alignment horizontal="center"/>
    </xf>
    <xf numFmtId="15" fontId="30" fillId="0" borderId="0" xfId="0" applyNumberFormat="1" applyFont="1" applyFill="1"/>
    <xf numFmtId="14" fontId="35" fillId="0" borderId="0" xfId="0" applyNumberFormat="1" applyFont="1" applyFill="1" applyAlignment="1">
      <alignment horizontal="center"/>
    </xf>
    <xf numFmtId="0" fontId="35" fillId="3" borderId="0" xfId="0" applyFont="1" applyFill="1"/>
    <xf numFmtId="14" fontId="35" fillId="3" borderId="0" xfId="0" applyNumberFormat="1" applyFont="1" applyFill="1" applyAlignment="1">
      <alignment horizontal="center"/>
    </xf>
    <xf numFmtId="0" fontId="35" fillId="3" borderId="0" xfId="0" applyFont="1" applyFill="1" applyAlignment="1">
      <alignment horizontal="center"/>
    </xf>
    <xf numFmtId="0" fontId="11" fillId="0" borderId="0" xfId="0" applyFont="1" applyFill="1"/>
    <xf numFmtId="0" fontId="0" fillId="3" borderId="0" xfId="0" applyFill="1" applyAlignment="1">
      <alignment vertical="center"/>
    </xf>
    <xf numFmtId="0" fontId="9" fillId="0" borderId="0" xfId="0" applyFont="1"/>
    <xf numFmtId="0" fontId="38" fillId="0" borderId="0" xfId="0" applyFont="1" applyFill="1" applyAlignment="1">
      <alignment horizontal="left"/>
    </xf>
    <xf numFmtId="0" fontId="0" fillId="3" borderId="0" xfId="0" applyFill="1" applyAlignment="1">
      <alignment horizontal="left"/>
    </xf>
    <xf numFmtId="14" fontId="35" fillId="0" borderId="0" xfId="0" applyNumberFormat="1" applyFont="1" applyFill="1"/>
    <xf numFmtId="15" fontId="35" fillId="0" borderId="0" xfId="0" applyNumberFormat="1" applyFont="1" applyFill="1"/>
    <xf numFmtId="0" fontId="12" fillId="0" borderId="0" xfId="0" applyFont="1" applyFill="1"/>
    <xf numFmtId="0" fontId="32" fillId="3" borderId="0" xfId="0" applyFont="1" applyFill="1"/>
    <xf numFmtId="0" fontId="32" fillId="3" borderId="0" xfId="0" applyFont="1" applyFill="1" applyAlignment="1">
      <alignment horizontal="center"/>
    </xf>
    <xf numFmtId="0" fontId="37" fillId="0" borderId="0" xfId="0" applyFont="1" applyFill="1"/>
    <xf numFmtId="14" fontId="25" fillId="0" borderId="0" xfId="0" applyNumberFormat="1" applyFont="1" applyAlignment="1">
      <alignment horizontal="center" wrapText="1"/>
    </xf>
    <xf numFmtId="0" fontId="32" fillId="3" borderId="0" xfId="0" applyFont="1" applyFill="1" applyAlignment="1">
      <alignment wrapText="1"/>
    </xf>
    <xf numFmtId="0" fontId="41" fillId="0" borderId="0" xfId="0" applyFont="1" applyFill="1" applyAlignment="1">
      <alignment horizontal="center"/>
    </xf>
    <xf numFmtId="0" fontId="23" fillId="3" borderId="0" xfId="0" applyFont="1" applyFill="1"/>
    <xf numFmtId="0" fontId="23" fillId="3" borderId="0" xfId="0" applyFont="1" applyFill="1" applyAlignment="1">
      <alignment horizontal="center"/>
    </xf>
    <xf numFmtId="15" fontId="37" fillId="0" borderId="0" xfId="0" applyNumberFormat="1" applyFont="1" applyFill="1"/>
    <xf numFmtId="0" fontId="34" fillId="0" borderId="0" xfId="0" applyFont="1" applyFill="1" applyAlignment="1">
      <alignment horizontal="left"/>
    </xf>
    <xf numFmtId="0" fontId="27" fillId="0" borderId="0" xfId="0" applyFont="1" applyFill="1" applyAlignment="1">
      <alignment horizontal="left"/>
    </xf>
    <xf numFmtId="0" fontId="25" fillId="3" borderId="0" xfId="0" applyFont="1" applyFill="1" applyAlignment="1">
      <alignment horizontal="center"/>
    </xf>
    <xf numFmtId="0" fontId="24" fillId="0" borderId="1" xfId="0" applyFont="1" applyFill="1" applyBorder="1" applyAlignment="1">
      <alignment horizontal="center" wrapText="1"/>
    </xf>
    <xf numFmtId="0" fontId="14" fillId="0" borderId="0" xfId="0" applyFont="1" applyFill="1"/>
    <xf numFmtId="0" fontId="37" fillId="0" borderId="0" xfId="0" applyFont="1" applyFill="1" applyAlignment="1">
      <alignment horizontal="center"/>
    </xf>
    <xf numFmtId="0" fontId="13" fillId="3" borderId="0" xfId="0" applyFont="1" applyFill="1"/>
    <xf numFmtId="0" fontId="36" fillId="3" borderId="0" xfId="0" applyFont="1" applyFill="1" applyAlignment="1">
      <alignment horizontal="center"/>
    </xf>
    <xf numFmtId="0" fontId="25" fillId="3" borderId="0" xfId="0" applyFont="1" applyFill="1" applyAlignment="1">
      <alignment horizontal="center" wrapText="1"/>
    </xf>
    <xf numFmtId="0" fontId="37" fillId="3" borderId="0" xfId="0" applyFont="1" applyFill="1" applyAlignment="1">
      <alignment horizontal="center"/>
    </xf>
    <xf numFmtId="14" fontId="0" fillId="0" borderId="0" xfId="0" applyNumberFormat="1" applyFill="1" applyAlignment="1">
      <alignment horizontal="center"/>
    </xf>
    <xf numFmtId="169" fontId="38" fillId="0" borderId="0" xfId="0" applyNumberFormat="1" applyFont="1" applyFill="1" applyAlignment="1">
      <alignment horizontal="center" wrapText="1"/>
    </xf>
    <xf numFmtId="169" fontId="32" fillId="0" borderId="0" xfId="0" applyNumberFormat="1" applyFont="1" applyFill="1"/>
    <xf numFmtId="169" fontId="0" fillId="0" borderId="0" xfId="0" applyNumberFormat="1"/>
    <xf numFmtId="14" fontId="0" fillId="0" borderId="0" xfId="0" applyNumberFormat="1" applyFill="1" applyAlignment="1">
      <alignment horizontal="right"/>
    </xf>
    <xf numFmtId="0" fontId="10" fillId="0" borderId="0" xfId="0" applyFont="1" applyAlignment="1">
      <alignment horizontal="center"/>
    </xf>
    <xf numFmtId="0" fontId="10" fillId="3" borderId="0" xfId="0" applyFont="1" applyFill="1" applyAlignment="1">
      <alignment horizontal="center"/>
    </xf>
    <xf numFmtId="0" fontId="35" fillId="3" borderId="0" xfId="0" applyFont="1" applyFill="1" applyAlignment="1">
      <alignment horizontal="center" vertical="center"/>
    </xf>
    <xf numFmtId="0" fontId="32" fillId="3" borderId="0" xfId="0" applyFont="1" applyFill="1" applyAlignment="1">
      <alignment horizontal="center" wrapText="1"/>
    </xf>
    <xf numFmtId="0" fontId="8" fillId="0" borderId="0" xfId="0" applyFont="1"/>
    <xf numFmtId="0" fontId="8" fillId="0" borderId="0" xfId="0" applyFont="1" applyFill="1"/>
    <xf numFmtId="170" fontId="39" fillId="0" borderId="0" xfId="0" applyNumberFormat="1" applyFont="1" applyFill="1"/>
    <xf numFmtId="170" fontId="39" fillId="0" borderId="0" xfId="0" applyNumberFormat="1" applyFont="1"/>
    <xf numFmtId="170" fontId="0" fillId="0" borderId="0" xfId="0" applyNumberFormat="1"/>
    <xf numFmtId="14" fontId="8" fillId="0" borderId="0" xfId="0" applyNumberFormat="1" applyFont="1" applyFill="1" applyAlignment="1">
      <alignment horizontal="right"/>
    </xf>
    <xf numFmtId="0" fontId="0" fillId="0" borderId="0" xfId="0"/>
    <xf numFmtId="0" fontId="27" fillId="0" borderId="0" xfId="0" applyFont="1"/>
    <xf numFmtId="0" fontId="38" fillId="0" borderId="0" xfId="0" applyFont="1" applyAlignment="1">
      <alignment horizontal="left" wrapText="1"/>
    </xf>
    <xf numFmtId="169" fontId="38" fillId="0" borderId="0" xfId="0" applyNumberFormat="1" applyFont="1" applyAlignment="1">
      <alignment horizontal="left" wrapText="1"/>
    </xf>
    <xf numFmtId="0" fontId="0" fillId="17" borderId="0" xfId="0" applyFill="1" applyAlignment="1">
      <alignment horizontal="left"/>
    </xf>
    <xf numFmtId="169" fontId="0" fillId="0" borderId="0" xfId="0" applyNumberFormat="1" applyAlignment="1">
      <alignment horizontal="left"/>
    </xf>
    <xf numFmtId="14" fontId="0" fillId="0" borderId="0" xfId="0" applyNumberFormat="1" applyAlignment="1">
      <alignment horizontal="left"/>
    </xf>
    <xf numFmtId="0" fontId="0" fillId="11" borderId="0" xfId="0" applyFill="1" applyAlignment="1">
      <alignment horizontal="left"/>
    </xf>
    <xf numFmtId="0" fontId="0" fillId="12" borderId="0" xfId="0" applyFill="1" applyAlignment="1">
      <alignment horizontal="left"/>
    </xf>
    <xf numFmtId="0" fontId="0" fillId="2" borderId="0" xfId="0" applyFill="1" applyAlignment="1">
      <alignment horizontal="left"/>
    </xf>
    <xf numFmtId="169" fontId="0" fillId="0" borderId="0" xfId="0" applyNumberFormat="1" applyFill="1" applyAlignment="1">
      <alignment horizontal="left"/>
    </xf>
    <xf numFmtId="0" fontId="0" fillId="16" borderId="0" xfId="0" applyFill="1" applyAlignment="1">
      <alignment horizontal="left"/>
    </xf>
    <xf numFmtId="169" fontId="0" fillId="16" borderId="0" xfId="0" applyNumberFormat="1" applyFill="1" applyAlignment="1">
      <alignment horizontal="left"/>
    </xf>
    <xf numFmtId="14" fontId="0" fillId="16" borderId="0" xfId="0" applyNumberFormat="1" applyFill="1" applyAlignment="1">
      <alignment horizontal="left"/>
    </xf>
    <xf numFmtId="0" fontId="39" fillId="0" borderId="0" xfId="0" applyFont="1" applyAlignment="1"/>
    <xf numFmtId="0" fontId="39" fillId="16" borderId="0" xfId="0" applyFont="1" applyFill="1" applyAlignment="1"/>
    <xf numFmtId="0" fontId="39" fillId="0" borderId="0" xfId="0" applyFont="1" applyFill="1" applyAlignment="1"/>
    <xf numFmtId="0" fontId="33" fillId="0" borderId="0" xfId="0" applyFont="1" applyAlignment="1"/>
    <xf numFmtId="0" fontId="0" fillId="0" borderId="0" xfId="0" applyFont="1" applyAlignment="1"/>
    <xf numFmtId="169" fontId="0" fillId="3" borderId="0" xfId="0" applyNumberFormat="1" applyFill="1" applyAlignment="1">
      <alignment horizontal="left"/>
    </xf>
    <xf numFmtId="0" fontId="39" fillId="3" borderId="0" xfId="0" applyFont="1" applyFill="1" applyAlignment="1"/>
    <xf numFmtId="169" fontId="0" fillId="0" borderId="0" xfId="0" applyNumberFormat="1" applyFont="1"/>
    <xf numFmtId="0" fontId="0" fillId="12" borderId="0" xfId="0" applyFont="1" applyFill="1"/>
    <xf numFmtId="0" fontId="0" fillId="2" borderId="0" xfId="0" applyFont="1" applyFill="1"/>
    <xf numFmtId="169" fontId="0" fillId="14" borderId="0" xfId="0" applyNumberFormat="1" applyFont="1" applyFill="1"/>
    <xf numFmtId="14" fontId="0" fillId="0" borderId="0" xfId="0" applyNumberFormat="1" applyFont="1"/>
    <xf numFmtId="169" fontId="7" fillId="0" borderId="0" xfId="0" applyNumberFormat="1" applyFont="1"/>
    <xf numFmtId="0" fontId="32" fillId="0" borderId="0" xfId="0" applyFont="1"/>
    <xf numFmtId="0" fontId="0" fillId="11" borderId="0" xfId="0" applyFont="1" applyFill="1"/>
    <xf numFmtId="169" fontId="0" fillId="11" borderId="0" xfId="0" applyNumberFormat="1" applyFont="1" applyFill="1"/>
    <xf numFmtId="0" fontId="32" fillId="11" borderId="0" xfId="0" applyFont="1" applyFill="1"/>
    <xf numFmtId="169" fontId="38" fillId="0" borderId="0" xfId="0" applyNumberFormat="1" applyFont="1" applyAlignment="1">
      <alignment horizontal="left" wrapText="1"/>
    </xf>
    <xf numFmtId="169" fontId="0" fillId="0" borderId="0" xfId="0" applyNumberFormat="1" applyAlignment="1">
      <alignment horizontal="left"/>
    </xf>
    <xf numFmtId="169" fontId="0" fillId="11" borderId="0" xfId="0" applyNumberFormat="1" applyFill="1" applyAlignment="1">
      <alignment horizontal="left"/>
    </xf>
    <xf numFmtId="0" fontId="25" fillId="11" borderId="0" xfId="0" applyFont="1" applyFill="1" applyAlignment="1">
      <alignment horizontal="left"/>
    </xf>
    <xf numFmtId="0" fontId="27" fillId="0" borderId="0" xfId="0" applyFont="1"/>
    <xf numFmtId="0" fontId="0" fillId="0" borderId="0" xfId="0"/>
    <xf numFmtId="0" fontId="45" fillId="0" borderId="0" xfId="0" applyFont="1"/>
    <xf numFmtId="0" fontId="45" fillId="0" borderId="0" xfId="0" applyFont="1" applyFill="1"/>
    <xf numFmtId="0" fontId="46" fillId="0" borderId="0" xfId="0" applyFont="1"/>
    <xf numFmtId="0" fontId="41" fillId="0" borderId="0" xfId="0" applyFont="1"/>
    <xf numFmtId="0" fontId="41" fillId="3" borderId="0" xfId="0" applyFont="1" applyFill="1"/>
    <xf numFmtId="0" fontId="41" fillId="9" borderId="0" xfId="0" applyFont="1" applyFill="1"/>
    <xf numFmtId="0" fontId="41" fillId="2" borderId="0" xfId="0" applyFont="1" applyFill="1"/>
    <xf numFmtId="0" fontId="41" fillId="5" borderId="0" xfId="0" applyFont="1" applyFill="1"/>
    <xf numFmtId="0" fontId="0" fillId="0" borderId="0" xfId="0"/>
    <xf numFmtId="0" fontId="0" fillId="0" borderId="0" xfId="0"/>
    <xf numFmtId="0" fontId="10" fillId="0" borderId="0" xfId="0" applyFont="1" applyFill="1"/>
    <xf numFmtId="0" fontId="38" fillId="0" borderId="0" xfId="0" applyFont="1" applyFill="1" applyAlignment="1">
      <alignment horizontal="center"/>
    </xf>
    <xf numFmtId="0" fontId="0" fillId="3" borderId="0" xfId="0" applyFont="1" applyFill="1" applyAlignment="1">
      <alignment horizontal="center"/>
    </xf>
    <xf numFmtId="0" fontId="0" fillId="0" borderId="0" xfId="0" applyFont="1" applyFill="1" applyAlignment="1">
      <alignment horizontal="center"/>
    </xf>
    <xf numFmtId="0" fontId="5" fillId="0" borderId="0" xfId="0" applyFont="1" applyAlignment="1">
      <alignment horizontal="left"/>
    </xf>
    <xf numFmtId="0" fontId="35" fillId="3" borderId="0" xfId="0" applyFont="1" applyFill="1" applyAlignment="1">
      <alignment horizontal="left"/>
    </xf>
    <xf numFmtId="0" fontId="5" fillId="0" borderId="0" xfId="0" applyFont="1" applyAlignment="1">
      <alignment horizontal="center"/>
    </xf>
    <xf numFmtId="0" fontId="5" fillId="0" borderId="0" xfId="0" applyFont="1" applyAlignment="1">
      <alignment horizontal="right"/>
    </xf>
    <xf numFmtId="0" fontId="35" fillId="3" borderId="0" xfId="0" applyFont="1" applyFill="1" applyAlignment="1">
      <alignment horizontal="right"/>
    </xf>
    <xf numFmtId="0" fontId="0" fillId="3" borderId="0" xfId="0" applyFill="1" applyAlignment="1">
      <alignment horizontal="right"/>
    </xf>
    <xf numFmtId="0" fontId="6" fillId="3" borderId="0" xfId="0" applyFont="1" applyFill="1" applyAlignment="1">
      <alignment horizontal="left"/>
    </xf>
    <xf numFmtId="0" fontId="6" fillId="3" borderId="0" xfId="0" applyFont="1" applyFill="1" applyAlignment="1">
      <alignment horizontal="left" vertical="center"/>
    </xf>
    <xf numFmtId="0" fontId="35" fillId="0" borderId="0" xfId="0" applyFont="1" applyAlignment="1">
      <alignment horizontal="left"/>
    </xf>
    <xf numFmtId="0" fontId="6" fillId="3" borderId="0" xfId="0" applyFont="1" applyFill="1" applyAlignment="1">
      <alignment horizontal="right"/>
    </xf>
    <xf numFmtId="0" fontId="6" fillId="3" borderId="0" xfId="0" applyFont="1" applyFill="1" applyAlignment="1">
      <alignment horizontal="center"/>
    </xf>
    <xf numFmtId="0" fontId="6" fillId="3" borderId="0" xfId="0" applyFont="1" applyFill="1" applyAlignment="1">
      <alignment horizontal="right" vertical="center"/>
    </xf>
    <xf numFmtId="0" fontId="35" fillId="0" borderId="0" xfId="0" applyFont="1" applyAlignment="1">
      <alignment horizontal="right"/>
    </xf>
    <xf numFmtId="0" fontId="32" fillId="3" borderId="0" xfId="0" applyFont="1" applyFill="1" applyAlignment="1">
      <alignment horizontal="right"/>
    </xf>
    <xf numFmtId="0" fontId="32" fillId="3" borderId="0" xfId="0" applyFont="1" applyFill="1" applyAlignment="1">
      <alignment horizontal="right" wrapText="1"/>
    </xf>
    <xf numFmtId="0" fontId="6" fillId="3" borderId="0" xfId="0" applyFont="1" applyFill="1" applyAlignment="1"/>
    <xf numFmtId="0" fontId="3" fillId="0" borderId="0" xfId="0" applyFont="1" applyAlignment="1">
      <alignment horizontal="center"/>
    </xf>
    <xf numFmtId="14" fontId="4" fillId="3" borderId="0" xfId="0" applyNumberFormat="1" applyFont="1" applyFill="1" applyAlignment="1">
      <alignment horizontal="center"/>
    </xf>
    <xf numFmtId="14" fontId="4" fillId="0" borderId="0" xfId="0" applyNumberFormat="1" applyFont="1" applyFill="1" applyAlignment="1">
      <alignment horizontal="center"/>
    </xf>
    <xf numFmtId="0" fontId="4" fillId="3" borderId="0" xfId="0" applyFont="1" applyFill="1" applyAlignment="1">
      <alignment horizontal="center"/>
    </xf>
    <xf numFmtId="0" fontId="4" fillId="0" borderId="0" xfId="0" applyFont="1" applyFill="1" applyAlignment="1">
      <alignment horizontal="center"/>
    </xf>
    <xf numFmtId="0" fontId="4" fillId="3" borderId="0" xfId="0" applyFont="1" applyFill="1" applyAlignment="1">
      <alignment vertical="center"/>
    </xf>
    <xf numFmtId="0" fontId="4" fillId="0" borderId="0" xfId="0" applyFont="1" applyFill="1" applyAlignment="1">
      <alignment vertical="center"/>
    </xf>
    <xf numFmtId="0" fontId="3" fillId="0" borderId="0" xfId="0" applyFont="1" applyAlignment="1"/>
    <xf numFmtId="0" fontId="4" fillId="3" borderId="0" xfId="0" applyFont="1" applyFill="1" applyAlignment="1"/>
    <xf numFmtId="0" fontId="4" fillId="0" borderId="0" xfId="0" applyFont="1" applyFill="1" applyAlignment="1"/>
    <xf numFmtId="0" fontId="4" fillId="0" borderId="0" xfId="0" applyFont="1" applyAlignment="1"/>
    <xf numFmtId="0" fontId="32" fillId="3" borderId="0" xfId="0" applyFont="1" applyFill="1" applyAlignment="1"/>
    <xf numFmtId="0" fontId="32" fillId="0" borderId="0" xfId="0" applyFont="1" applyFill="1" applyAlignment="1"/>
    <xf numFmtId="0" fontId="35" fillId="3" borderId="0" xfId="0" applyFont="1" applyFill="1" applyAlignment="1"/>
    <xf numFmtId="0" fontId="35" fillId="0" borderId="0" xfId="0" applyFont="1" applyAlignment="1"/>
    <xf numFmtId="0" fontId="35" fillId="0" borderId="0" xfId="0" applyFont="1" applyFill="1" applyAlignment="1"/>
    <xf numFmtId="0" fontId="4" fillId="3" borderId="0" xfId="0" applyFont="1" applyFill="1" applyAlignment="1">
      <alignment horizontal="center" vertical="center"/>
    </xf>
    <xf numFmtId="0" fontId="4" fillId="0" borderId="0" xfId="0" applyFont="1" applyFill="1" applyAlignment="1">
      <alignment horizontal="center" vertical="center"/>
    </xf>
    <xf numFmtId="0" fontId="0" fillId="0" borderId="0" xfId="0"/>
    <xf numFmtId="0" fontId="0" fillId="0" borderId="0" xfId="0"/>
    <xf numFmtId="0" fontId="27" fillId="0" borderId="0" xfId="0" applyFont="1"/>
    <xf numFmtId="0" fontId="0" fillId="0" borderId="0" xfId="0"/>
    <xf numFmtId="169" fontId="0" fillId="0" borderId="0" xfId="0" applyNumberFormat="1"/>
    <xf numFmtId="0" fontId="0" fillId="18" borderId="0" xfId="0" applyFill="1"/>
    <xf numFmtId="0" fontId="0" fillId="0" borderId="0" xfId="0"/>
    <xf numFmtId="0" fontId="0" fillId="0" borderId="0" xfId="0"/>
    <xf numFmtId="0" fontId="2" fillId="0" borderId="0" xfId="0" applyFont="1"/>
    <xf numFmtId="0" fontId="0" fillId="15" borderId="0" xfId="0" applyFill="1" applyAlignment="1">
      <alignment horizontal="center"/>
    </xf>
    <xf numFmtId="0" fontId="0" fillId="0" borderId="0" xfId="0"/>
    <xf numFmtId="0" fontId="0" fillId="0" borderId="0" xfId="0"/>
    <xf numFmtId="0" fontId="0" fillId="0" borderId="0" xfId="0" applyAlignment="1">
      <alignment horizontal="left"/>
    </xf>
    <xf numFmtId="0" fontId="0" fillId="0" borderId="0" xfId="0"/>
    <xf numFmtId="0" fontId="1" fillId="0" borderId="0" xfId="0" applyFont="1"/>
    <xf numFmtId="0" fontId="0" fillId="0" borderId="0" xfId="0" applyNumberFormat="1" applyFill="1"/>
    <xf numFmtId="0" fontId="27" fillId="0" borderId="0" xfId="0" applyFont="1"/>
    <xf numFmtId="0" fontId="28" fillId="0" borderId="0" xfId="0" applyFont="1" applyAlignment="1">
      <alignment horizontal="left"/>
    </xf>
    <xf numFmtId="0" fontId="0" fillId="0" borderId="0" xfId="0" applyAlignment="1">
      <alignment horizontal="left"/>
    </xf>
    <xf numFmtId="0" fontId="0" fillId="0" borderId="0" xfId="0"/>
  </cellXfs>
  <cellStyles count="2">
    <cellStyle name="Neutral" xfId="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46" Type="http://schemas.openxmlformats.org/officeDocument/2006/relationships/sharedStrings" Target="sharedStrings.xml"/><Relationship Id="rId35" Type="http://schemas.openxmlformats.org/officeDocument/2006/relationships/worksheet" Target="worksheets/sheet35.xml"/><Relationship Id="rId31" Type="http://schemas.openxmlformats.org/officeDocument/2006/relationships/worksheet" Target="worksheets/sheet31.xml"/><Relationship Id="rId34" Type="http://schemas.openxmlformats.org/officeDocument/2006/relationships/worksheet" Target="worksheets/sheet34.xml"/><Relationship Id="rId39" Type="http://schemas.openxmlformats.org/officeDocument/2006/relationships/worksheet" Target="worksheets/sheet39.xml"/><Relationship Id="rId40" Type="http://schemas.openxmlformats.org/officeDocument/2006/relationships/worksheet" Target="worksheets/sheet40.xml"/><Relationship Id="rId7" Type="http://schemas.openxmlformats.org/officeDocument/2006/relationships/worksheet" Target="worksheets/sheet7.xml"/><Relationship Id="rId36" Type="http://schemas.openxmlformats.org/officeDocument/2006/relationships/worksheet" Target="worksheets/sheet36.xml"/><Relationship Id="rId43" Type="http://schemas.openxmlformats.org/officeDocument/2006/relationships/worksheet" Target="worksheets/sheet43.xml"/><Relationship Id="rId1" Type="http://schemas.openxmlformats.org/officeDocument/2006/relationships/worksheet" Target="worksheets/sheet1.xml"/><Relationship Id="rId24" Type="http://schemas.openxmlformats.org/officeDocument/2006/relationships/worksheet" Target="worksheets/sheet24.xml"/><Relationship Id="rId25" Type="http://schemas.openxmlformats.org/officeDocument/2006/relationships/worksheet" Target="worksheets/sheet25.xml"/><Relationship Id="rId47" Type="http://schemas.openxmlformats.org/officeDocument/2006/relationships/calcChain" Target="calcChain.xml"/><Relationship Id="rId8" Type="http://schemas.openxmlformats.org/officeDocument/2006/relationships/worksheet" Target="worksheets/sheet8.xml"/><Relationship Id="rId13" Type="http://schemas.openxmlformats.org/officeDocument/2006/relationships/worksheet" Target="worksheets/sheet13.xml"/><Relationship Id="rId10" Type="http://schemas.openxmlformats.org/officeDocument/2006/relationships/worksheet" Target="worksheets/sheet10.xml"/><Relationship Id="rId32" Type="http://schemas.openxmlformats.org/officeDocument/2006/relationships/worksheet" Target="worksheets/sheet32.xml"/><Relationship Id="rId37" Type="http://schemas.openxmlformats.org/officeDocument/2006/relationships/worksheet" Target="worksheets/sheet37.xml"/><Relationship Id="rId12" Type="http://schemas.openxmlformats.org/officeDocument/2006/relationships/worksheet" Target="worksheets/sheet12.xml"/><Relationship Id="rId17" Type="http://schemas.openxmlformats.org/officeDocument/2006/relationships/worksheet" Target="worksheets/sheet17.xml"/><Relationship Id="rId9" Type="http://schemas.openxmlformats.org/officeDocument/2006/relationships/worksheet" Target="worksheets/sheet9.xml"/><Relationship Id="rId18" Type="http://schemas.openxmlformats.org/officeDocument/2006/relationships/worksheet" Target="worksheets/sheet18.xml"/><Relationship Id="rId3" Type="http://schemas.openxmlformats.org/officeDocument/2006/relationships/worksheet" Target="worksheets/sheet3.xml"/><Relationship Id="rId27" Type="http://schemas.openxmlformats.org/officeDocument/2006/relationships/worksheet" Target="worksheets/sheet27.xml"/><Relationship Id="rId14" Type="http://schemas.openxmlformats.org/officeDocument/2006/relationships/worksheet" Target="worksheets/sheet14.xml"/><Relationship Id="rId23" Type="http://schemas.openxmlformats.org/officeDocument/2006/relationships/worksheet" Target="worksheets/sheet23.xml"/><Relationship Id="rId4" Type="http://schemas.openxmlformats.org/officeDocument/2006/relationships/worksheet" Target="worksheets/sheet4.xml"/><Relationship Id="rId28" Type="http://schemas.openxmlformats.org/officeDocument/2006/relationships/worksheet" Target="worksheets/sheet28.xml"/><Relationship Id="rId45" Type="http://schemas.openxmlformats.org/officeDocument/2006/relationships/styles" Target="styles.xml"/><Relationship Id="rId26" Type="http://schemas.openxmlformats.org/officeDocument/2006/relationships/worksheet" Target="worksheets/sheet26.xml"/><Relationship Id="rId30" Type="http://schemas.openxmlformats.org/officeDocument/2006/relationships/worksheet" Target="worksheets/sheet30.xml"/><Relationship Id="rId11" Type="http://schemas.openxmlformats.org/officeDocument/2006/relationships/worksheet" Target="worksheets/sheet11.xml"/><Relationship Id="rId42" Type="http://schemas.openxmlformats.org/officeDocument/2006/relationships/worksheet" Target="worksheets/sheet42.xml"/><Relationship Id="rId29" Type="http://schemas.openxmlformats.org/officeDocument/2006/relationships/worksheet" Target="worksheets/sheet29.xml"/><Relationship Id="rId6" Type="http://schemas.openxmlformats.org/officeDocument/2006/relationships/worksheet" Target="worksheets/sheet6.xml"/><Relationship Id="rId16" Type="http://schemas.openxmlformats.org/officeDocument/2006/relationships/worksheet" Target="worksheets/sheet16.xml"/><Relationship Id="rId33" Type="http://schemas.openxmlformats.org/officeDocument/2006/relationships/worksheet" Target="worksheets/sheet33.xml"/><Relationship Id="rId44" Type="http://schemas.openxmlformats.org/officeDocument/2006/relationships/theme" Target="theme/theme1.xml"/><Relationship Id="rId41" Type="http://schemas.openxmlformats.org/officeDocument/2006/relationships/worksheet" Target="worksheets/sheet41.xml"/><Relationship Id="rId5" Type="http://schemas.openxmlformats.org/officeDocument/2006/relationships/worksheet" Target="worksheets/sheet5.xml"/><Relationship Id="rId15" Type="http://schemas.openxmlformats.org/officeDocument/2006/relationships/worksheet" Target="worksheets/sheet15.xml"/><Relationship Id="rId19" Type="http://schemas.openxmlformats.org/officeDocument/2006/relationships/worksheet" Target="worksheets/sheet19.xml"/><Relationship Id="rId38" Type="http://schemas.openxmlformats.org/officeDocument/2006/relationships/worksheet" Target="worksheets/sheet38.xml"/><Relationship Id="rId20" Type="http://schemas.openxmlformats.org/officeDocument/2006/relationships/worksheet" Target="worksheets/sheet20.xml"/><Relationship Id="rId22" Type="http://schemas.openxmlformats.org/officeDocument/2006/relationships/worksheet" Target="worksheets/sheet22.xml"/><Relationship Id="rId21" Type="http://schemas.openxmlformats.org/officeDocument/2006/relationships/worksheet" Target="worksheets/sheet2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1"/>
  <c:lang val="en-US"/>
  <c:style val="2"/>
  <c:chart>
    <c:plotArea>
      <c:layout/>
      <c:lineChart>
        <c:grouping val="standard"/>
        <c:ser>
          <c:idx val="1"/>
          <c:order val="0"/>
          <c:tx>
            <c:strRef>
              <c:f>'1933Phil'!$B$103</c:f>
              <c:strCache>
                <c:ptCount val="1"/>
                <c:pt idx="0">
                  <c:v>untreated</c:v>
                </c:pt>
              </c:strCache>
            </c:strRef>
          </c:tx>
          <c:marker>
            <c:symbol val="none"/>
          </c:marker>
          <c:cat>
            <c:numRef>
              <c:f>'1933Phil'!$A$104:$A$184</c:f>
              <c:numCache>
                <c:formatCode>General</c:formatCode>
                <c:ptCount val="81"/>
                <c:pt idx="0">
                  <c:v>1900.0</c:v>
                </c:pt>
                <c:pt idx="1">
                  <c:v>1901.0</c:v>
                </c:pt>
                <c:pt idx="2">
                  <c:v>1902.0</c:v>
                </c:pt>
                <c:pt idx="3">
                  <c:v>1903.0</c:v>
                </c:pt>
                <c:pt idx="4">
                  <c:v>1904.0</c:v>
                </c:pt>
                <c:pt idx="5">
                  <c:v>1905.0</c:v>
                </c:pt>
                <c:pt idx="6">
                  <c:v>1906.0</c:v>
                </c:pt>
                <c:pt idx="7">
                  <c:v>1907.0</c:v>
                </c:pt>
                <c:pt idx="8">
                  <c:v>1908.0</c:v>
                </c:pt>
                <c:pt idx="9">
                  <c:v>1909.0</c:v>
                </c:pt>
                <c:pt idx="10">
                  <c:v>1910.0</c:v>
                </c:pt>
                <c:pt idx="11">
                  <c:v>1911.0</c:v>
                </c:pt>
                <c:pt idx="12">
                  <c:v>1912.0</c:v>
                </c:pt>
                <c:pt idx="13">
                  <c:v>1913.0</c:v>
                </c:pt>
                <c:pt idx="14">
                  <c:v>1914.0</c:v>
                </c:pt>
                <c:pt idx="15">
                  <c:v>1915.0</c:v>
                </c:pt>
                <c:pt idx="16">
                  <c:v>1916.0</c:v>
                </c:pt>
                <c:pt idx="17">
                  <c:v>1917.0</c:v>
                </c:pt>
                <c:pt idx="18">
                  <c:v>1918.0</c:v>
                </c:pt>
                <c:pt idx="19">
                  <c:v>1919.0</c:v>
                </c:pt>
                <c:pt idx="20">
                  <c:v>1920.0</c:v>
                </c:pt>
                <c:pt idx="21">
                  <c:v>1921.0</c:v>
                </c:pt>
                <c:pt idx="22">
                  <c:v>1922.0</c:v>
                </c:pt>
                <c:pt idx="23">
                  <c:v>1923.0</c:v>
                </c:pt>
                <c:pt idx="24">
                  <c:v>1924.0</c:v>
                </c:pt>
                <c:pt idx="25">
                  <c:v>1925.0</c:v>
                </c:pt>
                <c:pt idx="26">
                  <c:v>1926.0</c:v>
                </c:pt>
                <c:pt idx="27">
                  <c:v>1927.0</c:v>
                </c:pt>
                <c:pt idx="28">
                  <c:v>1928.0</c:v>
                </c:pt>
                <c:pt idx="29">
                  <c:v>1929.0</c:v>
                </c:pt>
                <c:pt idx="30">
                  <c:v>1930.0</c:v>
                </c:pt>
                <c:pt idx="31">
                  <c:v>1931.0</c:v>
                </c:pt>
                <c:pt idx="32">
                  <c:v>1932.0</c:v>
                </c:pt>
                <c:pt idx="33">
                  <c:v>1933.0</c:v>
                </c:pt>
                <c:pt idx="34">
                  <c:v>1934.0</c:v>
                </c:pt>
                <c:pt idx="35">
                  <c:v>1935.0</c:v>
                </c:pt>
                <c:pt idx="36">
                  <c:v>1936.0</c:v>
                </c:pt>
                <c:pt idx="37">
                  <c:v>1937.0</c:v>
                </c:pt>
                <c:pt idx="38">
                  <c:v>1938.0</c:v>
                </c:pt>
                <c:pt idx="39">
                  <c:v>1939.0</c:v>
                </c:pt>
                <c:pt idx="40">
                  <c:v>1940.0</c:v>
                </c:pt>
                <c:pt idx="41">
                  <c:v>1941.0</c:v>
                </c:pt>
                <c:pt idx="42">
                  <c:v>1942.0</c:v>
                </c:pt>
                <c:pt idx="43">
                  <c:v>1943.0</c:v>
                </c:pt>
                <c:pt idx="44">
                  <c:v>1944.0</c:v>
                </c:pt>
                <c:pt idx="45">
                  <c:v>1945.0</c:v>
                </c:pt>
                <c:pt idx="46">
                  <c:v>1946.0</c:v>
                </c:pt>
                <c:pt idx="47">
                  <c:v>1947.0</c:v>
                </c:pt>
                <c:pt idx="48">
                  <c:v>1948.0</c:v>
                </c:pt>
                <c:pt idx="49">
                  <c:v>1949.0</c:v>
                </c:pt>
                <c:pt idx="50">
                  <c:v>1950.0</c:v>
                </c:pt>
                <c:pt idx="51">
                  <c:v>1951.0</c:v>
                </c:pt>
                <c:pt idx="52">
                  <c:v>1952.0</c:v>
                </c:pt>
                <c:pt idx="53">
                  <c:v>1953.0</c:v>
                </c:pt>
                <c:pt idx="54">
                  <c:v>1954.0</c:v>
                </c:pt>
                <c:pt idx="55">
                  <c:v>1955.0</c:v>
                </c:pt>
                <c:pt idx="56">
                  <c:v>1956.0</c:v>
                </c:pt>
                <c:pt idx="57">
                  <c:v>1957.0</c:v>
                </c:pt>
                <c:pt idx="58">
                  <c:v>1958.0</c:v>
                </c:pt>
                <c:pt idx="59">
                  <c:v>1959.0</c:v>
                </c:pt>
                <c:pt idx="60">
                  <c:v>1960.0</c:v>
                </c:pt>
                <c:pt idx="61">
                  <c:v>1961.0</c:v>
                </c:pt>
                <c:pt idx="62">
                  <c:v>1962.0</c:v>
                </c:pt>
                <c:pt idx="63">
                  <c:v>1963.0</c:v>
                </c:pt>
                <c:pt idx="64">
                  <c:v>1964.0</c:v>
                </c:pt>
                <c:pt idx="65">
                  <c:v>1965.0</c:v>
                </c:pt>
                <c:pt idx="66">
                  <c:v>1966.0</c:v>
                </c:pt>
                <c:pt idx="67">
                  <c:v>1967.0</c:v>
                </c:pt>
                <c:pt idx="68">
                  <c:v>1968.0</c:v>
                </c:pt>
                <c:pt idx="69">
                  <c:v>1969.0</c:v>
                </c:pt>
                <c:pt idx="70">
                  <c:v>1970.0</c:v>
                </c:pt>
                <c:pt idx="71">
                  <c:v>1971.0</c:v>
                </c:pt>
                <c:pt idx="72">
                  <c:v>1972.0</c:v>
                </c:pt>
                <c:pt idx="73">
                  <c:v>1973.0</c:v>
                </c:pt>
                <c:pt idx="74">
                  <c:v>1974.0</c:v>
                </c:pt>
                <c:pt idx="75">
                  <c:v>1975.0</c:v>
                </c:pt>
                <c:pt idx="76">
                  <c:v>1976.0</c:v>
                </c:pt>
                <c:pt idx="77">
                  <c:v>1977.0</c:v>
                </c:pt>
                <c:pt idx="78">
                  <c:v>1978.0</c:v>
                </c:pt>
                <c:pt idx="79">
                  <c:v>1979.0</c:v>
                </c:pt>
                <c:pt idx="80">
                  <c:v>1980.0</c:v>
                </c:pt>
              </c:numCache>
            </c:numRef>
          </c:cat>
          <c:val>
            <c:numRef>
              <c:f>'1933Phil'!$B$104:$B$184</c:f>
              <c:numCache>
                <c:formatCode>General</c:formatCode>
                <c:ptCount val="81"/>
                <c:pt idx="0">
                  <c:v>147.0</c:v>
                </c:pt>
                <c:pt idx="1">
                  <c:v>163.0</c:v>
                </c:pt>
                <c:pt idx="2">
                  <c:v>132.0</c:v>
                </c:pt>
                <c:pt idx="3">
                  <c:v>163.0</c:v>
                </c:pt>
                <c:pt idx="4">
                  <c:v>147.0</c:v>
                </c:pt>
                <c:pt idx="5">
                  <c:v>160.0</c:v>
                </c:pt>
                <c:pt idx="6">
                  <c:v>156.0</c:v>
                </c:pt>
                <c:pt idx="7">
                  <c:v>209.0</c:v>
                </c:pt>
                <c:pt idx="8">
                  <c:v>159.0</c:v>
                </c:pt>
                <c:pt idx="9">
                  <c:v>201.0</c:v>
                </c:pt>
                <c:pt idx="10">
                  <c:v>199.0</c:v>
                </c:pt>
                <c:pt idx="11">
                  <c:v>215.0</c:v>
                </c:pt>
                <c:pt idx="12">
                  <c:v>245.0</c:v>
                </c:pt>
                <c:pt idx="13">
                  <c:v>182.0</c:v>
                </c:pt>
                <c:pt idx="14">
                  <c:v>234.0</c:v>
                </c:pt>
                <c:pt idx="15">
                  <c:v>219.0</c:v>
                </c:pt>
                <c:pt idx="16">
                  <c:v>220.0</c:v>
                </c:pt>
                <c:pt idx="17">
                  <c:v>186.0</c:v>
                </c:pt>
                <c:pt idx="18">
                  <c:v>197.0</c:v>
                </c:pt>
                <c:pt idx="19">
                  <c:v>192.0</c:v>
                </c:pt>
                <c:pt idx="20">
                  <c:v>186.0</c:v>
                </c:pt>
                <c:pt idx="21">
                  <c:v>246.0</c:v>
                </c:pt>
                <c:pt idx="22">
                  <c:v>224.0</c:v>
                </c:pt>
                <c:pt idx="23">
                  <c:v>265.0</c:v>
                </c:pt>
                <c:pt idx="24">
                  <c:v>210.0</c:v>
                </c:pt>
                <c:pt idx="25">
                  <c:v>225.0</c:v>
                </c:pt>
                <c:pt idx="26">
                  <c:v>218.0</c:v>
                </c:pt>
                <c:pt idx="27">
                  <c:v>241.0</c:v>
                </c:pt>
                <c:pt idx="28">
                  <c:v>242.0</c:v>
                </c:pt>
                <c:pt idx="29">
                  <c:v>253.0</c:v>
                </c:pt>
                <c:pt idx="30">
                  <c:v>282.0</c:v>
                </c:pt>
                <c:pt idx="31">
                  <c:v>341.0</c:v>
                </c:pt>
                <c:pt idx="32">
                  <c:v>316.0</c:v>
                </c:pt>
                <c:pt idx="33">
                  <c:v>313.0</c:v>
                </c:pt>
                <c:pt idx="34">
                  <c:v>289.0</c:v>
                </c:pt>
                <c:pt idx="35">
                  <c:v>229.0</c:v>
                </c:pt>
                <c:pt idx="36">
                  <c:v>225.0</c:v>
                </c:pt>
                <c:pt idx="37">
                  <c:v>227.0</c:v>
                </c:pt>
                <c:pt idx="38">
                  <c:v>232.0</c:v>
                </c:pt>
                <c:pt idx="39">
                  <c:v>280.0</c:v>
                </c:pt>
                <c:pt idx="40">
                  <c:v>212.0</c:v>
                </c:pt>
                <c:pt idx="41">
                  <c:v>257.0</c:v>
                </c:pt>
                <c:pt idx="42">
                  <c:v>226.0</c:v>
                </c:pt>
                <c:pt idx="43">
                  <c:v>211.0</c:v>
                </c:pt>
                <c:pt idx="44">
                  <c:v>221.0</c:v>
                </c:pt>
                <c:pt idx="45">
                  <c:v>214.0</c:v>
                </c:pt>
                <c:pt idx="46">
                  <c:v>159.0</c:v>
                </c:pt>
                <c:pt idx="47">
                  <c:v>89.0</c:v>
                </c:pt>
                <c:pt idx="48">
                  <c:v>123.0</c:v>
                </c:pt>
                <c:pt idx="49">
                  <c:v>169.0</c:v>
                </c:pt>
                <c:pt idx="50">
                  <c:v>194.0</c:v>
                </c:pt>
                <c:pt idx="51">
                  <c:v>218.0</c:v>
                </c:pt>
                <c:pt idx="52">
                  <c:v>220.0</c:v>
                </c:pt>
                <c:pt idx="53">
                  <c:v>230.0</c:v>
                </c:pt>
                <c:pt idx="54">
                  <c:v>175.0</c:v>
                </c:pt>
                <c:pt idx="55">
                  <c:v>162.0</c:v>
                </c:pt>
                <c:pt idx="56">
                  <c:v>294.0</c:v>
                </c:pt>
                <c:pt idx="57">
                  <c:v>202.0</c:v>
                </c:pt>
                <c:pt idx="58">
                  <c:v>241.0</c:v>
                </c:pt>
                <c:pt idx="59">
                  <c:v>267.0</c:v>
                </c:pt>
                <c:pt idx="60">
                  <c:v>252.0</c:v>
                </c:pt>
                <c:pt idx="61">
                  <c:v>233.0</c:v>
                </c:pt>
                <c:pt idx="62">
                  <c:v>301.0</c:v>
                </c:pt>
                <c:pt idx="63">
                  <c:v>255.0</c:v>
                </c:pt>
                <c:pt idx="64">
                  <c:v>310.0</c:v>
                </c:pt>
                <c:pt idx="65">
                  <c:v>379.0</c:v>
                </c:pt>
                <c:pt idx="66">
                  <c:v>394.0</c:v>
                </c:pt>
                <c:pt idx="67">
                  <c:v>376.0</c:v>
                </c:pt>
                <c:pt idx="68">
                  <c:v>340.0</c:v>
                </c:pt>
                <c:pt idx="69">
                  <c:v>420.0</c:v>
                </c:pt>
                <c:pt idx="70">
                  <c:v>294.0</c:v>
                </c:pt>
                <c:pt idx="71">
                  <c:v>416.0</c:v>
                </c:pt>
                <c:pt idx="72">
                  <c:v>356.0</c:v>
                </c:pt>
                <c:pt idx="73">
                  <c:v>340.0</c:v>
                </c:pt>
                <c:pt idx="74">
                  <c:v>376.0</c:v>
                </c:pt>
                <c:pt idx="75">
                  <c:v>335.0</c:v>
                </c:pt>
                <c:pt idx="76">
                  <c:v>264.0</c:v>
                </c:pt>
                <c:pt idx="77">
                  <c:v>319.0</c:v>
                </c:pt>
                <c:pt idx="78">
                  <c:v>286.0</c:v>
                </c:pt>
                <c:pt idx="79">
                  <c:v>193.0</c:v>
                </c:pt>
                <c:pt idx="80">
                  <c:v>203.0</c:v>
                </c:pt>
              </c:numCache>
            </c:numRef>
          </c:val>
        </c:ser>
        <c:ser>
          <c:idx val="2"/>
          <c:order val="1"/>
          <c:tx>
            <c:strRef>
              <c:f>'1933Phil'!$C$103</c:f>
              <c:strCache>
                <c:ptCount val="1"/>
                <c:pt idx="0">
                  <c:v>treated</c:v>
                </c:pt>
              </c:strCache>
            </c:strRef>
          </c:tx>
          <c:marker>
            <c:symbol val="none"/>
          </c:marker>
          <c:cat>
            <c:numRef>
              <c:f>'1933Phil'!$A$104:$A$184</c:f>
              <c:numCache>
                <c:formatCode>General</c:formatCode>
                <c:ptCount val="81"/>
                <c:pt idx="0">
                  <c:v>1900.0</c:v>
                </c:pt>
                <c:pt idx="1">
                  <c:v>1901.0</c:v>
                </c:pt>
                <c:pt idx="2">
                  <c:v>1902.0</c:v>
                </c:pt>
                <c:pt idx="3">
                  <c:v>1903.0</c:v>
                </c:pt>
                <c:pt idx="4">
                  <c:v>1904.0</c:v>
                </c:pt>
                <c:pt idx="5">
                  <c:v>1905.0</c:v>
                </c:pt>
                <c:pt idx="6">
                  <c:v>1906.0</c:v>
                </c:pt>
                <c:pt idx="7">
                  <c:v>1907.0</c:v>
                </c:pt>
                <c:pt idx="8">
                  <c:v>1908.0</c:v>
                </c:pt>
                <c:pt idx="9">
                  <c:v>1909.0</c:v>
                </c:pt>
                <c:pt idx="10">
                  <c:v>1910.0</c:v>
                </c:pt>
                <c:pt idx="11">
                  <c:v>1911.0</c:v>
                </c:pt>
                <c:pt idx="12">
                  <c:v>1912.0</c:v>
                </c:pt>
                <c:pt idx="13">
                  <c:v>1913.0</c:v>
                </c:pt>
                <c:pt idx="14">
                  <c:v>1914.0</c:v>
                </c:pt>
                <c:pt idx="15">
                  <c:v>1915.0</c:v>
                </c:pt>
                <c:pt idx="16">
                  <c:v>1916.0</c:v>
                </c:pt>
                <c:pt idx="17">
                  <c:v>1917.0</c:v>
                </c:pt>
                <c:pt idx="18">
                  <c:v>1918.0</c:v>
                </c:pt>
                <c:pt idx="19">
                  <c:v>1919.0</c:v>
                </c:pt>
                <c:pt idx="20">
                  <c:v>1920.0</c:v>
                </c:pt>
                <c:pt idx="21">
                  <c:v>1921.0</c:v>
                </c:pt>
                <c:pt idx="22">
                  <c:v>1922.0</c:v>
                </c:pt>
                <c:pt idx="23">
                  <c:v>1923.0</c:v>
                </c:pt>
                <c:pt idx="24">
                  <c:v>1924.0</c:v>
                </c:pt>
                <c:pt idx="25">
                  <c:v>1925.0</c:v>
                </c:pt>
                <c:pt idx="26">
                  <c:v>1926.0</c:v>
                </c:pt>
                <c:pt idx="27">
                  <c:v>1927.0</c:v>
                </c:pt>
                <c:pt idx="28">
                  <c:v>1928.0</c:v>
                </c:pt>
                <c:pt idx="29">
                  <c:v>1929.0</c:v>
                </c:pt>
                <c:pt idx="30">
                  <c:v>1930.0</c:v>
                </c:pt>
                <c:pt idx="31">
                  <c:v>1931.0</c:v>
                </c:pt>
                <c:pt idx="32">
                  <c:v>1932.0</c:v>
                </c:pt>
                <c:pt idx="33">
                  <c:v>1933.0</c:v>
                </c:pt>
                <c:pt idx="34">
                  <c:v>1934.0</c:v>
                </c:pt>
                <c:pt idx="35">
                  <c:v>1935.0</c:v>
                </c:pt>
                <c:pt idx="36">
                  <c:v>1936.0</c:v>
                </c:pt>
                <c:pt idx="37">
                  <c:v>1937.0</c:v>
                </c:pt>
                <c:pt idx="38">
                  <c:v>1938.0</c:v>
                </c:pt>
                <c:pt idx="39">
                  <c:v>1939.0</c:v>
                </c:pt>
                <c:pt idx="40">
                  <c:v>1940.0</c:v>
                </c:pt>
                <c:pt idx="41">
                  <c:v>1941.0</c:v>
                </c:pt>
                <c:pt idx="42">
                  <c:v>1942.0</c:v>
                </c:pt>
                <c:pt idx="43">
                  <c:v>1943.0</c:v>
                </c:pt>
                <c:pt idx="44">
                  <c:v>1944.0</c:v>
                </c:pt>
                <c:pt idx="45">
                  <c:v>1945.0</c:v>
                </c:pt>
                <c:pt idx="46">
                  <c:v>1946.0</c:v>
                </c:pt>
                <c:pt idx="47">
                  <c:v>1947.0</c:v>
                </c:pt>
                <c:pt idx="48">
                  <c:v>1948.0</c:v>
                </c:pt>
                <c:pt idx="49">
                  <c:v>1949.0</c:v>
                </c:pt>
                <c:pt idx="50">
                  <c:v>1950.0</c:v>
                </c:pt>
                <c:pt idx="51">
                  <c:v>1951.0</c:v>
                </c:pt>
                <c:pt idx="52">
                  <c:v>1952.0</c:v>
                </c:pt>
                <c:pt idx="53">
                  <c:v>1953.0</c:v>
                </c:pt>
                <c:pt idx="54">
                  <c:v>1954.0</c:v>
                </c:pt>
                <c:pt idx="55">
                  <c:v>1955.0</c:v>
                </c:pt>
                <c:pt idx="56">
                  <c:v>1956.0</c:v>
                </c:pt>
                <c:pt idx="57">
                  <c:v>1957.0</c:v>
                </c:pt>
                <c:pt idx="58">
                  <c:v>1958.0</c:v>
                </c:pt>
                <c:pt idx="59">
                  <c:v>1959.0</c:v>
                </c:pt>
                <c:pt idx="60">
                  <c:v>1960.0</c:v>
                </c:pt>
                <c:pt idx="61">
                  <c:v>1961.0</c:v>
                </c:pt>
                <c:pt idx="62">
                  <c:v>1962.0</c:v>
                </c:pt>
                <c:pt idx="63">
                  <c:v>1963.0</c:v>
                </c:pt>
                <c:pt idx="64">
                  <c:v>1964.0</c:v>
                </c:pt>
                <c:pt idx="65">
                  <c:v>1965.0</c:v>
                </c:pt>
                <c:pt idx="66">
                  <c:v>1966.0</c:v>
                </c:pt>
                <c:pt idx="67">
                  <c:v>1967.0</c:v>
                </c:pt>
                <c:pt idx="68">
                  <c:v>1968.0</c:v>
                </c:pt>
                <c:pt idx="69">
                  <c:v>1969.0</c:v>
                </c:pt>
                <c:pt idx="70">
                  <c:v>1970.0</c:v>
                </c:pt>
                <c:pt idx="71">
                  <c:v>1971.0</c:v>
                </c:pt>
                <c:pt idx="72">
                  <c:v>1972.0</c:v>
                </c:pt>
                <c:pt idx="73">
                  <c:v>1973.0</c:v>
                </c:pt>
                <c:pt idx="74">
                  <c:v>1974.0</c:v>
                </c:pt>
                <c:pt idx="75">
                  <c:v>1975.0</c:v>
                </c:pt>
                <c:pt idx="76">
                  <c:v>1976.0</c:v>
                </c:pt>
                <c:pt idx="77">
                  <c:v>1977.0</c:v>
                </c:pt>
                <c:pt idx="78">
                  <c:v>1978.0</c:v>
                </c:pt>
                <c:pt idx="79">
                  <c:v>1979.0</c:v>
                </c:pt>
                <c:pt idx="80">
                  <c:v>1980.0</c:v>
                </c:pt>
              </c:numCache>
            </c:numRef>
          </c:cat>
          <c:val>
            <c:numRef>
              <c:f>'1933Phil'!$C$104:$C$184</c:f>
              <c:numCache>
                <c:formatCode>General</c:formatCode>
                <c:ptCount val="81"/>
                <c:pt idx="0">
                  <c:v>21.0</c:v>
                </c:pt>
                <c:pt idx="1">
                  <c:v>27.0</c:v>
                </c:pt>
                <c:pt idx="2">
                  <c:v>9.0</c:v>
                </c:pt>
                <c:pt idx="3">
                  <c:v>27.0</c:v>
                </c:pt>
                <c:pt idx="4">
                  <c:v>13.0</c:v>
                </c:pt>
                <c:pt idx="5">
                  <c:v>28.0</c:v>
                </c:pt>
                <c:pt idx="6">
                  <c:v>36.0</c:v>
                </c:pt>
                <c:pt idx="7">
                  <c:v>34.0</c:v>
                </c:pt>
                <c:pt idx="8">
                  <c:v>17.0</c:v>
                </c:pt>
                <c:pt idx="9">
                  <c:v>36.0</c:v>
                </c:pt>
                <c:pt idx="10">
                  <c:v>36.0</c:v>
                </c:pt>
                <c:pt idx="11">
                  <c:v>32.0</c:v>
                </c:pt>
                <c:pt idx="12">
                  <c:v>27.0</c:v>
                </c:pt>
                <c:pt idx="13">
                  <c:v>35.0</c:v>
                </c:pt>
                <c:pt idx="14">
                  <c:v>48.0</c:v>
                </c:pt>
                <c:pt idx="15">
                  <c:v>47.0</c:v>
                </c:pt>
                <c:pt idx="16">
                  <c:v>45.0</c:v>
                </c:pt>
                <c:pt idx="17">
                  <c:v>37.0</c:v>
                </c:pt>
                <c:pt idx="18">
                  <c:v>31.0</c:v>
                </c:pt>
                <c:pt idx="19">
                  <c:v>42.0</c:v>
                </c:pt>
                <c:pt idx="20">
                  <c:v>42.0</c:v>
                </c:pt>
                <c:pt idx="21">
                  <c:v>44.0</c:v>
                </c:pt>
                <c:pt idx="22">
                  <c:v>43.0</c:v>
                </c:pt>
                <c:pt idx="23">
                  <c:v>47.0</c:v>
                </c:pt>
                <c:pt idx="24">
                  <c:v>47.0</c:v>
                </c:pt>
                <c:pt idx="25">
                  <c:v>43.0</c:v>
                </c:pt>
                <c:pt idx="26">
                  <c:v>40.0</c:v>
                </c:pt>
                <c:pt idx="27">
                  <c:v>49.0</c:v>
                </c:pt>
                <c:pt idx="28">
                  <c:v>54.0</c:v>
                </c:pt>
                <c:pt idx="29">
                  <c:v>52.0</c:v>
                </c:pt>
                <c:pt idx="30">
                  <c:v>61.0</c:v>
                </c:pt>
                <c:pt idx="31">
                  <c:v>71.0</c:v>
                </c:pt>
                <c:pt idx="32">
                  <c:v>55.0</c:v>
                </c:pt>
                <c:pt idx="33">
                  <c:v>80.0</c:v>
                </c:pt>
                <c:pt idx="34">
                  <c:v>73.0</c:v>
                </c:pt>
                <c:pt idx="35">
                  <c:v>56.0</c:v>
                </c:pt>
                <c:pt idx="36">
                  <c:v>72.0</c:v>
                </c:pt>
                <c:pt idx="37">
                  <c:v>59.0</c:v>
                </c:pt>
                <c:pt idx="38">
                  <c:v>72.0</c:v>
                </c:pt>
                <c:pt idx="39">
                  <c:v>94.0</c:v>
                </c:pt>
                <c:pt idx="40">
                  <c:v>63.0</c:v>
                </c:pt>
                <c:pt idx="41">
                  <c:v>78.0</c:v>
                </c:pt>
                <c:pt idx="42">
                  <c:v>84.0</c:v>
                </c:pt>
                <c:pt idx="43">
                  <c:v>53.0</c:v>
                </c:pt>
                <c:pt idx="44">
                  <c:v>52.0</c:v>
                </c:pt>
                <c:pt idx="45">
                  <c:v>64.0</c:v>
                </c:pt>
                <c:pt idx="46">
                  <c:v>33.0</c:v>
                </c:pt>
                <c:pt idx="47">
                  <c:v>26.0</c:v>
                </c:pt>
                <c:pt idx="48">
                  <c:v>28.0</c:v>
                </c:pt>
                <c:pt idx="49">
                  <c:v>37.0</c:v>
                </c:pt>
                <c:pt idx="50">
                  <c:v>34.0</c:v>
                </c:pt>
                <c:pt idx="51">
                  <c:v>44.0</c:v>
                </c:pt>
                <c:pt idx="52">
                  <c:v>43.0</c:v>
                </c:pt>
                <c:pt idx="53">
                  <c:v>38.0</c:v>
                </c:pt>
                <c:pt idx="54">
                  <c:v>31.0</c:v>
                </c:pt>
                <c:pt idx="55">
                  <c:v>27.0</c:v>
                </c:pt>
                <c:pt idx="56">
                  <c:v>59.0</c:v>
                </c:pt>
                <c:pt idx="57">
                  <c:v>53.0</c:v>
                </c:pt>
                <c:pt idx="58">
                  <c:v>56.0</c:v>
                </c:pt>
                <c:pt idx="59">
                  <c:v>34.0</c:v>
                </c:pt>
                <c:pt idx="60">
                  <c:v>26.0</c:v>
                </c:pt>
                <c:pt idx="61">
                  <c:v>52.0</c:v>
                </c:pt>
                <c:pt idx="62">
                  <c:v>62.0</c:v>
                </c:pt>
                <c:pt idx="63">
                  <c:v>72.0</c:v>
                </c:pt>
                <c:pt idx="64">
                  <c:v>75.0</c:v>
                </c:pt>
                <c:pt idx="65">
                  <c:v>105.0</c:v>
                </c:pt>
                <c:pt idx="66">
                  <c:v>88.0</c:v>
                </c:pt>
                <c:pt idx="67">
                  <c:v>101.0</c:v>
                </c:pt>
                <c:pt idx="68">
                  <c:v>72.0</c:v>
                </c:pt>
                <c:pt idx="69">
                  <c:v>92.0</c:v>
                </c:pt>
                <c:pt idx="70">
                  <c:v>60.0</c:v>
                </c:pt>
                <c:pt idx="71">
                  <c:v>73.0</c:v>
                </c:pt>
                <c:pt idx="72">
                  <c:v>81.0</c:v>
                </c:pt>
                <c:pt idx="73">
                  <c:v>55.0</c:v>
                </c:pt>
                <c:pt idx="74">
                  <c:v>67.0</c:v>
                </c:pt>
                <c:pt idx="75">
                  <c:v>81.0</c:v>
                </c:pt>
                <c:pt idx="76">
                  <c:v>48.0</c:v>
                </c:pt>
                <c:pt idx="77">
                  <c:v>59.0</c:v>
                </c:pt>
                <c:pt idx="78">
                  <c:v>45.0</c:v>
                </c:pt>
                <c:pt idx="79">
                  <c:v>35.0</c:v>
                </c:pt>
                <c:pt idx="80">
                  <c:v>36.0</c:v>
                </c:pt>
              </c:numCache>
            </c:numRef>
          </c:val>
        </c:ser>
        <c:marker val="1"/>
        <c:axId val="595596568"/>
        <c:axId val="612668104"/>
      </c:lineChart>
      <c:catAx>
        <c:axId val="595596568"/>
        <c:scaling>
          <c:orientation val="minMax"/>
        </c:scaling>
        <c:axPos val="b"/>
        <c:numFmt formatCode="General" sourceLinked="1"/>
        <c:tickLblPos val="nextTo"/>
        <c:crossAx val="612668104"/>
        <c:crosses val="autoZero"/>
        <c:auto val="1"/>
        <c:lblAlgn val="ctr"/>
        <c:lblOffset val="100"/>
        <c:tickLblSkip val="5"/>
        <c:tickMarkSkip val="1"/>
      </c:catAx>
      <c:valAx>
        <c:axId val="612668104"/>
        <c:scaling>
          <c:orientation val="minMax"/>
        </c:scaling>
        <c:axPos val="l"/>
        <c:majorGridlines/>
        <c:numFmt formatCode="General" sourceLinked="1"/>
        <c:tickLblPos val="nextTo"/>
        <c:crossAx val="595596568"/>
        <c:crosses val="autoZero"/>
        <c:crossBetween val="between"/>
      </c:valAx>
    </c:plotArea>
    <c:legend>
      <c:legendPos val="b"/>
    </c:legend>
    <c:plotVisOnly val="1"/>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622300</xdr:colOff>
      <xdr:row>102</xdr:row>
      <xdr:rowOff>88900</xdr:rowOff>
    </xdr:from>
    <xdr:to>
      <xdr:col>10</xdr:col>
      <xdr:colOff>762000</xdr:colOff>
      <xdr:row>132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37306</xdr:colOff>
      <xdr:row>104</xdr:row>
      <xdr:rowOff>13494</xdr:rowOff>
    </xdr:from>
    <xdr:to>
      <xdr:col>8</xdr:col>
      <xdr:colOff>38894</xdr:colOff>
      <xdr:row>127</xdr:row>
      <xdr:rowOff>153194</xdr:rowOff>
    </xdr:to>
    <xdr:cxnSp macro="">
      <xdr:nvCxnSpPr>
        <xdr:cNvPr id="4" name="Straight Connector 3"/>
        <xdr:cNvCxnSpPr/>
      </xdr:nvCxnSpPr>
      <xdr:spPr>
        <a:xfrm rot="5400000" flipH="1" flipV="1">
          <a:off x="5892800" y="19367500"/>
          <a:ext cx="3937000" cy="1588"/>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T73"/>
  <sheetViews>
    <sheetView tabSelected="1" workbookViewId="0">
      <pane ySplit="560" activePane="bottomLeft"/>
      <selection activeCell="G1" sqref="G1:H1"/>
      <selection pane="bottomLeft" activeCell="H32" sqref="H32"/>
    </sheetView>
  </sheetViews>
  <sheetFormatPr baseColWidth="10" defaultColWidth="10.7109375" defaultRowHeight="15"/>
  <cols>
    <col min="1" max="1" width="7.5703125" style="15" customWidth="1"/>
    <col min="2" max="2" width="25.42578125" style="23" customWidth="1"/>
    <col min="3" max="3" width="9" style="15" customWidth="1"/>
    <col min="4" max="4" width="5.7109375" style="29" customWidth="1"/>
    <col min="5" max="5" width="5.42578125" style="29" customWidth="1"/>
    <col min="6" max="6" width="5" style="29" customWidth="1"/>
    <col min="7" max="7" width="33.140625" style="15" customWidth="1"/>
    <col min="8" max="8" width="10.5703125" style="78" customWidth="1"/>
    <col min="9" max="9" width="7.140625" style="15" customWidth="1"/>
    <col min="10" max="10" width="7.42578125" style="15" customWidth="1"/>
    <col min="11" max="11" width="4.85546875" style="15" customWidth="1"/>
    <col min="12" max="13" width="5.42578125" style="23" customWidth="1"/>
    <col min="14" max="14" width="4.85546875" style="15" customWidth="1"/>
    <col min="15" max="15" width="9.85546875" style="113" customWidth="1"/>
    <col min="16" max="16" width="8.5703125" style="113" customWidth="1"/>
    <col min="17" max="17" width="13.7109375" style="366" customWidth="1"/>
    <col min="18" max="16384" width="10.7109375" style="15"/>
  </cols>
  <sheetData>
    <row r="1" spans="1:20">
      <c r="A1" s="14" t="s">
        <v>1869</v>
      </c>
      <c r="B1" s="74" t="s">
        <v>1974</v>
      </c>
      <c r="C1" s="14" t="s">
        <v>1975</v>
      </c>
      <c r="D1" s="134" t="s">
        <v>2238</v>
      </c>
      <c r="E1" s="134" t="s">
        <v>2214</v>
      </c>
      <c r="F1" s="134" t="s">
        <v>2404</v>
      </c>
      <c r="G1" s="14" t="s">
        <v>2041</v>
      </c>
      <c r="H1" s="77" t="s">
        <v>2042</v>
      </c>
      <c r="I1" s="14" t="s">
        <v>2043</v>
      </c>
      <c r="J1" s="25" t="s">
        <v>2044</v>
      </c>
      <c r="K1" s="25" t="s">
        <v>2045</v>
      </c>
      <c r="L1" s="131" t="s">
        <v>1964</v>
      </c>
      <c r="M1" s="131" t="s">
        <v>3876</v>
      </c>
      <c r="N1" s="25" t="s">
        <v>2281</v>
      </c>
      <c r="O1" s="25" t="s">
        <v>2326</v>
      </c>
      <c r="P1" s="25" t="s">
        <v>2581</v>
      </c>
      <c r="Q1" s="25" t="s">
        <v>29</v>
      </c>
      <c r="R1" s="25" t="s">
        <v>1965</v>
      </c>
    </row>
    <row r="2" spans="1:20">
      <c r="A2" s="20" t="s">
        <v>2450</v>
      </c>
      <c r="B2" s="20" t="s">
        <v>1881</v>
      </c>
      <c r="C2" s="15" t="s">
        <v>1884</v>
      </c>
      <c r="D2" s="29" t="s">
        <v>2371</v>
      </c>
      <c r="F2" s="29" t="s">
        <v>2845</v>
      </c>
      <c r="G2" s="280" t="s">
        <v>73</v>
      </c>
      <c r="H2" s="78">
        <v>164</v>
      </c>
      <c r="I2" s="113" t="s">
        <v>2376</v>
      </c>
      <c r="J2" s="15">
        <v>1919</v>
      </c>
      <c r="L2" s="23">
        <v>1953</v>
      </c>
      <c r="N2" s="113" t="s">
        <v>2378</v>
      </c>
      <c r="O2" s="121" t="s">
        <v>2469</v>
      </c>
      <c r="P2" s="121">
        <v>0</v>
      </c>
      <c r="R2" s="121" t="s">
        <v>2351</v>
      </c>
    </row>
    <row r="3" spans="1:20">
      <c r="A3" s="20" t="s">
        <v>2582</v>
      </c>
      <c r="B3" s="20" t="s">
        <v>2181</v>
      </c>
      <c r="C3" s="15" t="s">
        <v>1883</v>
      </c>
      <c r="D3" s="29" t="s">
        <v>2371</v>
      </c>
      <c r="F3" s="29" t="s">
        <v>1266</v>
      </c>
      <c r="G3" s="15" t="s">
        <v>2084</v>
      </c>
      <c r="H3" s="78">
        <v>123</v>
      </c>
      <c r="I3" s="113" t="s">
        <v>2377</v>
      </c>
      <c r="J3" s="15">
        <v>1929</v>
      </c>
      <c r="K3" s="15">
        <v>1947</v>
      </c>
      <c r="L3" s="23">
        <v>1948</v>
      </c>
      <c r="N3" s="113" t="s">
        <v>2374</v>
      </c>
      <c r="O3" s="121" t="s">
        <v>2425</v>
      </c>
      <c r="P3" s="153">
        <v>4</v>
      </c>
    </row>
    <row r="4" spans="1:20">
      <c r="A4" s="20" t="s">
        <v>1985</v>
      </c>
      <c r="B4" s="20" t="s">
        <v>2101</v>
      </c>
      <c r="C4" s="15" t="s">
        <v>1968</v>
      </c>
      <c r="D4" s="29" t="s">
        <v>2371</v>
      </c>
      <c r="F4" s="29" t="s">
        <v>589</v>
      </c>
      <c r="G4" s="19" t="s">
        <v>1926</v>
      </c>
      <c r="H4" s="78" t="s">
        <v>1935</v>
      </c>
      <c r="I4" s="15" t="s">
        <v>2380</v>
      </c>
      <c r="J4" s="15">
        <v>1924</v>
      </c>
      <c r="K4" s="15">
        <v>1947</v>
      </c>
      <c r="L4" s="23">
        <v>1948</v>
      </c>
      <c r="N4" s="121" t="s">
        <v>1295</v>
      </c>
      <c r="O4" s="121" t="s">
        <v>2470</v>
      </c>
      <c r="P4" s="153">
        <v>21</v>
      </c>
    </row>
    <row r="5" spans="1:20" s="23" customFormat="1">
      <c r="A5" s="20" t="s">
        <v>1770</v>
      </c>
      <c r="B5" s="20" t="s">
        <v>2456</v>
      </c>
      <c r="C5" s="113" t="s">
        <v>2152</v>
      </c>
      <c r="D5" s="29" t="s">
        <v>2373</v>
      </c>
      <c r="E5" s="29"/>
      <c r="F5" s="29" t="s">
        <v>1173</v>
      </c>
      <c r="G5" s="280" t="s">
        <v>74</v>
      </c>
      <c r="H5" s="78" t="s">
        <v>2211</v>
      </c>
      <c r="I5" s="113" t="s">
        <v>2376</v>
      </c>
      <c r="J5" s="113">
        <v>1924</v>
      </c>
      <c r="K5" s="113"/>
      <c r="L5" s="23">
        <v>1949</v>
      </c>
      <c r="N5" s="113" t="s">
        <v>2379</v>
      </c>
      <c r="O5" s="121" t="s">
        <v>2471</v>
      </c>
      <c r="P5" s="153">
        <v>0</v>
      </c>
      <c r="Q5" s="366"/>
      <c r="R5" s="113"/>
      <c r="S5" s="113"/>
      <c r="T5" s="113"/>
    </row>
    <row r="6" spans="1:20" s="23" customFormat="1">
      <c r="A6" s="23" t="s">
        <v>2212</v>
      </c>
      <c r="B6" s="23" t="s">
        <v>2213</v>
      </c>
      <c r="C6" s="23" t="s">
        <v>1133</v>
      </c>
      <c r="D6" s="135" t="s">
        <v>2620</v>
      </c>
      <c r="E6" s="135"/>
      <c r="F6" s="135" t="s">
        <v>1151</v>
      </c>
      <c r="G6" s="23" t="s">
        <v>2257</v>
      </c>
      <c r="H6" s="80" t="s">
        <v>2258</v>
      </c>
      <c r="I6" s="23" t="s">
        <v>2451</v>
      </c>
      <c r="J6" s="23">
        <v>1925</v>
      </c>
      <c r="L6" s="23">
        <v>1946</v>
      </c>
      <c r="N6" s="23" t="s">
        <v>2374</v>
      </c>
      <c r="O6" s="23" t="s">
        <v>2472</v>
      </c>
      <c r="P6" s="153">
        <v>4</v>
      </c>
      <c r="Q6" s="366"/>
    </row>
    <row r="7" spans="1:20" s="23" customFormat="1">
      <c r="A7" s="107" t="s">
        <v>2300</v>
      </c>
      <c r="B7" s="107" t="s">
        <v>2359</v>
      </c>
      <c r="C7" s="118" t="s">
        <v>2360</v>
      </c>
      <c r="D7" s="29" t="s">
        <v>2239</v>
      </c>
      <c r="E7" s="29"/>
      <c r="F7" s="29" t="s">
        <v>2558</v>
      </c>
      <c r="G7" s="118" t="s">
        <v>2500</v>
      </c>
      <c r="H7" s="78">
        <v>61</v>
      </c>
      <c r="I7" s="118" t="s">
        <v>2056</v>
      </c>
      <c r="J7" s="118">
        <v>1926</v>
      </c>
      <c r="K7" s="118"/>
      <c r="L7" s="23">
        <v>1954</v>
      </c>
      <c r="N7" s="121" t="s">
        <v>2473</v>
      </c>
      <c r="O7" s="121" t="s">
        <v>2469</v>
      </c>
      <c r="P7" s="153">
        <v>0</v>
      </c>
      <c r="Q7" s="366"/>
      <c r="R7" s="121"/>
      <c r="S7" s="118"/>
      <c r="T7" s="118"/>
    </row>
    <row r="8" spans="1:20">
      <c r="A8" s="20" t="s">
        <v>1290</v>
      </c>
      <c r="B8" s="20" t="s">
        <v>2144</v>
      </c>
      <c r="C8" s="15" t="s">
        <v>1968</v>
      </c>
      <c r="D8" s="29" t="s">
        <v>2371</v>
      </c>
      <c r="F8" s="29" t="s">
        <v>1150</v>
      </c>
      <c r="G8" s="280" t="s">
        <v>96</v>
      </c>
      <c r="H8" s="78" t="s">
        <v>2220</v>
      </c>
      <c r="I8" s="15" t="s">
        <v>2375</v>
      </c>
      <c r="J8" s="15">
        <v>1927</v>
      </c>
      <c r="K8" s="15">
        <v>1943</v>
      </c>
      <c r="L8" s="23">
        <v>1945</v>
      </c>
      <c r="N8" s="15" t="s">
        <v>2374</v>
      </c>
      <c r="O8" s="113" t="s">
        <v>2297</v>
      </c>
      <c r="P8" s="153">
        <v>7</v>
      </c>
    </row>
    <row r="9" spans="1:20">
      <c r="A9" s="20" t="s">
        <v>2530</v>
      </c>
      <c r="B9" s="20" t="s">
        <v>1966</v>
      </c>
      <c r="C9" s="15" t="s">
        <v>1934</v>
      </c>
      <c r="D9" s="29" t="s">
        <v>2371</v>
      </c>
      <c r="F9" s="29" t="s">
        <v>2845</v>
      </c>
      <c r="G9" s="19" t="s">
        <v>1940</v>
      </c>
      <c r="H9" s="78" t="s">
        <v>2015</v>
      </c>
      <c r="I9" s="113" t="s">
        <v>2376</v>
      </c>
      <c r="J9" s="15">
        <v>1927</v>
      </c>
      <c r="L9" s="23">
        <v>1954</v>
      </c>
      <c r="N9" s="121" t="s">
        <v>1303</v>
      </c>
      <c r="O9" s="121" t="s">
        <v>2467</v>
      </c>
      <c r="P9" s="153">
        <v>11</v>
      </c>
      <c r="R9" s="121" t="s">
        <v>2466</v>
      </c>
    </row>
    <row r="10" spans="1:20">
      <c r="A10" s="17" t="s">
        <v>1521</v>
      </c>
      <c r="B10" s="17" t="s">
        <v>2049</v>
      </c>
      <c r="C10" s="15" t="s">
        <v>2053</v>
      </c>
      <c r="D10" s="29" t="s">
        <v>2373</v>
      </c>
      <c r="F10" s="29" t="s">
        <v>1266</v>
      </c>
      <c r="G10" s="280" t="s">
        <v>97</v>
      </c>
      <c r="H10" s="78">
        <v>55</v>
      </c>
      <c r="I10" s="113" t="s">
        <v>2452</v>
      </c>
      <c r="J10" s="15">
        <v>1928</v>
      </c>
      <c r="L10" s="23">
        <v>1944</v>
      </c>
      <c r="N10" s="113" t="s">
        <v>2374</v>
      </c>
      <c r="O10" s="121" t="s">
        <v>2471</v>
      </c>
      <c r="P10" s="153">
        <v>10</v>
      </c>
      <c r="R10" s="121" t="s">
        <v>2424</v>
      </c>
    </row>
    <row r="11" spans="1:20">
      <c r="A11" s="20" t="s">
        <v>1064</v>
      </c>
      <c r="B11" s="20" t="s">
        <v>2038</v>
      </c>
      <c r="C11" s="15" t="s">
        <v>1968</v>
      </c>
      <c r="D11" s="29" t="s">
        <v>2373</v>
      </c>
      <c r="F11" s="29" t="s">
        <v>1173</v>
      </c>
      <c r="G11" s="280" t="s">
        <v>98</v>
      </c>
      <c r="H11" s="78" t="s">
        <v>2013</v>
      </c>
      <c r="I11" s="15" t="s">
        <v>2375</v>
      </c>
      <c r="J11" s="15">
        <v>1930</v>
      </c>
      <c r="L11" s="23">
        <v>1948</v>
      </c>
      <c r="M11" s="23">
        <v>1</v>
      </c>
      <c r="N11" s="24" t="s">
        <v>2371</v>
      </c>
      <c r="O11" s="130" t="s">
        <v>1037</v>
      </c>
      <c r="P11" s="153">
        <v>0</v>
      </c>
      <c r="Q11" s="366">
        <v>0</v>
      </c>
    </row>
    <row r="12" spans="1:20">
      <c r="A12" s="20" t="s">
        <v>2145</v>
      </c>
      <c r="B12" s="20" t="s">
        <v>1967</v>
      </c>
      <c r="C12" s="15" t="s">
        <v>1968</v>
      </c>
      <c r="D12" s="29" t="s">
        <v>2373</v>
      </c>
      <c r="F12" s="29" t="s">
        <v>589</v>
      </c>
      <c r="G12" s="280" t="s">
        <v>99</v>
      </c>
      <c r="H12" s="78">
        <v>163</v>
      </c>
      <c r="I12" s="19" t="s">
        <v>2375</v>
      </c>
      <c r="J12" s="15">
        <v>1930</v>
      </c>
      <c r="L12" s="23">
        <v>1951</v>
      </c>
      <c r="M12" s="23">
        <v>1</v>
      </c>
      <c r="N12" s="24" t="s">
        <v>2371</v>
      </c>
      <c r="O12" s="121" t="s">
        <v>2470</v>
      </c>
      <c r="P12" s="153">
        <v>0</v>
      </c>
      <c r="Q12" s="366">
        <v>0</v>
      </c>
    </row>
    <row r="13" spans="1:20">
      <c r="A13" s="20" t="s">
        <v>1997</v>
      </c>
      <c r="B13" s="20" t="s">
        <v>1998</v>
      </c>
      <c r="C13" s="15" t="s">
        <v>1968</v>
      </c>
      <c r="D13" s="29" t="s">
        <v>2373</v>
      </c>
      <c r="F13" s="29" t="s">
        <v>630</v>
      </c>
      <c r="G13" s="15" t="s">
        <v>2180</v>
      </c>
      <c r="H13" s="78">
        <v>158</v>
      </c>
      <c r="I13" s="19" t="s">
        <v>2376</v>
      </c>
      <c r="J13" s="15">
        <v>1931</v>
      </c>
      <c r="L13" s="23">
        <v>1942</v>
      </c>
      <c r="M13" s="23">
        <v>1</v>
      </c>
      <c r="N13" s="24" t="s">
        <v>2371</v>
      </c>
      <c r="O13" s="121" t="s">
        <v>2426</v>
      </c>
      <c r="P13" s="153">
        <v>0</v>
      </c>
      <c r="Q13" s="366">
        <v>1</v>
      </c>
    </row>
    <row r="14" spans="1:20">
      <c r="A14" s="17" t="s">
        <v>2047</v>
      </c>
      <c r="B14" s="17" t="s">
        <v>2048</v>
      </c>
      <c r="C14" s="15" t="s">
        <v>2053</v>
      </c>
      <c r="D14" s="29" t="s">
        <v>2373</v>
      </c>
      <c r="F14" s="29" t="s">
        <v>1266</v>
      </c>
      <c r="G14" s="15" t="s">
        <v>1960</v>
      </c>
      <c r="H14" s="78">
        <v>126</v>
      </c>
      <c r="I14" s="19" t="s">
        <v>2376</v>
      </c>
      <c r="J14" s="15">
        <v>1931</v>
      </c>
      <c r="L14" s="23">
        <v>1954</v>
      </c>
      <c r="N14" s="113" t="s">
        <v>2379</v>
      </c>
      <c r="O14" s="121" t="s">
        <v>2427</v>
      </c>
      <c r="P14" s="153">
        <v>2</v>
      </c>
    </row>
    <row r="15" spans="1:20">
      <c r="A15" s="20" t="s">
        <v>2039</v>
      </c>
      <c r="B15" s="20" t="s">
        <v>2457</v>
      </c>
      <c r="C15" s="15" t="s">
        <v>1968</v>
      </c>
      <c r="D15" s="29" t="s">
        <v>2373</v>
      </c>
      <c r="F15" s="29" t="s">
        <v>630</v>
      </c>
      <c r="G15" s="15" t="s">
        <v>1942</v>
      </c>
      <c r="H15" s="78" t="s">
        <v>1927</v>
      </c>
      <c r="I15" s="113" t="s">
        <v>2375</v>
      </c>
      <c r="J15" s="15">
        <v>1932</v>
      </c>
      <c r="K15" s="15">
        <v>1943</v>
      </c>
      <c r="L15" s="23">
        <v>1945</v>
      </c>
      <c r="M15" s="23">
        <v>1</v>
      </c>
      <c r="N15" s="24" t="s">
        <v>2373</v>
      </c>
      <c r="O15" s="121" t="s">
        <v>2428</v>
      </c>
      <c r="P15" s="153">
        <v>0</v>
      </c>
      <c r="Q15" s="366">
        <v>0</v>
      </c>
    </row>
    <row r="16" spans="1:20">
      <c r="A16" s="17" t="s">
        <v>1943</v>
      </c>
      <c r="B16" s="17" t="s">
        <v>1941</v>
      </c>
      <c r="C16" s="116" t="s">
        <v>2525</v>
      </c>
      <c r="D16" s="29" t="s">
        <v>2373</v>
      </c>
      <c r="F16" s="29" t="s">
        <v>1266</v>
      </c>
      <c r="G16" s="280" t="s">
        <v>69</v>
      </c>
      <c r="H16" s="78">
        <v>192</v>
      </c>
      <c r="I16" s="119" t="s">
        <v>1408</v>
      </c>
      <c r="J16" s="15">
        <v>1932</v>
      </c>
      <c r="L16" s="23">
        <v>1947</v>
      </c>
      <c r="M16" s="23">
        <v>1</v>
      </c>
      <c r="N16" s="113" t="s">
        <v>2374</v>
      </c>
      <c r="O16" s="121" t="s">
        <v>2381</v>
      </c>
      <c r="P16" s="153">
        <v>9</v>
      </c>
      <c r="Q16" s="366">
        <v>0</v>
      </c>
    </row>
    <row r="17" spans="1:18">
      <c r="A17" s="20" t="s">
        <v>2267</v>
      </c>
      <c r="B17" s="20" t="s">
        <v>2151</v>
      </c>
      <c r="C17" s="15" t="s">
        <v>1968</v>
      </c>
      <c r="D17" s="29" t="s">
        <v>2371</v>
      </c>
      <c r="F17" s="29" t="s">
        <v>630</v>
      </c>
      <c r="G17" s="15" t="s">
        <v>1951</v>
      </c>
      <c r="H17" s="78">
        <v>98</v>
      </c>
      <c r="I17" s="15" t="s">
        <v>2376</v>
      </c>
      <c r="J17" s="15">
        <v>1932</v>
      </c>
      <c r="K17" s="15">
        <v>1947</v>
      </c>
      <c r="L17" s="23">
        <v>1950</v>
      </c>
      <c r="M17" s="23">
        <v>0</v>
      </c>
      <c r="N17" s="15" t="s">
        <v>2374</v>
      </c>
      <c r="O17" s="121" t="s">
        <v>2384</v>
      </c>
      <c r="P17" s="153">
        <v>0</v>
      </c>
      <c r="Q17" s="366">
        <v>0</v>
      </c>
      <c r="R17" s="130" t="s">
        <v>996</v>
      </c>
    </row>
    <row r="18" spans="1:18">
      <c r="A18" s="24" t="s">
        <v>1771</v>
      </c>
      <c r="B18" s="24" t="s">
        <v>1969</v>
      </c>
      <c r="C18" s="15" t="s">
        <v>1970</v>
      </c>
      <c r="D18" s="29" t="s">
        <v>2259</v>
      </c>
      <c r="F18" s="29" t="s">
        <v>2845</v>
      </c>
      <c r="G18" s="15" t="s">
        <v>2119</v>
      </c>
      <c r="H18" s="78">
        <v>61</v>
      </c>
      <c r="I18" s="113" t="s">
        <v>2451</v>
      </c>
      <c r="J18" s="15">
        <v>1933</v>
      </c>
      <c r="K18" s="15">
        <v>1952</v>
      </c>
      <c r="L18" s="23">
        <v>1952</v>
      </c>
      <c r="M18" s="23">
        <v>1</v>
      </c>
      <c r="N18" s="113" t="s">
        <v>2374</v>
      </c>
      <c r="O18" s="121"/>
      <c r="P18" s="153">
        <v>0</v>
      </c>
      <c r="Q18" s="366">
        <v>0</v>
      </c>
      <c r="R18" s="130" t="s">
        <v>935</v>
      </c>
    </row>
    <row r="19" spans="1:18">
      <c r="A19" s="17" t="s">
        <v>2233</v>
      </c>
      <c r="B19" s="17" t="s">
        <v>2234</v>
      </c>
      <c r="C19" s="15" t="s">
        <v>2053</v>
      </c>
      <c r="D19" s="29" t="s">
        <v>2373</v>
      </c>
      <c r="F19" s="29" t="s">
        <v>2846</v>
      </c>
      <c r="G19" s="121" t="s">
        <v>2431</v>
      </c>
      <c r="H19" s="78">
        <v>61</v>
      </c>
      <c r="I19" s="113" t="s">
        <v>2453</v>
      </c>
      <c r="J19" s="15">
        <v>1933</v>
      </c>
      <c r="L19" s="23">
        <v>1955</v>
      </c>
      <c r="M19" s="23">
        <v>1</v>
      </c>
      <c r="N19" s="113" t="s">
        <v>2374</v>
      </c>
      <c r="O19" s="121"/>
      <c r="P19" s="153">
        <v>0</v>
      </c>
      <c r="Q19" s="366">
        <v>0</v>
      </c>
      <c r="R19" s="130"/>
    </row>
    <row r="20" spans="1:18">
      <c r="A20" s="17" t="s">
        <v>2362</v>
      </c>
      <c r="B20" s="17" t="s">
        <v>2363</v>
      </c>
      <c r="C20" s="15" t="s">
        <v>2053</v>
      </c>
      <c r="D20" s="29" t="s">
        <v>2373</v>
      </c>
      <c r="F20" s="29" t="s">
        <v>1266</v>
      </c>
      <c r="G20" s="15" t="s">
        <v>1994</v>
      </c>
      <c r="H20" s="78">
        <v>124</v>
      </c>
      <c r="I20" s="113" t="s">
        <v>2273</v>
      </c>
      <c r="J20" s="15">
        <v>1933</v>
      </c>
      <c r="K20" s="15" t="s">
        <v>1794</v>
      </c>
      <c r="L20" s="23">
        <v>1949</v>
      </c>
      <c r="M20" s="23">
        <v>1</v>
      </c>
      <c r="N20" s="113" t="s">
        <v>2379</v>
      </c>
      <c r="O20" s="121" t="s">
        <v>2383</v>
      </c>
      <c r="P20" s="153">
        <v>28</v>
      </c>
      <c r="Q20" s="366">
        <v>0</v>
      </c>
      <c r="R20" s="130"/>
    </row>
    <row r="21" spans="1:18" s="119" customFormat="1">
      <c r="A21" s="23" t="s">
        <v>1302</v>
      </c>
      <c r="B21" s="23" t="s">
        <v>1301</v>
      </c>
      <c r="C21" s="119" t="s">
        <v>1300</v>
      </c>
      <c r="D21" s="29" t="s">
        <v>1303</v>
      </c>
      <c r="E21" s="29"/>
      <c r="F21" s="29" t="s">
        <v>1173</v>
      </c>
      <c r="G21" s="119" t="s">
        <v>1293</v>
      </c>
      <c r="H21" s="78" t="s">
        <v>1294</v>
      </c>
      <c r="I21" s="119" t="s">
        <v>1289</v>
      </c>
      <c r="J21" s="119">
        <v>1934</v>
      </c>
      <c r="L21" s="23">
        <v>1950</v>
      </c>
      <c r="M21" s="23">
        <v>1</v>
      </c>
      <c r="N21" s="119" t="s">
        <v>1295</v>
      </c>
      <c r="O21" s="121" t="s">
        <v>2385</v>
      </c>
      <c r="P21" s="153">
        <v>0</v>
      </c>
      <c r="Q21" s="366">
        <v>0</v>
      </c>
    </row>
    <row r="22" spans="1:18">
      <c r="A22" s="20" t="s">
        <v>1988</v>
      </c>
      <c r="B22" s="20" t="s">
        <v>1989</v>
      </c>
      <c r="C22" s="15" t="s">
        <v>1968</v>
      </c>
      <c r="D22" s="29" t="s">
        <v>1487</v>
      </c>
      <c r="F22" s="29" t="s">
        <v>1173</v>
      </c>
      <c r="G22" s="113" t="s">
        <v>2282</v>
      </c>
      <c r="H22" s="78" t="s">
        <v>7</v>
      </c>
      <c r="I22" s="113" t="s">
        <v>2157</v>
      </c>
      <c r="J22" s="15">
        <v>1934</v>
      </c>
      <c r="L22" s="23">
        <v>1952</v>
      </c>
      <c r="M22" s="23">
        <v>1</v>
      </c>
      <c r="N22" s="119" t="s">
        <v>1330</v>
      </c>
      <c r="O22" s="121" t="s">
        <v>2427</v>
      </c>
      <c r="P22" s="153">
        <v>0</v>
      </c>
      <c r="Q22" s="366">
        <v>0</v>
      </c>
    </row>
    <row r="23" spans="1:18">
      <c r="A23" s="20" t="s">
        <v>1990</v>
      </c>
      <c r="B23" s="20" t="s">
        <v>2130</v>
      </c>
      <c r="C23" s="15" t="s">
        <v>1968</v>
      </c>
      <c r="D23" s="29" t="s">
        <v>2373</v>
      </c>
      <c r="F23" s="29" t="s">
        <v>589</v>
      </c>
      <c r="G23" s="16" t="s">
        <v>70</v>
      </c>
      <c r="H23" s="79" t="s">
        <v>2386</v>
      </c>
      <c r="I23" s="122" t="s">
        <v>2412</v>
      </c>
      <c r="J23" s="15">
        <v>1934</v>
      </c>
      <c r="K23" s="15">
        <v>1953</v>
      </c>
      <c r="L23" s="23">
        <v>1953</v>
      </c>
      <c r="M23" s="23">
        <v>1</v>
      </c>
      <c r="N23" s="24" t="s">
        <v>2373</v>
      </c>
      <c r="O23" s="121" t="s">
        <v>2387</v>
      </c>
      <c r="P23" s="153">
        <v>0</v>
      </c>
      <c r="Q23" s="366">
        <v>0</v>
      </c>
      <c r="R23" s="130" t="s">
        <v>872</v>
      </c>
    </row>
    <row r="24" spans="1:18">
      <c r="A24" s="17" t="s">
        <v>1420</v>
      </c>
      <c r="B24" s="17" t="s">
        <v>1980</v>
      </c>
      <c r="C24" s="15" t="s">
        <v>1972</v>
      </c>
      <c r="D24" s="29" t="s">
        <v>2373</v>
      </c>
      <c r="F24" s="29" t="s">
        <v>1173</v>
      </c>
      <c r="G24" s="19" t="s">
        <v>71</v>
      </c>
      <c r="H24" s="78">
        <v>58</v>
      </c>
      <c r="I24" s="22" t="s">
        <v>1428</v>
      </c>
      <c r="J24" s="113">
        <v>1934</v>
      </c>
      <c r="L24" s="23">
        <v>1947</v>
      </c>
      <c r="M24" s="23">
        <v>1</v>
      </c>
      <c r="N24" s="24" t="s">
        <v>1615</v>
      </c>
      <c r="O24" s="121" t="s">
        <v>2388</v>
      </c>
      <c r="P24" s="153">
        <v>1</v>
      </c>
      <c r="Q24" s="366">
        <v>0</v>
      </c>
    </row>
    <row r="25" spans="1:18">
      <c r="A25" s="20" t="s">
        <v>2007</v>
      </c>
      <c r="B25" s="20" t="s">
        <v>2070</v>
      </c>
      <c r="C25" s="15" t="s">
        <v>1993</v>
      </c>
      <c r="D25" s="29" t="s">
        <v>2371</v>
      </c>
      <c r="F25" s="29" t="s">
        <v>2691</v>
      </c>
      <c r="G25" s="15" t="s">
        <v>1995</v>
      </c>
      <c r="H25" s="78">
        <v>52</v>
      </c>
      <c r="I25" s="19" t="s">
        <v>2274</v>
      </c>
      <c r="J25" s="23">
        <v>1934</v>
      </c>
      <c r="K25" s="15">
        <v>1949</v>
      </c>
      <c r="L25" s="23">
        <v>1953</v>
      </c>
      <c r="M25" s="23">
        <v>1</v>
      </c>
      <c r="N25" s="113" t="s">
        <v>2374</v>
      </c>
      <c r="O25" s="121" t="s">
        <v>2389</v>
      </c>
      <c r="P25" s="153">
        <v>3</v>
      </c>
      <c r="Q25" s="366">
        <v>1</v>
      </c>
    </row>
    <row r="26" spans="1:18">
      <c r="A26" s="20" t="s">
        <v>848</v>
      </c>
      <c r="B26" s="20" t="s">
        <v>2008</v>
      </c>
      <c r="C26" s="15" t="s">
        <v>1993</v>
      </c>
      <c r="D26" s="29" t="s">
        <v>2268</v>
      </c>
      <c r="F26" s="29" t="s">
        <v>762</v>
      </c>
      <c r="G26" s="15" t="s">
        <v>1412</v>
      </c>
      <c r="H26" s="78">
        <v>158</v>
      </c>
      <c r="I26" s="19" t="s">
        <v>2269</v>
      </c>
      <c r="J26" s="23">
        <v>1935</v>
      </c>
      <c r="K26" s="15">
        <v>1942</v>
      </c>
      <c r="L26" s="23">
        <v>1946</v>
      </c>
      <c r="M26" s="23">
        <v>1</v>
      </c>
      <c r="N26" s="113" t="s">
        <v>2373</v>
      </c>
      <c r="O26" s="121" t="s">
        <v>2390</v>
      </c>
      <c r="P26" s="153">
        <v>0</v>
      </c>
      <c r="Q26" s="366">
        <v>0</v>
      </c>
    </row>
    <row r="27" spans="1:18">
      <c r="A27" s="20" t="s">
        <v>2009</v>
      </c>
      <c r="B27" s="20" t="s">
        <v>2010</v>
      </c>
      <c r="C27" s="15" t="s">
        <v>1993</v>
      </c>
      <c r="D27" s="29" t="s">
        <v>2373</v>
      </c>
      <c r="F27" s="29" t="s">
        <v>2845</v>
      </c>
      <c r="G27" s="15" t="s">
        <v>1937</v>
      </c>
      <c r="H27" s="78">
        <v>157</v>
      </c>
      <c r="I27" s="113" t="s">
        <v>2375</v>
      </c>
      <c r="J27" s="15">
        <v>1937</v>
      </c>
      <c r="K27" s="15">
        <v>1941</v>
      </c>
      <c r="L27" s="23">
        <v>1941</v>
      </c>
      <c r="N27" s="24" t="s">
        <v>2373</v>
      </c>
      <c r="P27" s="153">
        <v>0</v>
      </c>
      <c r="R27" s="152" t="s">
        <v>766</v>
      </c>
    </row>
    <row r="28" spans="1:18">
      <c r="A28" s="23" t="s">
        <v>1983</v>
      </c>
      <c r="B28" s="23" t="s">
        <v>1984</v>
      </c>
      <c r="C28" s="153" t="s">
        <v>2688</v>
      </c>
      <c r="D28" s="29" t="s">
        <v>1311</v>
      </c>
      <c r="F28" s="29" t="s">
        <v>2709</v>
      </c>
      <c r="G28" s="15" t="s">
        <v>2085</v>
      </c>
      <c r="H28" s="78">
        <v>89</v>
      </c>
      <c r="I28" s="113" t="s">
        <v>2451</v>
      </c>
      <c r="J28" s="15">
        <v>1937</v>
      </c>
      <c r="K28" s="15">
        <v>1944</v>
      </c>
      <c r="L28" s="23">
        <v>1946</v>
      </c>
      <c r="N28" s="113" t="s">
        <v>2379</v>
      </c>
      <c r="O28" s="121" t="s">
        <v>2427</v>
      </c>
      <c r="P28" s="153">
        <v>4</v>
      </c>
      <c r="R28" s="152"/>
    </row>
    <row r="29" spans="1:18">
      <c r="A29" s="17" t="s">
        <v>2156</v>
      </c>
      <c r="B29" s="17" t="s">
        <v>1915</v>
      </c>
      <c r="C29" s="15" t="s">
        <v>1876</v>
      </c>
      <c r="D29" s="29" t="s">
        <v>2373</v>
      </c>
      <c r="F29" s="29" t="s">
        <v>1173</v>
      </c>
      <c r="G29" s="15" t="s">
        <v>1916</v>
      </c>
      <c r="H29" s="78">
        <v>61</v>
      </c>
      <c r="I29" s="113" t="s">
        <v>2276</v>
      </c>
      <c r="J29" s="15">
        <v>1937</v>
      </c>
      <c r="L29" s="23">
        <v>1955</v>
      </c>
      <c r="M29" s="23">
        <v>0</v>
      </c>
      <c r="N29" s="113" t="s">
        <v>2379</v>
      </c>
      <c r="O29" s="121" t="s">
        <v>2382</v>
      </c>
      <c r="P29" s="153">
        <v>11</v>
      </c>
      <c r="Q29" s="366">
        <v>1</v>
      </c>
    </row>
    <row r="30" spans="1:18">
      <c r="A30" s="17" t="s">
        <v>2011</v>
      </c>
      <c r="B30" s="17" t="s">
        <v>2012</v>
      </c>
      <c r="C30" s="15" t="s">
        <v>2053</v>
      </c>
      <c r="D30" s="29" t="s">
        <v>2373</v>
      </c>
      <c r="F30" s="29" t="s">
        <v>2845</v>
      </c>
      <c r="G30" s="113" t="s">
        <v>1981</v>
      </c>
      <c r="H30" s="78">
        <v>122</v>
      </c>
      <c r="I30" s="113" t="s">
        <v>2275</v>
      </c>
      <c r="J30" s="15">
        <v>1937</v>
      </c>
      <c r="K30" s="15">
        <v>1952</v>
      </c>
      <c r="L30" s="23">
        <v>1955</v>
      </c>
      <c r="M30" s="23">
        <v>0</v>
      </c>
      <c r="N30" s="113" t="s">
        <v>2379</v>
      </c>
      <c r="O30" s="138"/>
      <c r="P30" s="153">
        <v>200</v>
      </c>
      <c r="Q30" s="366">
        <v>1</v>
      </c>
      <c r="R30" s="130"/>
    </row>
    <row r="31" spans="1:18">
      <c r="A31" s="17" t="s">
        <v>2081</v>
      </c>
      <c r="B31" s="17" t="s">
        <v>2082</v>
      </c>
      <c r="C31" s="15" t="s">
        <v>2053</v>
      </c>
      <c r="D31" s="29" t="s">
        <v>2373</v>
      </c>
      <c r="F31" s="29" t="s">
        <v>762</v>
      </c>
      <c r="G31" s="113" t="s">
        <v>2024</v>
      </c>
      <c r="H31" s="78" t="s">
        <v>2025</v>
      </c>
      <c r="I31" s="15" t="s">
        <v>2026</v>
      </c>
      <c r="J31" s="15">
        <v>1938</v>
      </c>
      <c r="K31" s="15">
        <v>1948</v>
      </c>
      <c r="L31" s="23">
        <v>1948</v>
      </c>
      <c r="M31" s="23">
        <v>0</v>
      </c>
      <c r="N31" s="113" t="s">
        <v>2374</v>
      </c>
      <c r="O31" s="152" t="s">
        <v>799</v>
      </c>
      <c r="P31" s="153">
        <v>10</v>
      </c>
      <c r="Q31" s="366">
        <v>0</v>
      </c>
    </row>
    <row r="32" spans="1:18">
      <c r="A32" s="20" t="s">
        <v>1430</v>
      </c>
      <c r="B32" s="20" t="s">
        <v>2103</v>
      </c>
      <c r="C32" s="208" t="s">
        <v>142</v>
      </c>
      <c r="D32" s="29" t="s">
        <v>1429</v>
      </c>
      <c r="F32" s="29" t="s">
        <v>1173</v>
      </c>
      <c r="G32" s="19" t="s">
        <v>72</v>
      </c>
      <c r="H32" s="78" t="s">
        <v>4014</v>
      </c>
      <c r="I32" s="15" t="s">
        <v>1971</v>
      </c>
      <c r="J32" s="15">
        <v>1938</v>
      </c>
      <c r="L32" s="23">
        <v>1948</v>
      </c>
      <c r="M32" s="23">
        <v>0</v>
      </c>
      <c r="N32" s="15" t="s">
        <v>2374</v>
      </c>
      <c r="O32" s="121" t="s">
        <v>2427</v>
      </c>
      <c r="P32" s="153">
        <v>14</v>
      </c>
      <c r="Q32" s="366">
        <v>1</v>
      </c>
    </row>
    <row r="33" spans="1:20">
      <c r="A33" s="24" t="s">
        <v>1772</v>
      </c>
      <c r="B33" s="24" t="s">
        <v>2040</v>
      </c>
      <c r="C33" s="15" t="s">
        <v>1970</v>
      </c>
      <c r="D33" s="29" t="s">
        <v>2373</v>
      </c>
      <c r="F33" s="29" t="s">
        <v>2845</v>
      </c>
      <c r="G33" s="16" t="s">
        <v>3935</v>
      </c>
      <c r="H33" s="78">
        <v>61</v>
      </c>
      <c r="I33" s="113" t="s">
        <v>1971</v>
      </c>
      <c r="J33" s="15">
        <v>1938</v>
      </c>
      <c r="K33" s="15">
        <v>1954</v>
      </c>
      <c r="L33" s="23">
        <v>1954</v>
      </c>
      <c r="M33" s="23">
        <v>0</v>
      </c>
      <c r="N33" s="113" t="s">
        <v>2374</v>
      </c>
      <c r="P33" s="153">
        <v>2</v>
      </c>
      <c r="Q33" s="366">
        <v>1</v>
      </c>
      <c r="R33" s="15" t="s">
        <v>2102</v>
      </c>
    </row>
    <row r="34" spans="1:20">
      <c r="A34" s="20" t="s">
        <v>2120</v>
      </c>
      <c r="B34" s="20" t="s">
        <v>2121</v>
      </c>
      <c r="C34" s="15" t="s">
        <v>1993</v>
      </c>
      <c r="D34" s="29" t="s">
        <v>2371</v>
      </c>
      <c r="F34" s="29" t="s">
        <v>2586</v>
      </c>
      <c r="G34" s="15" t="s">
        <v>2083</v>
      </c>
      <c r="H34" s="78">
        <v>162</v>
      </c>
      <c r="I34" s="113" t="s">
        <v>2376</v>
      </c>
      <c r="J34" s="15">
        <v>1942</v>
      </c>
      <c r="L34" s="23">
        <v>1949</v>
      </c>
      <c r="N34" s="153" t="s">
        <v>2680</v>
      </c>
      <c r="O34" s="121" t="s">
        <v>2469</v>
      </c>
      <c r="P34" s="153">
        <v>0</v>
      </c>
    </row>
    <row r="35" spans="1:20" s="121" customFormat="1">
      <c r="A35" s="153" t="s">
        <v>2699</v>
      </c>
      <c r="B35" s="121" t="s">
        <v>2497</v>
      </c>
      <c r="C35" s="121" t="s">
        <v>2006</v>
      </c>
      <c r="D35" s="29" t="s">
        <v>875</v>
      </c>
      <c r="E35" s="29"/>
      <c r="F35" s="29" t="s">
        <v>2586</v>
      </c>
      <c r="G35" s="121" t="s">
        <v>1775</v>
      </c>
      <c r="H35" s="78" t="s">
        <v>2435</v>
      </c>
      <c r="I35" s="121" t="s">
        <v>1701</v>
      </c>
      <c r="J35" s="121">
        <v>1949</v>
      </c>
      <c r="K35" s="121">
        <v>1953</v>
      </c>
      <c r="L35" s="23">
        <v>1953</v>
      </c>
      <c r="M35" s="23"/>
      <c r="N35" s="153" t="s">
        <v>2585</v>
      </c>
      <c r="O35" s="121" t="s">
        <v>2430</v>
      </c>
      <c r="P35" s="153">
        <v>0</v>
      </c>
      <c r="Q35" s="366"/>
      <c r="R35" s="380" t="s">
        <v>2429</v>
      </c>
      <c r="S35" s="380"/>
    </row>
    <row r="36" spans="1:20" s="121" customFormat="1">
      <c r="A36" s="20" t="s">
        <v>1299</v>
      </c>
      <c r="B36" s="20" t="s">
        <v>1264</v>
      </c>
      <c r="C36" s="121" t="s">
        <v>1883</v>
      </c>
      <c r="D36" s="29" t="s">
        <v>2239</v>
      </c>
      <c r="E36" s="29"/>
      <c r="F36" s="29" t="s">
        <v>2691</v>
      </c>
      <c r="G36" s="121" t="s">
        <v>1310</v>
      </c>
      <c r="H36" s="78">
        <v>60</v>
      </c>
      <c r="I36" s="121" t="s">
        <v>1357</v>
      </c>
      <c r="J36" s="121">
        <v>1946</v>
      </c>
      <c r="K36" s="121">
        <v>1949</v>
      </c>
      <c r="L36" s="23">
        <v>1952</v>
      </c>
      <c r="M36" s="23"/>
      <c r="N36" s="121" t="s">
        <v>2361</v>
      </c>
      <c r="O36" s="153" t="s">
        <v>2637</v>
      </c>
      <c r="P36" s="153">
        <v>0</v>
      </c>
      <c r="Q36" s="366"/>
      <c r="R36" s="30"/>
      <c r="S36" s="30"/>
      <c r="T36" s="30"/>
    </row>
    <row r="37" spans="1:20">
      <c r="A37" s="17" t="s">
        <v>1913</v>
      </c>
      <c r="B37" s="17" t="s">
        <v>1952</v>
      </c>
      <c r="C37" s="15" t="s">
        <v>1876</v>
      </c>
      <c r="D37" s="29" t="s">
        <v>875</v>
      </c>
      <c r="F37" s="29" t="s">
        <v>2691</v>
      </c>
      <c r="G37" s="15" t="s">
        <v>1917</v>
      </c>
      <c r="H37" s="78" t="s">
        <v>1914</v>
      </c>
      <c r="I37" s="15" t="s">
        <v>2056</v>
      </c>
      <c r="J37" s="15">
        <v>1948</v>
      </c>
      <c r="K37" s="15">
        <v>1951</v>
      </c>
      <c r="L37" s="23">
        <v>1953</v>
      </c>
      <c r="N37" s="153" t="s">
        <v>2585</v>
      </c>
      <c r="O37" s="121" t="s">
        <v>2469</v>
      </c>
      <c r="P37" s="153">
        <v>0</v>
      </c>
      <c r="R37" s="30"/>
      <c r="S37" s="30"/>
      <c r="T37" s="30"/>
    </row>
    <row r="38" spans="1:20" s="23" customFormat="1">
      <c r="D38" s="135"/>
      <c r="E38" s="135"/>
      <c r="F38" s="135"/>
      <c r="H38" s="80"/>
    </row>
    <row r="39" spans="1:20">
      <c r="D39" s="29">
        <f>COUNTIF(D2:D34,"Y")</f>
        <v>32</v>
      </c>
      <c r="E39" s="29">
        <f>COUNTIF(E2:E37,"Y")</f>
        <v>0</v>
      </c>
      <c r="F39" s="29">
        <f>COUNTIF(F2:F37,"X")</f>
        <v>36</v>
      </c>
      <c r="J39" s="23">
        <f t="shared" ref="J39" si="0">AVERAGE(J2:J37)</f>
        <v>1933.2777777777778</v>
      </c>
      <c r="K39" s="23"/>
      <c r="L39" s="23">
        <f>AVERAGE(L2:L37)</f>
        <v>1949.6944444444443</v>
      </c>
      <c r="O39" s="113">
        <f>36-COUNTBLANK(O2:O37)</f>
        <v>31</v>
      </c>
    </row>
    <row r="40" spans="1:20">
      <c r="A40" s="76" t="s">
        <v>1987</v>
      </c>
    </row>
    <row r="41" spans="1:20">
      <c r="A41" s="113" t="s">
        <v>2372</v>
      </c>
    </row>
    <row r="42" spans="1:20" s="113" customFormat="1">
      <c r="A42" s="153" t="s">
        <v>2545</v>
      </c>
      <c r="B42" s="23"/>
      <c r="D42" s="29"/>
      <c r="E42" s="29"/>
      <c r="F42" s="29"/>
      <c r="H42" s="78"/>
      <c r="L42" s="23"/>
      <c r="M42" s="23"/>
      <c r="Q42" s="366"/>
    </row>
    <row r="44" spans="1:20">
      <c r="A44" s="76" t="s">
        <v>1982</v>
      </c>
    </row>
    <row r="45" spans="1:20">
      <c r="A45" s="16" t="s">
        <v>2046</v>
      </c>
      <c r="B45" s="75" t="s">
        <v>1961</v>
      </c>
      <c r="C45" s="15" t="s">
        <v>2035</v>
      </c>
      <c r="H45" s="78">
        <v>41</v>
      </c>
      <c r="I45" s="15" t="s">
        <v>2055</v>
      </c>
      <c r="J45" s="15">
        <v>1856</v>
      </c>
      <c r="K45" s="15" t="s">
        <v>1794</v>
      </c>
      <c r="L45" s="23" t="s">
        <v>1794</v>
      </c>
      <c r="R45" s="15" t="s">
        <v>1962</v>
      </c>
    </row>
    <row r="46" spans="1:20">
      <c r="A46" s="16" t="s">
        <v>1850</v>
      </c>
      <c r="B46" s="75" t="s">
        <v>2036</v>
      </c>
      <c r="C46" s="15" t="s">
        <v>1794</v>
      </c>
      <c r="G46" s="19" t="s">
        <v>2178</v>
      </c>
      <c r="H46" s="78" t="s">
        <v>2179</v>
      </c>
      <c r="I46" s="15" t="s">
        <v>2071</v>
      </c>
      <c r="J46" s="15">
        <v>1890</v>
      </c>
      <c r="K46" s="15">
        <v>1902</v>
      </c>
      <c r="R46" s="15" t="s">
        <v>1962</v>
      </c>
    </row>
    <row r="47" spans="1:20">
      <c r="A47" s="17" t="s">
        <v>1870</v>
      </c>
      <c r="B47" s="23" t="s">
        <v>2072</v>
      </c>
      <c r="C47" s="15" t="s">
        <v>2073</v>
      </c>
      <c r="G47" s="15" t="s">
        <v>2058</v>
      </c>
      <c r="H47" s="78" t="s">
        <v>1794</v>
      </c>
      <c r="I47" s="15" t="s">
        <v>2074</v>
      </c>
      <c r="J47" s="16">
        <v>1895</v>
      </c>
      <c r="K47" s="15">
        <v>1907</v>
      </c>
      <c r="R47" s="15" t="s">
        <v>1962</v>
      </c>
    </row>
    <row r="48" spans="1:20">
      <c r="A48" s="17" t="s">
        <v>1871</v>
      </c>
      <c r="B48" s="15" t="s">
        <v>1992</v>
      </c>
      <c r="C48" s="15" t="s">
        <v>1876</v>
      </c>
      <c r="H48" s="15" t="s">
        <v>1701</v>
      </c>
      <c r="I48" s="15" t="s">
        <v>2054</v>
      </c>
      <c r="J48" s="15">
        <v>1912</v>
      </c>
      <c r="L48" s="23">
        <v>1936</v>
      </c>
      <c r="R48" s="380" t="s">
        <v>1275</v>
      </c>
      <c r="S48" s="380"/>
    </row>
    <row r="49" spans="1:20">
      <c r="A49" s="23" t="s">
        <v>2068</v>
      </c>
      <c r="B49" s="23" t="s">
        <v>2129</v>
      </c>
      <c r="C49" s="15" t="s">
        <v>1794</v>
      </c>
      <c r="G49" s="19" t="s">
        <v>1996</v>
      </c>
      <c r="H49" s="78" t="s">
        <v>1794</v>
      </c>
      <c r="I49" s="15" t="s">
        <v>2157</v>
      </c>
      <c r="R49" s="15" t="s">
        <v>1962</v>
      </c>
    </row>
    <row r="50" spans="1:20" s="121" customFormat="1">
      <c r="A50" s="17" t="s">
        <v>1790</v>
      </c>
      <c r="B50" s="17" t="s">
        <v>2498</v>
      </c>
      <c r="C50" s="121" t="s">
        <v>1876</v>
      </c>
      <c r="D50" s="29" t="s">
        <v>2361</v>
      </c>
      <c r="E50" s="29"/>
      <c r="F50" s="29"/>
      <c r="G50" s="121" t="s">
        <v>2347</v>
      </c>
      <c r="H50" s="78">
        <v>82</v>
      </c>
      <c r="I50" s="121" t="s">
        <v>2348</v>
      </c>
      <c r="J50" s="121">
        <v>1924</v>
      </c>
      <c r="K50" s="121">
        <v>1942</v>
      </c>
      <c r="L50" s="23">
        <v>1945</v>
      </c>
      <c r="M50" s="23"/>
      <c r="N50" s="121" t="s">
        <v>2361</v>
      </c>
      <c r="Q50" s="366"/>
      <c r="R50" s="380" t="s">
        <v>2349</v>
      </c>
      <c r="S50" s="380"/>
      <c r="T50" s="380"/>
    </row>
    <row r="51" spans="1:20" s="121" customFormat="1">
      <c r="A51" s="114" t="s">
        <v>2325</v>
      </c>
      <c r="B51" s="121" t="s">
        <v>2153</v>
      </c>
      <c r="C51" s="121" t="s">
        <v>2495</v>
      </c>
      <c r="D51" s="29" t="s">
        <v>2361</v>
      </c>
      <c r="E51" s="29"/>
      <c r="F51" s="29"/>
      <c r="G51" s="121" t="s">
        <v>2154</v>
      </c>
      <c r="H51" s="78" t="s">
        <v>1701</v>
      </c>
      <c r="I51" s="121" t="s">
        <v>2056</v>
      </c>
      <c r="J51" s="121">
        <v>1923</v>
      </c>
      <c r="L51" s="23">
        <v>1954</v>
      </c>
      <c r="M51" s="23"/>
      <c r="N51" s="121" t="s">
        <v>2239</v>
      </c>
      <c r="Q51" s="366"/>
      <c r="R51" s="121" t="s">
        <v>2494</v>
      </c>
    </row>
    <row r="52" spans="1:20" s="121" customFormat="1">
      <c r="A52" s="121" t="s">
        <v>2413</v>
      </c>
      <c r="B52" s="121" t="s">
        <v>2414</v>
      </c>
      <c r="C52" s="121" t="s">
        <v>2415</v>
      </c>
      <c r="D52" s="29" t="s">
        <v>2361</v>
      </c>
      <c r="E52" s="29"/>
      <c r="F52" s="29"/>
      <c r="G52" s="121" t="s">
        <v>2501</v>
      </c>
      <c r="H52" s="78" t="s">
        <v>2502</v>
      </c>
      <c r="I52" s="121" t="s">
        <v>2503</v>
      </c>
      <c r="J52" s="121">
        <v>1929</v>
      </c>
      <c r="K52" s="121">
        <v>1940</v>
      </c>
      <c r="L52" s="23">
        <v>1948</v>
      </c>
      <c r="M52" s="23"/>
      <c r="N52" s="121" t="s">
        <v>2361</v>
      </c>
      <c r="Q52" s="366"/>
      <c r="R52" s="121" t="s">
        <v>2350</v>
      </c>
    </row>
    <row r="53" spans="1:20" s="121" customFormat="1">
      <c r="A53" s="18" t="s">
        <v>1791</v>
      </c>
      <c r="B53" s="121" t="s">
        <v>2221</v>
      </c>
      <c r="C53" s="121" t="s">
        <v>2222</v>
      </c>
      <c r="D53" s="29" t="s">
        <v>2239</v>
      </c>
      <c r="E53" s="29"/>
      <c r="F53" s="29"/>
      <c r="G53" s="121" t="s">
        <v>2292</v>
      </c>
      <c r="H53" s="78">
        <v>155</v>
      </c>
      <c r="I53" s="121" t="s">
        <v>2056</v>
      </c>
      <c r="J53" s="121">
        <v>1929</v>
      </c>
      <c r="K53" s="121">
        <v>1950</v>
      </c>
      <c r="L53" s="23"/>
      <c r="M53" s="23"/>
      <c r="N53" s="121" t="s">
        <v>2239</v>
      </c>
      <c r="Q53" s="366"/>
      <c r="R53" s="380" t="s">
        <v>2493</v>
      </c>
      <c r="S53" s="380"/>
      <c r="T53" s="380"/>
    </row>
    <row r="54" spans="1:20">
      <c r="A54" s="23" t="s">
        <v>1792</v>
      </c>
      <c r="B54" s="15" t="s">
        <v>2143</v>
      </c>
      <c r="C54" s="15" t="s">
        <v>1794</v>
      </c>
      <c r="H54" s="15" t="s">
        <v>1794</v>
      </c>
      <c r="J54" s="15">
        <v>1931</v>
      </c>
      <c r="L54" s="23">
        <v>1943</v>
      </c>
      <c r="R54" s="15" t="s">
        <v>2016</v>
      </c>
      <c r="S54" s="29"/>
    </row>
    <row r="55" spans="1:20">
      <c r="A55" s="23" t="s">
        <v>2017</v>
      </c>
      <c r="B55" s="15" t="s">
        <v>2018</v>
      </c>
      <c r="C55" s="15" t="s">
        <v>1794</v>
      </c>
      <c r="H55" s="15"/>
      <c r="R55" s="15" t="s">
        <v>2019</v>
      </c>
      <c r="S55" s="29"/>
    </row>
    <row r="56" spans="1:20" s="121" customFormat="1">
      <c r="A56" s="20" t="s">
        <v>1354</v>
      </c>
      <c r="B56" s="20" t="s">
        <v>1355</v>
      </c>
      <c r="C56" s="121" t="s">
        <v>1883</v>
      </c>
      <c r="D56" s="29" t="s">
        <v>2239</v>
      </c>
      <c r="E56" s="29"/>
      <c r="F56" s="29"/>
      <c r="G56" s="121" t="s">
        <v>1356</v>
      </c>
      <c r="H56" s="78">
        <v>124</v>
      </c>
      <c r="I56" s="121" t="s">
        <v>1357</v>
      </c>
      <c r="J56" s="121">
        <v>1934</v>
      </c>
      <c r="K56" s="121">
        <v>1945</v>
      </c>
      <c r="L56" s="121">
        <v>1948</v>
      </c>
      <c r="M56" s="314"/>
      <c r="N56" s="121" t="s">
        <v>2361</v>
      </c>
      <c r="O56" s="121" t="s">
        <v>2468</v>
      </c>
      <c r="P56" s="121" t="s">
        <v>2239</v>
      </c>
      <c r="Q56" s="366"/>
      <c r="R56" s="380" t="s">
        <v>2496</v>
      </c>
      <c r="S56" s="380"/>
      <c r="T56" s="380"/>
    </row>
    <row r="57" spans="1:20">
      <c r="A57" s="20" t="s">
        <v>1276</v>
      </c>
      <c r="B57" s="15" t="s">
        <v>1882</v>
      </c>
      <c r="C57" s="15" t="s">
        <v>1883</v>
      </c>
      <c r="G57" s="21" t="s">
        <v>1945</v>
      </c>
      <c r="H57" s="79">
        <v>155</v>
      </c>
      <c r="I57" s="21" t="s">
        <v>2056</v>
      </c>
      <c r="J57" s="15" t="s">
        <v>1946</v>
      </c>
      <c r="L57" s="23">
        <v>1951</v>
      </c>
      <c r="R57" s="15" t="s">
        <v>2020</v>
      </c>
    </row>
    <row r="58" spans="1:20">
      <c r="A58" s="23" t="s">
        <v>2027</v>
      </c>
      <c r="B58" s="23" t="s">
        <v>2028</v>
      </c>
      <c r="C58" s="15" t="s">
        <v>2029</v>
      </c>
      <c r="R58" s="113" t="s">
        <v>2324</v>
      </c>
    </row>
    <row r="59" spans="1:20" s="119" customFormat="1">
      <c r="A59" s="17" t="s">
        <v>1778</v>
      </c>
      <c r="B59" s="119" t="s">
        <v>1277</v>
      </c>
      <c r="C59" s="119" t="s">
        <v>1876</v>
      </c>
      <c r="D59" s="29" t="s">
        <v>2239</v>
      </c>
      <c r="E59" s="29"/>
      <c r="F59" s="29" t="s">
        <v>1193</v>
      </c>
      <c r="G59" s="119" t="s">
        <v>1206</v>
      </c>
      <c r="H59" s="78">
        <v>61</v>
      </c>
      <c r="I59" s="119" t="s">
        <v>1207</v>
      </c>
      <c r="J59" s="119">
        <v>1938</v>
      </c>
      <c r="K59" s="119" t="s">
        <v>1701</v>
      </c>
      <c r="L59" s="23" t="s">
        <v>1701</v>
      </c>
      <c r="M59" s="23"/>
      <c r="N59" s="119" t="s">
        <v>2361</v>
      </c>
      <c r="O59" s="119" t="s">
        <v>1332</v>
      </c>
      <c r="P59" s="119" t="s">
        <v>2239</v>
      </c>
      <c r="Q59" s="366"/>
      <c r="R59" s="380" t="s">
        <v>1228</v>
      </c>
      <c r="S59" s="380"/>
      <c r="T59" s="380"/>
    </row>
    <row r="60" spans="1:20">
      <c r="A60" s="23" t="s">
        <v>1768</v>
      </c>
      <c r="B60" s="23" t="s">
        <v>2030</v>
      </c>
      <c r="C60" s="15" t="s">
        <v>2031</v>
      </c>
      <c r="R60" s="113" t="s">
        <v>2323</v>
      </c>
    </row>
    <row r="61" spans="1:20">
      <c r="A61" s="23" t="s">
        <v>1773</v>
      </c>
      <c r="B61" s="15" t="s">
        <v>2032</v>
      </c>
      <c r="C61" s="15" t="s">
        <v>2006</v>
      </c>
      <c r="G61" s="381" t="s">
        <v>1794</v>
      </c>
      <c r="H61" s="381"/>
      <c r="I61" s="15" t="s">
        <v>1701</v>
      </c>
      <c r="R61" s="380" t="s">
        <v>1944</v>
      </c>
      <c r="S61" s="380"/>
    </row>
    <row r="62" spans="1:20">
      <c r="A62" s="23" t="s">
        <v>2033</v>
      </c>
      <c r="B62" s="23" t="s">
        <v>1999</v>
      </c>
      <c r="C62" s="15" t="s">
        <v>2000</v>
      </c>
      <c r="R62" s="152" t="s">
        <v>765</v>
      </c>
    </row>
    <row r="63" spans="1:20">
      <c r="A63" s="23" t="s">
        <v>1769</v>
      </c>
      <c r="B63" s="23" t="s">
        <v>2001</v>
      </c>
      <c r="C63" s="15" t="s">
        <v>2031</v>
      </c>
      <c r="R63" s="113" t="s">
        <v>2323</v>
      </c>
    </row>
    <row r="64" spans="1:20">
      <c r="A64" s="23" t="s">
        <v>2057</v>
      </c>
      <c r="B64" s="15" t="s">
        <v>2078</v>
      </c>
      <c r="C64" s="15" t="s">
        <v>2069</v>
      </c>
      <c r="R64" s="113" t="s">
        <v>2323</v>
      </c>
    </row>
    <row r="65" spans="1:19">
      <c r="A65" s="20" t="s">
        <v>1911</v>
      </c>
      <c r="B65" s="15" t="s">
        <v>2079</v>
      </c>
      <c r="C65" s="15" t="s">
        <v>1883</v>
      </c>
      <c r="G65" s="30" t="s">
        <v>1991</v>
      </c>
      <c r="H65" s="78" t="s">
        <v>1794</v>
      </c>
      <c r="I65" s="19" t="s">
        <v>1880</v>
      </c>
      <c r="J65" s="15">
        <v>1956</v>
      </c>
      <c r="R65" s="121" t="s">
        <v>2433</v>
      </c>
    </row>
    <row r="66" spans="1:19">
      <c r="A66" s="15" t="s">
        <v>2060</v>
      </c>
      <c r="B66" s="15" t="s">
        <v>2061</v>
      </c>
      <c r="C66" s="15" t="s">
        <v>2062</v>
      </c>
      <c r="G66" s="15" t="s">
        <v>2059</v>
      </c>
      <c r="H66" s="78" t="s">
        <v>1701</v>
      </c>
      <c r="I66" s="15" t="s">
        <v>2056</v>
      </c>
      <c r="J66" s="15">
        <v>1964</v>
      </c>
      <c r="L66" s="23" t="s">
        <v>1918</v>
      </c>
      <c r="R66" s="121" t="s">
        <v>2434</v>
      </c>
      <c r="S66" s="132"/>
    </row>
    <row r="67" spans="1:19">
      <c r="A67" s="15" t="s">
        <v>2063</v>
      </c>
      <c r="B67" s="15" t="s">
        <v>2064</v>
      </c>
      <c r="C67" s="15" t="s">
        <v>2069</v>
      </c>
      <c r="G67" s="15" t="s">
        <v>2065</v>
      </c>
      <c r="H67" s="78" t="s">
        <v>1701</v>
      </c>
      <c r="I67" s="15" t="s">
        <v>2056</v>
      </c>
      <c r="J67" s="15">
        <v>1968</v>
      </c>
      <c r="L67" s="23" t="s">
        <v>1918</v>
      </c>
      <c r="R67" s="121" t="s">
        <v>2432</v>
      </c>
    </row>
    <row r="68" spans="1:19">
      <c r="A68" s="39" t="s">
        <v>1765</v>
      </c>
      <c r="B68" s="39" t="s">
        <v>2080</v>
      </c>
      <c r="C68" s="15" t="s">
        <v>1794</v>
      </c>
      <c r="G68" s="15" t="s">
        <v>2140</v>
      </c>
      <c r="H68" s="78" t="s">
        <v>1794</v>
      </c>
      <c r="I68" s="15" t="s">
        <v>2157</v>
      </c>
      <c r="J68" s="15">
        <v>1992</v>
      </c>
      <c r="L68" s="23">
        <v>1998</v>
      </c>
      <c r="R68" s="121" t="s">
        <v>2432</v>
      </c>
    </row>
    <row r="69" spans="1:19">
      <c r="A69" s="15" t="s">
        <v>2141</v>
      </c>
      <c r="B69" s="23" t="s">
        <v>2142</v>
      </c>
      <c r="C69" s="15" t="s">
        <v>1794</v>
      </c>
      <c r="G69" s="15" t="s">
        <v>2208</v>
      </c>
      <c r="H69" s="78">
        <v>61</v>
      </c>
      <c r="I69" s="15" t="s">
        <v>2157</v>
      </c>
      <c r="J69" s="15" t="s">
        <v>2155</v>
      </c>
      <c r="R69" s="15" t="s">
        <v>2146</v>
      </c>
    </row>
    <row r="70" spans="1:19">
      <c r="A70" s="15" t="s">
        <v>2147</v>
      </c>
      <c r="B70" s="23" t="s">
        <v>2148</v>
      </c>
      <c r="C70" s="15" t="s">
        <v>2149</v>
      </c>
      <c r="G70" s="15" t="s">
        <v>2150</v>
      </c>
      <c r="H70" s="78" t="s">
        <v>1794</v>
      </c>
      <c r="I70" s="15" t="s">
        <v>2157</v>
      </c>
      <c r="J70" s="15" t="s">
        <v>2155</v>
      </c>
      <c r="L70" s="23" t="s">
        <v>2155</v>
      </c>
      <c r="R70" s="15" t="s">
        <v>2184</v>
      </c>
    </row>
    <row r="71" spans="1:19" ht="15" customHeight="1">
      <c r="A71" s="107" t="s">
        <v>2185</v>
      </c>
      <c r="B71" s="23" t="s">
        <v>2186</v>
      </c>
      <c r="C71" s="15" t="s">
        <v>1986</v>
      </c>
      <c r="G71" s="16" t="s">
        <v>1973</v>
      </c>
      <c r="H71" s="78" t="s">
        <v>1794</v>
      </c>
      <c r="I71" s="15" t="s">
        <v>2157</v>
      </c>
      <c r="J71" s="15" t="s">
        <v>2155</v>
      </c>
      <c r="L71" s="23" t="s">
        <v>2155</v>
      </c>
      <c r="R71" s="15" t="s">
        <v>2014</v>
      </c>
    </row>
    <row r="73" spans="1:19">
      <c r="A73" s="121"/>
    </row>
  </sheetData>
  <sortState ref="A1:O39">
    <sortCondition ref="A2:A39"/>
  </sortState>
  <mergeCells count="8">
    <mergeCell ref="R50:T50"/>
    <mergeCell ref="R35:S35"/>
    <mergeCell ref="R56:T56"/>
    <mergeCell ref="G61:H61"/>
    <mergeCell ref="R61:S61"/>
    <mergeCell ref="R48:S48"/>
    <mergeCell ref="R59:T59"/>
    <mergeCell ref="R53:T53"/>
  </mergeCells>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M40"/>
  <sheetViews>
    <sheetView workbookViewId="0">
      <selection activeCell="E32" sqref="E32"/>
    </sheetView>
  </sheetViews>
  <sheetFormatPr baseColWidth="10" defaultRowHeight="13"/>
  <cols>
    <col min="1" max="1" width="10.7109375" style="42"/>
    <col min="4" max="4" width="10.7109375" style="123"/>
  </cols>
  <sheetData>
    <row r="1" spans="1:13" ht="15">
      <c r="A1" s="74" t="s">
        <v>2655</v>
      </c>
      <c r="B1" s="81" t="s">
        <v>2656</v>
      </c>
      <c r="C1" s="81" t="s">
        <v>2657</v>
      </c>
      <c r="D1" s="81" t="s">
        <v>2541</v>
      </c>
      <c r="E1" s="81" t="s">
        <v>2658</v>
      </c>
      <c r="F1" s="81" t="s">
        <v>2659</v>
      </c>
      <c r="G1" s="81" t="s">
        <v>2660</v>
      </c>
      <c r="H1" s="81" t="s">
        <v>227</v>
      </c>
      <c r="I1" s="81" t="s">
        <v>2865</v>
      </c>
      <c r="J1" s="81" t="s">
        <v>2791</v>
      </c>
      <c r="K1" s="81" t="s">
        <v>4058</v>
      </c>
      <c r="L1" s="81" t="s">
        <v>4078</v>
      </c>
      <c r="M1" s="81" t="s">
        <v>4152</v>
      </c>
    </row>
    <row r="2" spans="1:13" ht="15">
      <c r="A2" s="23" t="str">
        <f>'Pool Index'!A2</f>
        <v>1919Equi</v>
      </c>
      <c r="B2">
        <f>'Pool Index'!J2</f>
        <v>1919</v>
      </c>
      <c r="C2">
        <f>'Pool Index'!L2</f>
        <v>1953</v>
      </c>
      <c r="D2" s="123">
        <f>C2-B2</f>
        <v>34</v>
      </c>
      <c r="E2">
        <f>18-COUNTBLANK(Firms!B2:S2)</f>
        <v>10</v>
      </c>
      <c r="F2" s="72" t="str">
        <f>'Pool Index'!N2</f>
        <v>Y</v>
      </c>
      <c r="G2">
        <f>'Pool Index'!P2</f>
        <v>0</v>
      </c>
      <c r="H2">
        <f>COUNTIF('all_pats.csv'!A:A,'pool_chars.csv'!A2)</f>
        <v>0</v>
      </c>
      <c r="I2" s="204" t="s">
        <v>2866</v>
      </c>
      <c r="J2">
        <f>COUNTIF('pre_pool_pats.csv'!A:A,'pool_chars.csv'!A2)</f>
        <v>0</v>
      </c>
      <c r="K2" s="315" t="s">
        <v>4059</v>
      </c>
      <c r="M2">
        <f>'Pool Index'!Q2</f>
        <v>0</v>
      </c>
    </row>
    <row r="3" spans="1:13" ht="15">
      <c r="A3" s="23" t="str">
        <f>'Pool Index'!A3</f>
        <v>1921Cast</v>
      </c>
      <c r="B3" s="123">
        <f>'Pool Index'!J3</f>
        <v>1929</v>
      </c>
      <c r="C3" s="123">
        <f>'Pool Index'!L3</f>
        <v>1948</v>
      </c>
      <c r="D3" s="123">
        <f t="shared" ref="D3:D37" si="0">C3-B3</f>
        <v>19</v>
      </c>
      <c r="E3" s="375">
        <f>18-COUNTBLANK(Firms!B3:S3)</f>
        <v>2</v>
      </c>
      <c r="F3" s="72" t="str">
        <f>'Pool Index'!N3</f>
        <v>N</v>
      </c>
      <c r="G3" s="123">
        <f>'Pool Index'!P3</f>
        <v>4</v>
      </c>
      <c r="H3" s="325">
        <f>COUNTIF('all_pats.csv'!A:A,'pool_chars.csv'!A3)</f>
        <v>0</v>
      </c>
      <c r="I3">
        <v>1</v>
      </c>
      <c r="J3" s="324">
        <f>COUNTIF('pre_pool_pats.csv'!A:A,'pool_chars.csv'!A3)</f>
        <v>0</v>
      </c>
      <c r="K3" s="315" t="s">
        <v>4060</v>
      </c>
      <c r="M3" s="370">
        <f>'Pool Index'!Q3</f>
        <v>0</v>
      </c>
    </row>
    <row r="4" spans="1:13" ht="15">
      <c r="A4" s="23" t="str">
        <f>'Pool Index'!A4</f>
        <v>1924Brak</v>
      </c>
      <c r="B4" s="123">
        <f>'Pool Index'!J4</f>
        <v>1924</v>
      </c>
      <c r="C4" s="123">
        <f>'Pool Index'!L4</f>
        <v>1948</v>
      </c>
      <c r="D4" s="123">
        <f t="shared" si="0"/>
        <v>24</v>
      </c>
      <c r="E4" s="375">
        <f>18-COUNTBLANK(Firms!B4:S4)</f>
        <v>6</v>
      </c>
      <c r="F4" s="72" t="str">
        <f>'Pool Index'!N4</f>
        <v>N</v>
      </c>
      <c r="G4" s="123">
        <f>'Pool Index'!P4</f>
        <v>21</v>
      </c>
      <c r="H4" s="325">
        <f>COUNTIF('all_pats.csv'!A:A,'pool_chars.csv'!A4)</f>
        <v>0</v>
      </c>
      <c r="I4">
        <v>1</v>
      </c>
      <c r="J4" s="324">
        <f>COUNTIF('pre_pool_pats.csv'!A:A,'pool_chars.csv'!A4)</f>
        <v>0</v>
      </c>
      <c r="K4" s="315" t="s">
        <v>4060</v>
      </c>
      <c r="M4" s="370">
        <f>'Pool Index'!Q4</f>
        <v>0</v>
      </c>
    </row>
    <row r="5" spans="1:13" ht="15">
      <c r="A5" s="23" t="str">
        <f>'Pool Index'!A5</f>
        <v>1924Sand</v>
      </c>
      <c r="B5" s="123">
        <f>'Pool Index'!J5</f>
        <v>1924</v>
      </c>
      <c r="C5" s="123">
        <f>'Pool Index'!L5</f>
        <v>1949</v>
      </c>
      <c r="D5" s="123">
        <f t="shared" si="0"/>
        <v>25</v>
      </c>
      <c r="E5" s="375">
        <f>18-COUNTBLANK(Firms!B5:S5)</f>
        <v>3</v>
      </c>
      <c r="F5" s="72" t="str">
        <f>'Pool Index'!N5</f>
        <v>N</v>
      </c>
      <c r="G5" s="123">
        <f>'Pool Index'!P5</f>
        <v>0</v>
      </c>
      <c r="H5" s="325">
        <f>COUNTIF('all_pats.csv'!A:A,'pool_chars.csv'!A5)</f>
        <v>0</v>
      </c>
      <c r="I5">
        <v>1</v>
      </c>
      <c r="J5" s="324">
        <f>COUNTIF('pre_pool_pats.csv'!A:A,'pool_chars.csv'!A5)</f>
        <v>0</v>
      </c>
      <c r="K5" s="315" t="s">
        <v>4060</v>
      </c>
      <c r="M5" s="370">
        <f>'Pool Index'!Q5</f>
        <v>0</v>
      </c>
    </row>
    <row r="6" spans="1:13" ht="15">
      <c r="A6" s="23" t="str">
        <f>'Pool Index'!A6</f>
        <v>1925Vent</v>
      </c>
      <c r="B6" s="123">
        <f>'Pool Index'!J6</f>
        <v>1925</v>
      </c>
      <c r="C6" s="123">
        <f>'Pool Index'!L6</f>
        <v>1946</v>
      </c>
      <c r="D6" s="123">
        <f t="shared" si="0"/>
        <v>21</v>
      </c>
      <c r="E6" s="375">
        <f>18-COUNTBLANK(Firms!B6:S6)</f>
        <v>2</v>
      </c>
      <c r="F6" s="72" t="str">
        <f>'Pool Index'!N6</f>
        <v>N</v>
      </c>
      <c r="G6" s="123">
        <f>'Pool Index'!P6</f>
        <v>4</v>
      </c>
      <c r="H6" s="325">
        <f>COUNTIF('all_pats.csv'!A:A,'pool_chars.csv'!A6)</f>
        <v>0</v>
      </c>
      <c r="I6">
        <v>0</v>
      </c>
      <c r="J6" s="324">
        <f>COUNTIF('pre_pool_pats.csv'!A:A,'pool_chars.csv'!A6)</f>
        <v>0</v>
      </c>
      <c r="K6" s="315" t="s">
        <v>4060</v>
      </c>
      <c r="M6" s="370">
        <f>'Pool Index'!Q6</f>
        <v>0</v>
      </c>
    </row>
    <row r="7" spans="1:13" ht="15">
      <c r="A7" s="23" t="str">
        <f>'Pool Index'!A7</f>
        <v>1926Food</v>
      </c>
      <c r="B7" s="123">
        <f>'Pool Index'!J7</f>
        <v>1926</v>
      </c>
      <c r="C7" s="123">
        <f>'Pool Index'!L7</f>
        <v>1954</v>
      </c>
      <c r="D7" s="123">
        <f t="shared" si="0"/>
        <v>28</v>
      </c>
      <c r="E7" s="375">
        <f>18-COUNTBLANK(Firms!B7:S7)</f>
        <v>6</v>
      </c>
      <c r="F7" s="72" t="str">
        <f>'Pool Index'!N7</f>
        <v>N</v>
      </c>
      <c r="G7" s="123">
        <f>'Pool Index'!P7</f>
        <v>0</v>
      </c>
      <c r="H7" s="325">
        <f>COUNTIF('all_pats.csv'!A:A,'pool_chars.csv'!A7)</f>
        <v>0</v>
      </c>
      <c r="I7">
        <v>0</v>
      </c>
      <c r="J7" s="324">
        <f>COUNTIF('pre_pool_pats.csv'!A:A,'pool_chars.csv'!A7)</f>
        <v>0</v>
      </c>
      <c r="K7" s="315" t="s">
        <v>4060</v>
      </c>
      <c r="M7" s="370">
        <f>'Pool Index'!Q7</f>
        <v>0</v>
      </c>
    </row>
    <row r="8" spans="1:13" ht="15">
      <c r="A8" s="23" t="str">
        <f>'Pool Index'!A8</f>
        <v>1927Airc</v>
      </c>
      <c r="B8" s="123">
        <f>'Pool Index'!J8</f>
        <v>1927</v>
      </c>
      <c r="C8" s="123">
        <f>'Pool Index'!L8</f>
        <v>1945</v>
      </c>
      <c r="D8" s="123">
        <f t="shared" si="0"/>
        <v>18</v>
      </c>
      <c r="E8" s="375">
        <f>18-COUNTBLANK(Firms!B8:S8)</f>
        <v>4</v>
      </c>
      <c r="F8" s="72" t="str">
        <f>'Pool Index'!N8</f>
        <v>N</v>
      </c>
      <c r="G8" s="123">
        <f>'Pool Index'!P8</f>
        <v>7</v>
      </c>
      <c r="H8" s="325">
        <f>COUNTIF('all_pats.csv'!A:A,'pool_chars.csv'!A8)</f>
        <v>0</v>
      </c>
      <c r="I8">
        <v>0</v>
      </c>
      <c r="J8" s="324">
        <f>COUNTIF('pre_pool_pats.csv'!A:A,'pool_chars.csv'!A8)</f>
        <v>0</v>
      </c>
      <c r="K8" s="315" t="s">
        <v>4060</v>
      </c>
      <c r="M8" s="370">
        <f>'Pool Index'!Q8</f>
        <v>0</v>
      </c>
    </row>
    <row r="9" spans="1:13" ht="15">
      <c r="A9" s="23" t="str">
        <f>'Pool Index'!A9</f>
        <v>1927Flur</v>
      </c>
      <c r="B9" s="123">
        <f>'Pool Index'!J9</f>
        <v>1927</v>
      </c>
      <c r="C9" s="123">
        <f>'Pool Index'!L9</f>
        <v>1954</v>
      </c>
      <c r="D9" s="123">
        <f t="shared" si="0"/>
        <v>27</v>
      </c>
      <c r="E9" s="375">
        <f>18-COUNTBLANK(Firms!B9:S9)</f>
        <v>4</v>
      </c>
      <c r="F9" s="72" t="str">
        <f>'Pool Index'!N9</f>
        <v>Y</v>
      </c>
      <c r="G9" s="123">
        <f>'Pool Index'!P9</f>
        <v>11</v>
      </c>
      <c r="H9" s="325">
        <f>COUNTIF('all_pats.csv'!A:A,'pool_chars.csv'!A9)</f>
        <v>0</v>
      </c>
      <c r="I9" s="204" t="s">
        <v>2866</v>
      </c>
      <c r="J9" s="324">
        <f>COUNTIF('pre_pool_pats.csv'!A:A,'pool_chars.csv'!A9)</f>
        <v>0</v>
      </c>
      <c r="K9" s="315" t="s">
        <v>4060</v>
      </c>
      <c r="M9" s="370">
        <f>'Pool Index'!Q9</f>
        <v>0</v>
      </c>
    </row>
    <row r="10" spans="1:13" ht="15">
      <c r="A10" s="23" t="str">
        <f>'Pool Index'!A10</f>
        <v>1928Rail</v>
      </c>
      <c r="B10" s="123">
        <f>'Pool Index'!J10</f>
        <v>1928</v>
      </c>
      <c r="C10" s="123">
        <f>'Pool Index'!L10</f>
        <v>1944</v>
      </c>
      <c r="D10" s="123">
        <f t="shared" si="0"/>
        <v>16</v>
      </c>
      <c r="E10" s="375">
        <f>18-COUNTBLANK(Firms!B10:S10)</f>
        <v>3</v>
      </c>
      <c r="F10" s="72" t="str">
        <f>'Pool Index'!N10</f>
        <v>N</v>
      </c>
      <c r="G10" s="123">
        <f>'Pool Index'!P10</f>
        <v>10</v>
      </c>
      <c r="H10" s="325">
        <f>COUNTIF('all_pats.csv'!A:A,'pool_chars.csv'!A10)</f>
        <v>0</v>
      </c>
      <c r="I10">
        <v>0</v>
      </c>
      <c r="J10" s="324">
        <f>COUNTIF('pre_pool_pats.csv'!A:A,'pool_chars.csv'!A10)</f>
        <v>0</v>
      </c>
      <c r="K10" s="315" t="s">
        <v>4060</v>
      </c>
      <c r="M10" s="370">
        <f>'Pool Index'!Q10</f>
        <v>0</v>
      </c>
    </row>
    <row r="11" spans="1:13" ht="15">
      <c r="A11" s="23" t="str">
        <f>'Pool Index'!A11</f>
        <v>1930Cabl</v>
      </c>
      <c r="B11" s="123">
        <f>'Pool Index'!J11</f>
        <v>1930</v>
      </c>
      <c r="C11" s="123">
        <f>'Pool Index'!L11</f>
        <v>1948</v>
      </c>
      <c r="D11" s="123">
        <f t="shared" si="0"/>
        <v>18</v>
      </c>
      <c r="E11" s="375">
        <f>18-COUNTBLANK(Firms!B11:S11)</f>
        <v>6</v>
      </c>
      <c r="F11" s="72" t="str">
        <f>'Pool Index'!N11</f>
        <v>Y</v>
      </c>
      <c r="G11" s="123">
        <f>'Pool Index'!P11</f>
        <v>0</v>
      </c>
      <c r="H11" s="325">
        <f>COUNTIF('all_pats.csv'!A:A,'pool_chars.csv'!A11)</f>
        <v>294</v>
      </c>
      <c r="I11">
        <v>0</v>
      </c>
      <c r="J11" s="324">
        <f>COUNTIF('pre_pool_pats.csv'!A:A,'pool_chars.csv'!A11)</f>
        <v>73</v>
      </c>
      <c r="K11" s="315">
        <f>'Pool Index'!M11</f>
        <v>1</v>
      </c>
      <c r="L11">
        <f>H11-J11</f>
        <v>221</v>
      </c>
      <c r="M11" s="370">
        <f>'Pool Index'!Q11</f>
        <v>0</v>
      </c>
    </row>
    <row r="12" spans="1:13" ht="15">
      <c r="A12" s="23" t="str">
        <f>'Pool Index'!A12</f>
        <v>1930Wate</v>
      </c>
      <c r="B12" s="123">
        <f>'Pool Index'!J12</f>
        <v>1930</v>
      </c>
      <c r="C12" s="123">
        <f>'Pool Index'!L12</f>
        <v>1951</v>
      </c>
      <c r="D12" s="123">
        <f t="shared" si="0"/>
        <v>21</v>
      </c>
      <c r="E12" s="375">
        <f>18-COUNTBLANK(Firms!B12:S12)</f>
        <v>4</v>
      </c>
      <c r="F12" s="72" t="str">
        <f>'Pool Index'!N12</f>
        <v>Y</v>
      </c>
      <c r="G12" s="123">
        <f>'Pool Index'!P12</f>
        <v>0</v>
      </c>
      <c r="H12" s="325">
        <f>COUNTIF('all_pats.csv'!A:A,'pool_chars.csv'!A12)</f>
        <v>130</v>
      </c>
      <c r="I12">
        <v>0</v>
      </c>
      <c r="J12" s="324">
        <f>COUNTIF('pre_pool_pats.csv'!A:A,'pool_chars.csv'!A12)</f>
        <v>4</v>
      </c>
      <c r="K12" s="315">
        <f>'Pool Index'!M12</f>
        <v>1</v>
      </c>
      <c r="L12" s="364">
        <f t="shared" ref="L12:L33" si="1">H12-J12</f>
        <v>126</v>
      </c>
      <c r="M12" s="370">
        <f>'Pool Index'!Q12</f>
        <v>0</v>
      </c>
    </row>
    <row r="13" spans="1:13" ht="15">
      <c r="A13" s="23" t="str">
        <f>'Pool Index'!A13</f>
        <v>1931Fuel</v>
      </c>
      <c r="B13" s="123">
        <f>'Pool Index'!J13</f>
        <v>1931</v>
      </c>
      <c r="C13" s="123">
        <f>'Pool Index'!L13</f>
        <v>1942</v>
      </c>
      <c r="D13" s="123">
        <f t="shared" si="0"/>
        <v>11</v>
      </c>
      <c r="E13" s="375">
        <f>18-COUNTBLANK(Firms!B13:S13)</f>
        <v>4</v>
      </c>
      <c r="F13" s="72" t="str">
        <f>'Pool Index'!N13</f>
        <v>Y</v>
      </c>
      <c r="G13" s="123">
        <f>'Pool Index'!P13</f>
        <v>0</v>
      </c>
      <c r="H13" s="325">
        <f>COUNTIF('all_pats.csv'!A:A,'pool_chars.csv'!A13)</f>
        <v>171</v>
      </c>
      <c r="I13">
        <v>1</v>
      </c>
      <c r="J13" s="324">
        <f>COUNTIF('pre_pool_pats.csv'!A:A,'pool_chars.csv'!A13)</f>
        <v>22</v>
      </c>
      <c r="K13" s="315">
        <f>'Pool Index'!M13</f>
        <v>1</v>
      </c>
      <c r="L13" s="364">
        <f t="shared" si="1"/>
        <v>149</v>
      </c>
      <c r="M13" s="370">
        <f>'Pool Index'!Q13</f>
        <v>1</v>
      </c>
    </row>
    <row r="14" spans="1:13" ht="15">
      <c r="A14" s="23" t="str">
        <f>'Pool Index'!A14</f>
        <v>1931Mill</v>
      </c>
      <c r="B14" s="123"/>
      <c r="C14" s="123"/>
      <c r="E14" s="123"/>
      <c r="F14" s="72"/>
      <c r="G14" s="123"/>
      <c r="H14" s="325"/>
      <c r="J14" s="324"/>
      <c r="K14" s="315" t="s">
        <v>4060</v>
      </c>
      <c r="L14" s="364"/>
      <c r="M14" s="370">
        <f>'Pool Index'!Q14</f>
        <v>0</v>
      </c>
    </row>
    <row r="15" spans="1:13" ht="15">
      <c r="A15" s="23" t="str">
        <f>'Pool Index'!A15</f>
        <v>1932Phar</v>
      </c>
      <c r="B15" s="123">
        <f>'Pool Index'!J15</f>
        <v>1932</v>
      </c>
      <c r="C15" s="123">
        <f>'Pool Index'!L15</f>
        <v>1945</v>
      </c>
      <c r="D15" s="123">
        <f t="shared" si="0"/>
        <v>13</v>
      </c>
      <c r="E15" s="123">
        <f>18-COUNTBLANK(Firms!B15:S15)</f>
        <v>2</v>
      </c>
      <c r="F15" s="72" t="str">
        <f>'Pool Index'!N15</f>
        <v>Y</v>
      </c>
      <c r="G15" s="123">
        <f>'Pool Index'!P15</f>
        <v>0</v>
      </c>
      <c r="H15" s="325">
        <f>COUNTIF('all_pats.csv'!A:A,'pool_chars.csv'!A15)</f>
        <v>110</v>
      </c>
      <c r="I15">
        <v>0</v>
      </c>
      <c r="J15" s="324">
        <f>COUNTIF('pre_pool_pats.csv'!A:A,'pool_chars.csv'!A15)</f>
        <v>5</v>
      </c>
      <c r="K15" s="315">
        <f>'Pool Index'!M15</f>
        <v>1</v>
      </c>
      <c r="L15" s="364">
        <f t="shared" si="1"/>
        <v>105</v>
      </c>
      <c r="M15" s="370">
        <f>'Pool Index'!Q15</f>
        <v>0</v>
      </c>
    </row>
    <row r="16" spans="1:13" ht="15">
      <c r="A16" s="23" t="str">
        <f>'Pool Index'!A16</f>
        <v>1932Rail</v>
      </c>
      <c r="B16" s="123">
        <f>'Pool Index'!J16</f>
        <v>1932</v>
      </c>
      <c r="C16" s="123">
        <f>'Pool Index'!L16</f>
        <v>1947</v>
      </c>
      <c r="D16" s="123">
        <f t="shared" si="0"/>
        <v>15</v>
      </c>
      <c r="E16" s="375">
        <f>18-COUNTBLANK(Firms!B16:S16)</f>
        <v>3</v>
      </c>
      <c r="F16" s="72" t="str">
        <f>'Pool Index'!N16</f>
        <v>N</v>
      </c>
      <c r="G16" s="123">
        <f>'Pool Index'!P16</f>
        <v>9</v>
      </c>
      <c r="H16" s="325">
        <f>COUNTIF('all_pats.csv'!A:A,'pool_chars.csv'!A16)</f>
        <v>13</v>
      </c>
      <c r="I16">
        <v>1</v>
      </c>
      <c r="J16" s="324">
        <f>COUNTIF('pre_pool_pats.csv'!A:A,'pool_chars.csv'!A16)</f>
        <v>6</v>
      </c>
      <c r="K16" s="315">
        <f>'Pool Index'!M16</f>
        <v>1</v>
      </c>
      <c r="L16" s="364">
        <f t="shared" si="1"/>
        <v>7</v>
      </c>
      <c r="M16" s="370">
        <f>'Pool Index'!Q16</f>
        <v>0</v>
      </c>
    </row>
    <row r="17" spans="1:13" ht="15">
      <c r="A17" s="23" t="str">
        <f>'Pool Index'!A17</f>
        <v>1932Text</v>
      </c>
      <c r="B17" s="123">
        <f>'Pool Index'!J17</f>
        <v>1932</v>
      </c>
      <c r="C17" s="123">
        <f>'Pool Index'!L17</f>
        <v>1950</v>
      </c>
      <c r="D17" s="123">
        <f t="shared" si="0"/>
        <v>18</v>
      </c>
      <c r="E17" s="375">
        <f>18-COUNTBLANK(Firms!B17:S17)</f>
        <v>2</v>
      </c>
      <c r="F17" s="72" t="str">
        <f>'Pool Index'!N17</f>
        <v>N</v>
      </c>
      <c r="G17" s="123">
        <f>'Pool Index'!P17</f>
        <v>0</v>
      </c>
      <c r="H17" s="325">
        <f>COUNTIF('all_pats.csv'!A:A,'pool_chars.csv'!A17)</f>
        <v>218</v>
      </c>
      <c r="I17">
        <v>0</v>
      </c>
      <c r="J17" s="324">
        <f>COUNTIF('pre_pool_pats.csv'!A:A,'pool_chars.csv'!A17)</f>
        <v>39</v>
      </c>
      <c r="K17" s="315">
        <f>'Pool Index'!M17</f>
        <v>0</v>
      </c>
      <c r="L17" s="364">
        <f t="shared" si="1"/>
        <v>179</v>
      </c>
      <c r="M17" s="370">
        <f>'Pool Index'!Q17</f>
        <v>0</v>
      </c>
    </row>
    <row r="18" spans="1:13" ht="15">
      <c r="A18" s="23" t="str">
        <f>'Pool Index'!A18</f>
        <v>1933Hydr</v>
      </c>
      <c r="B18" s="123">
        <f>'Pool Index'!J18</f>
        <v>1933</v>
      </c>
      <c r="C18" s="123">
        <f>'Pool Index'!L18</f>
        <v>1952</v>
      </c>
      <c r="D18" s="123">
        <f t="shared" si="0"/>
        <v>19</v>
      </c>
      <c r="E18" s="375">
        <f>18-COUNTBLANK(Firms!B18:S18)</f>
        <v>2</v>
      </c>
      <c r="F18" s="72" t="str">
        <f>'Pool Index'!N18</f>
        <v>N</v>
      </c>
      <c r="G18" s="123">
        <f>'Pool Index'!P18</f>
        <v>0</v>
      </c>
      <c r="H18" s="325">
        <f>COUNTIF('all_pats.csv'!A:A,'pool_chars.csv'!A18)</f>
        <v>46</v>
      </c>
      <c r="I18" s="204" t="s">
        <v>2866</v>
      </c>
      <c r="J18" s="324">
        <f>COUNTIF('pre_pool_pats.csv'!A:A,'pool_chars.csv'!A18)</f>
        <v>3</v>
      </c>
      <c r="K18" s="315">
        <f>'Pool Index'!M18</f>
        <v>1</v>
      </c>
      <c r="L18" s="364">
        <f t="shared" si="1"/>
        <v>43</v>
      </c>
      <c r="M18" s="370">
        <f>'Pool Index'!Q18</f>
        <v>0</v>
      </c>
    </row>
    <row r="19" spans="1:13" ht="15">
      <c r="A19" s="23" t="str">
        <f>'Pool Index'!A19</f>
        <v>1933Mach</v>
      </c>
      <c r="B19" s="123">
        <f>'Pool Index'!J19</f>
        <v>1933</v>
      </c>
      <c r="C19" s="123">
        <f>'Pool Index'!L19</f>
        <v>1955</v>
      </c>
      <c r="D19" s="123">
        <f t="shared" si="0"/>
        <v>22</v>
      </c>
      <c r="E19" s="375">
        <f>18-COUNTBLANK(Firms!B19:S19)</f>
        <v>5</v>
      </c>
      <c r="F19" s="72" t="str">
        <f>'Pool Index'!N19</f>
        <v>N</v>
      </c>
      <c r="G19" s="123">
        <f>'Pool Index'!P19</f>
        <v>0</v>
      </c>
      <c r="H19" s="325">
        <f>COUNTIF('all_pats.csv'!A:A,'pool_chars.csv'!A19)</f>
        <v>9</v>
      </c>
      <c r="I19" s="204" t="s">
        <v>2866</v>
      </c>
      <c r="J19" s="324">
        <f>COUNTIF('pre_pool_pats.csv'!A:A,'pool_chars.csv'!A19)</f>
        <v>3</v>
      </c>
      <c r="K19" s="315">
        <f>'Pool Index'!M19</f>
        <v>1</v>
      </c>
      <c r="L19" s="364">
        <f t="shared" si="1"/>
        <v>6</v>
      </c>
      <c r="M19" s="370">
        <f>'Pool Index'!Q19</f>
        <v>0</v>
      </c>
    </row>
    <row r="20" spans="1:13" ht="15">
      <c r="A20" s="23" t="str">
        <f>'Pool Index'!A20</f>
        <v>1933Phil</v>
      </c>
      <c r="B20" s="123">
        <f>'Pool Index'!J20</f>
        <v>1933</v>
      </c>
      <c r="C20" s="123">
        <f>'Pool Index'!L20</f>
        <v>1949</v>
      </c>
      <c r="D20" s="123">
        <f t="shared" si="0"/>
        <v>16</v>
      </c>
      <c r="E20" s="375">
        <f>18-COUNTBLANK(Firms!B20:S20)</f>
        <v>2</v>
      </c>
      <c r="F20" s="72" t="str">
        <f>'Pool Index'!N20</f>
        <v>N</v>
      </c>
      <c r="G20" s="123">
        <f>'Pool Index'!P20</f>
        <v>28</v>
      </c>
      <c r="H20" s="325">
        <f>COUNTIF('all_pats.csv'!A:A,'pool_chars.csv'!A20)</f>
        <v>26</v>
      </c>
      <c r="I20">
        <v>1</v>
      </c>
      <c r="J20" s="324">
        <f>COUNTIF('pre_pool_pats.csv'!A:A,'pool_chars.csv'!A20)</f>
        <v>2</v>
      </c>
      <c r="K20" s="315">
        <f>'Pool Index'!M20</f>
        <v>1</v>
      </c>
      <c r="L20" s="364">
        <f t="shared" si="1"/>
        <v>24</v>
      </c>
      <c r="M20" s="370">
        <f>'Pool Index'!Q20</f>
        <v>0</v>
      </c>
    </row>
    <row r="21" spans="1:13" ht="15">
      <c r="A21" s="23" t="str">
        <f>'Pool Index'!A21</f>
        <v>1934Colo</v>
      </c>
      <c r="B21" s="123">
        <f>'Pool Index'!J21</f>
        <v>1934</v>
      </c>
      <c r="C21" s="123">
        <f>'Pool Index'!L21</f>
        <v>1950</v>
      </c>
      <c r="D21" s="123">
        <f t="shared" si="0"/>
        <v>16</v>
      </c>
      <c r="E21" s="375">
        <f>18-COUNTBLANK(Firms!B21:S21)</f>
        <v>2</v>
      </c>
      <c r="F21" s="72" t="str">
        <f>'Pool Index'!N21</f>
        <v>N</v>
      </c>
      <c r="G21" s="123">
        <f>'Pool Index'!P21</f>
        <v>0</v>
      </c>
      <c r="H21" s="325">
        <f>COUNTIF('all_pats.csv'!A:A,'pool_chars.csv'!A21)</f>
        <v>162</v>
      </c>
      <c r="I21">
        <v>1</v>
      </c>
      <c r="J21" s="324">
        <f>COUNTIF('pre_pool_pats.csv'!A:A,'pool_chars.csv'!A21)</f>
        <v>59</v>
      </c>
      <c r="K21" s="315">
        <f>'Pool Index'!M21</f>
        <v>1</v>
      </c>
      <c r="L21" s="364">
        <f t="shared" si="1"/>
        <v>103</v>
      </c>
      <c r="M21" s="370">
        <f>'Pool Index'!Q21</f>
        <v>0</v>
      </c>
    </row>
    <row r="22" spans="1:13" ht="15">
      <c r="A22" s="23" t="str">
        <f>'Pool Index'!A22</f>
        <v>1934Dry</v>
      </c>
      <c r="B22" s="123">
        <f>'Pool Index'!J22</f>
        <v>1934</v>
      </c>
      <c r="C22" s="123">
        <f>'Pool Index'!L22</f>
        <v>1952</v>
      </c>
      <c r="D22" s="123">
        <f t="shared" si="0"/>
        <v>18</v>
      </c>
      <c r="E22" s="375">
        <f>18-COUNTBLANK(Firms!B22:S22)</f>
        <v>4</v>
      </c>
      <c r="F22" s="72" t="str">
        <f>'Pool Index'!N22</f>
        <v>N</v>
      </c>
      <c r="G22" s="123">
        <f>'Pool Index'!P22</f>
        <v>0</v>
      </c>
      <c r="H22" s="325">
        <f>COUNTIF('all_pats.csv'!A:A,'pool_chars.csv'!A22)</f>
        <v>58</v>
      </c>
      <c r="I22">
        <v>0</v>
      </c>
      <c r="J22" s="324">
        <f>COUNTIF('pre_pool_pats.csv'!A:A,'pool_chars.csv'!A22)</f>
        <v>37</v>
      </c>
      <c r="K22" s="315">
        <f>'Pool Index'!M22</f>
        <v>1</v>
      </c>
      <c r="L22" s="364">
        <f t="shared" si="1"/>
        <v>21</v>
      </c>
      <c r="M22" s="370">
        <f>'Pool Index'!Q22</f>
        <v>0</v>
      </c>
    </row>
    <row r="23" spans="1:13" ht="15">
      <c r="A23" s="23" t="str">
        <f>'Pool Index'!A23</f>
        <v>1934Elec</v>
      </c>
      <c r="B23" s="123">
        <f>'Pool Index'!J23</f>
        <v>1934</v>
      </c>
      <c r="C23" s="123">
        <f>'Pool Index'!L23</f>
        <v>1953</v>
      </c>
      <c r="D23" s="123">
        <f t="shared" si="0"/>
        <v>19</v>
      </c>
      <c r="E23" s="375">
        <f>18-COUNTBLANK(Firms!B23:S23)</f>
        <v>2</v>
      </c>
      <c r="F23" s="72" t="str">
        <f>'Pool Index'!N23</f>
        <v>Y</v>
      </c>
      <c r="G23" s="123">
        <f>'Pool Index'!P23</f>
        <v>0</v>
      </c>
      <c r="H23" s="325">
        <f>COUNTIF('all_pats.csv'!A:A,'pool_chars.csv'!A23)</f>
        <v>222</v>
      </c>
      <c r="I23" s="204" t="s">
        <v>2866</v>
      </c>
      <c r="J23" s="324">
        <f>COUNTIF('pre_pool_pats.csv'!A:A,'pool_chars.csv'!A23)</f>
        <v>30</v>
      </c>
      <c r="K23" s="315">
        <f>'Pool Index'!M23</f>
        <v>1</v>
      </c>
      <c r="L23" s="364">
        <f t="shared" si="1"/>
        <v>192</v>
      </c>
      <c r="M23" s="370">
        <f>'Pool Index'!Q23</f>
        <v>0</v>
      </c>
    </row>
    <row r="24" spans="1:13" ht="15">
      <c r="A24" s="23" t="str">
        <f>'Pool Index'!A24</f>
        <v>1934Leci</v>
      </c>
      <c r="B24" s="123">
        <f>'Pool Index'!J24</f>
        <v>1934</v>
      </c>
      <c r="C24" s="123">
        <f>'Pool Index'!L24</f>
        <v>1947</v>
      </c>
      <c r="D24" s="123">
        <f t="shared" si="0"/>
        <v>13</v>
      </c>
      <c r="E24" s="375">
        <f>18-COUNTBLANK(Firms!B24:S24)</f>
        <v>5</v>
      </c>
      <c r="F24" s="72" t="str">
        <f>'Pool Index'!N24</f>
        <v>Y</v>
      </c>
      <c r="G24" s="123">
        <f>'Pool Index'!P24</f>
        <v>1</v>
      </c>
      <c r="H24" s="325">
        <f>COUNTIF('all_pats.csv'!A:A,'pool_chars.csv'!A24)</f>
        <v>63</v>
      </c>
      <c r="I24">
        <v>0</v>
      </c>
      <c r="J24" s="324">
        <f>COUNTIF('pre_pool_pats.csv'!A:A,'pool_chars.csv'!A24)</f>
        <v>36</v>
      </c>
      <c r="K24" s="315">
        <f>'Pool Index'!M24</f>
        <v>1</v>
      </c>
      <c r="L24" s="364">
        <f t="shared" si="1"/>
        <v>27</v>
      </c>
      <c r="M24" s="370">
        <f>'Pool Index'!Q24</f>
        <v>0</v>
      </c>
    </row>
    <row r="25" spans="1:13" ht="15">
      <c r="A25" s="23" t="str">
        <f>'Pool Index'!A25</f>
        <v>1934Vari</v>
      </c>
      <c r="B25" s="123">
        <f>'Pool Index'!J25</f>
        <v>1934</v>
      </c>
      <c r="C25" s="123">
        <f>'Pool Index'!L25</f>
        <v>1953</v>
      </c>
      <c r="D25" s="123">
        <f t="shared" si="0"/>
        <v>19</v>
      </c>
      <c r="E25" s="375">
        <f>18-COUNTBLANK(Firms!B25:S25)</f>
        <v>3</v>
      </c>
      <c r="F25" s="72" t="str">
        <f>'Pool Index'!N25</f>
        <v>N</v>
      </c>
      <c r="G25" s="123">
        <f>'Pool Index'!P25</f>
        <v>3</v>
      </c>
      <c r="H25" s="325">
        <f>COUNTIF('all_pats.csv'!A:A,'pool_chars.csv'!A25)</f>
        <v>74</v>
      </c>
      <c r="I25">
        <v>0</v>
      </c>
      <c r="J25" s="324">
        <f>COUNTIF('pre_pool_pats.csv'!A:A,'pool_chars.csv'!A25)</f>
        <v>60</v>
      </c>
      <c r="K25" s="315">
        <f>'Pool Index'!M25</f>
        <v>1</v>
      </c>
      <c r="L25" s="364">
        <f t="shared" si="1"/>
        <v>14</v>
      </c>
      <c r="M25" s="370">
        <f>'Pool Index'!Q25</f>
        <v>1</v>
      </c>
    </row>
    <row r="26" spans="1:13" ht="15">
      <c r="A26" s="23" t="str">
        <f>'Pool Index'!A26</f>
        <v>1935Airc</v>
      </c>
      <c r="B26" s="123">
        <f>'Pool Index'!J26</f>
        <v>1935</v>
      </c>
      <c r="C26" s="123">
        <f>'Pool Index'!L26</f>
        <v>1946</v>
      </c>
      <c r="D26" s="123">
        <f t="shared" si="0"/>
        <v>11</v>
      </c>
      <c r="E26" s="375">
        <f>18-COUNTBLANK(Firms!B26:S26)</f>
        <v>18</v>
      </c>
      <c r="F26" s="72" t="str">
        <f>'Pool Index'!N26</f>
        <v>Y</v>
      </c>
      <c r="G26" s="123">
        <f>'Pool Index'!P26</f>
        <v>0</v>
      </c>
      <c r="H26" s="325">
        <f>COUNTIF('all_pats.csv'!A:A,'pool_chars.csv'!A26)</f>
        <v>272</v>
      </c>
      <c r="I26" s="204" t="s">
        <v>2866</v>
      </c>
      <c r="J26" s="324">
        <f>COUNTIF('pre_pool_pats.csv'!A:A,'pool_chars.csv'!A26)</f>
        <v>92</v>
      </c>
      <c r="K26" s="315">
        <f>'Pool Index'!M26</f>
        <v>1</v>
      </c>
      <c r="L26" s="364">
        <f t="shared" si="1"/>
        <v>180</v>
      </c>
      <c r="M26" s="370">
        <f>'Pool Index'!Q26</f>
        <v>0</v>
      </c>
    </row>
    <row r="27" spans="1:13" ht="15">
      <c r="A27" s="23" t="str">
        <f>'Pool Index'!A27</f>
        <v>1937Male</v>
      </c>
      <c r="B27" s="123"/>
      <c r="C27" s="123"/>
      <c r="E27" s="123"/>
      <c r="F27" s="72"/>
      <c r="G27" s="123"/>
      <c r="H27" s="325"/>
      <c r="I27" s="204"/>
      <c r="J27" s="324"/>
      <c r="K27" s="315" t="s">
        <v>4060</v>
      </c>
      <c r="L27" s="364"/>
      <c r="M27" s="370">
        <f>'Pool Index'!Q27</f>
        <v>0</v>
      </c>
    </row>
    <row r="28" spans="1:13" ht="15">
      <c r="A28" s="23" t="str">
        <f>'Pool Index'!A28</f>
        <v>1937Park</v>
      </c>
      <c r="B28" s="123"/>
      <c r="C28" s="123"/>
      <c r="E28" s="123"/>
      <c r="F28" s="72"/>
      <c r="G28" s="123"/>
      <c r="H28" s="325"/>
      <c r="J28" s="324"/>
      <c r="K28" s="315" t="s">
        <v>4060</v>
      </c>
      <c r="L28" s="364"/>
      <c r="M28" s="370">
        <f>'Pool Index'!Q28</f>
        <v>0</v>
      </c>
    </row>
    <row r="29" spans="1:13" ht="15">
      <c r="A29" s="23" t="str">
        <f>'Pool Index'!A29</f>
        <v>1937Stam</v>
      </c>
      <c r="B29" s="123">
        <f>'Pool Index'!J29</f>
        <v>1937</v>
      </c>
      <c r="C29" s="123">
        <f>'Pool Index'!L29</f>
        <v>1955</v>
      </c>
      <c r="D29" s="123">
        <f t="shared" si="0"/>
        <v>18</v>
      </c>
      <c r="E29" s="123">
        <f>18-COUNTBLANK(Firms!B29:S29)</f>
        <v>3</v>
      </c>
      <c r="F29" s="72" t="str">
        <f>'Pool Index'!N29</f>
        <v>N</v>
      </c>
      <c r="G29" s="123">
        <f>'Pool Index'!P29</f>
        <v>11</v>
      </c>
      <c r="H29" s="325">
        <f>COUNTIF('all_pats.csv'!A:A,'pool_chars.csv'!A29)</f>
        <v>189</v>
      </c>
      <c r="I29">
        <v>1</v>
      </c>
      <c r="J29" s="324">
        <f>COUNTIF('pre_pool_pats.csv'!A:A,'pool_chars.csv'!A29)</f>
        <v>90</v>
      </c>
      <c r="K29" s="315">
        <f>'Pool Index'!M29</f>
        <v>0</v>
      </c>
      <c r="L29" s="364">
        <f t="shared" si="1"/>
        <v>99</v>
      </c>
      <c r="M29" s="370">
        <f>'Pool Index'!Q29</f>
        <v>1</v>
      </c>
    </row>
    <row r="30" spans="1:13" ht="15">
      <c r="A30" s="23" t="str">
        <f>'Pool Index'!A30</f>
        <v>1937Wrin</v>
      </c>
      <c r="B30" s="123">
        <f>'Pool Index'!J30</f>
        <v>1937</v>
      </c>
      <c r="C30" s="123">
        <f>'Pool Index'!L30</f>
        <v>1955</v>
      </c>
      <c r="D30" s="123">
        <f t="shared" si="0"/>
        <v>18</v>
      </c>
      <c r="E30" s="375">
        <f>18-COUNTBLANK(Firms!B30:S30)</f>
        <v>2</v>
      </c>
      <c r="F30" s="72" t="str">
        <f>'Pool Index'!N30</f>
        <v>N</v>
      </c>
      <c r="G30" s="123">
        <f>'Pool Index'!P30</f>
        <v>200</v>
      </c>
      <c r="H30" s="325">
        <f>COUNTIF('all_pats.csv'!A:A,'pool_chars.csv'!A30)</f>
        <v>77</v>
      </c>
      <c r="I30" s="204" t="s">
        <v>2711</v>
      </c>
      <c r="J30" s="324">
        <f>COUNTIF('pre_pool_pats.csv'!A:A,'pool_chars.csv'!A30)</f>
        <v>20</v>
      </c>
      <c r="K30" s="315">
        <f>'Pool Index'!M30</f>
        <v>0</v>
      </c>
      <c r="L30" s="364">
        <f t="shared" si="1"/>
        <v>57</v>
      </c>
      <c r="M30" s="370">
        <f>'Pool Index'!Q30</f>
        <v>1</v>
      </c>
    </row>
    <row r="31" spans="1:13" ht="15">
      <c r="A31" s="23" t="str">
        <f>'Pool Index'!A31</f>
        <v>1938Drop</v>
      </c>
      <c r="B31" s="123">
        <f>'Pool Index'!J31</f>
        <v>1938</v>
      </c>
      <c r="C31" s="123">
        <f>'Pool Index'!L31</f>
        <v>1948</v>
      </c>
      <c r="D31" s="123">
        <f t="shared" si="0"/>
        <v>10</v>
      </c>
      <c r="E31" s="375">
        <f>18-COUNTBLANK(Firms!B31:S31)</f>
        <v>2</v>
      </c>
      <c r="F31" s="72" t="str">
        <f>'Pool Index'!N31</f>
        <v>N</v>
      </c>
      <c r="G31" s="123">
        <f>'Pool Index'!P31</f>
        <v>10</v>
      </c>
      <c r="H31" s="325">
        <f>COUNTIF('all_pats.csv'!A:A,'pool_chars.csv'!A31)</f>
        <v>2</v>
      </c>
      <c r="I31" s="204">
        <v>0</v>
      </c>
      <c r="J31" s="324">
        <f>COUNTIF('pre_pool_pats.csv'!A:A,'pool_chars.csv'!A31)</f>
        <v>2</v>
      </c>
      <c r="K31" s="315">
        <f>'Pool Index'!M31</f>
        <v>0</v>
      </c>
      <c r="L31" s="364">
        <f t="shared" si="1"/>
        <v>0</v>
      </c>
      <c r="M31" s="370">
        <f>'Pool Index'!Q31</f>
        <v>0</v>
      </c>
    </row>
    <row r="32" spans="1:13" ht="15">
      <c r="A32" s="23" t="str">
        <f>'Pool Index'!A32</f>
        <v>1938Opht</v>
      </c>
      <c r="B32" s="123">
        <f>'Pool Index'!J32</f>
        <v>1938</v>
      </c>
      <c r="C32" s="123">
        <f>'Pool Index'!L32</f>
        <v>1948</v>
      </c>
      <c r="D32" s="123">
        <f t="shared" si="0"/>
        <v>10</v>
      </c>
      <c r="E32" s="375">
        <f>18-COUNTBLANK(Firms!B32:S32)</f>
        <v>4</v>
      </c>
      <c r="F32" s="72" t="str">
        <f>'Pool Index'!N32</f>
        <v>N</v>
      </c>
      <c r="G32" s="123">
        <f>'Pool Index'!P32</f>
        <v>14</v>
      </c>
      <c r="H32" s="325">
        <f>COUNTIF('all_pats.csv'!A:A,'pool_chars.csv'!A32)</f>
        <v>22</v>
      </c>
      <c r="I32">
        <v>0</v>
      </c>
      <c r="J32" s="324">
        <f>COUNTIF('pre_pool_pats.csv'!A:A,'pool_chars.csv'!A32)</f>
        <v>21</v>
      </c>
      <c r="K32" s="315">
        <f>'Pool Index'!M32</f>
        <v>0</v>
      </c>
      <c r="L32" s="364">
        <f t="shared" si="1"/>
        <v>1</v>
      </c>
      <c r="M32" s="370">
        <f>'Pool Index'!Q32</f>
        <v>1</v>
      </c>
    </row>
    <row r="33" spans="1:13" ht="15">
      <c r="A33" s="23" t="str">
        <f>'Pool Index'!A33</f>
        <v>1938Slip</v>
      </c>
      <c r="B33" s="123">
        <f>'Pool Index'!J33</f>
        <v>1938</v>
      </c>
      <c r="C33" s="123">
        <f>'Pool Index'!L33</f>
        <v>1954</v>
      </c>
      <c r="D33" s="123">
        <f t="shared" si="0"/>
        <v>16</v>
      </c>
      <c r="E33" s="375">
        <f>18-COUNTBLANK(Firms!B33:S33)</f>
        <v>2</v>
      </c>
      <c r="F33" s="72" t="str">
        <f>'Pool Index'!N33</f>
        <v>N</v>
      </c>
      <c r="G33" s="123">
        <f>'Pool Index'!P33</f>
        <v>2</v>
      </c>
      <c r="H33" s="325">
        <f>COUNTIF('all_pats.csv'!A:A,'pool_chars.csv'!A33)</f>
        <v>2</v>
      </c>
      <c r="I33" s="204" t="s">
        <v>2866</v>
      </c>
      <c r="J33" s="324">
        <f>COUNTIF('pre_pool_pats.csv'!A:A,'pool_chars.csv'!A33)</f>
        <v>2</v>
      </c>
      <c r="K33" s="315">
        <f>'Pool Index'!M33</f>
        <v>0</v>
      </c>
      <c r="L33" s="364">
        <f t="shared" si="1"/>
        <v>0</v>
      </c>
      <c r="M33" s="370">
        <f>'Pool Index'!Q33</f>
        <v>1</v>
      </c>
    </row>
    <row r="34" spans="1:13" ht="15">
      <c r="A34" s="23" t="str">
        <f>'Pool Index'!A34</f>
        <v>1942Tele</v>
      </c>
      <c r="B34" s="123">
        <f>'Pool Index'!J34</f>
        <v>1942</v>
      </c>
      <c r="C34" s="123">
        <f>'Pool Index'!L34</f>
        <v>1949</v>
      </c>
      <c r="D34" s="123">
        <f t="shared" si="0"/>
        <v>7</v>
      </c>
      <c r="E34" s="375">
        <f>18-COUNTBLANK(Firms!B34:S34)</f>
        <v>3</v>
      </c>
      <c r="F34" s="72" t="str">
        <f>'Pool Index'!N34</f>
        <v>Y</v>
      </c>
      <c r="G34" s="123">
        <f>'Pool Index'!P34</f>
        <v>0</v>
      </c>
      <c r="H34" s="325">
        <f>COUNTIF('all_pats.csv'!A:A,'pool_chars.csv'!A34)</f>
        <v>0</v>
      </c>
      <c r="I34">
        <v>0</v>
      </c>
      <c r="J34" s="324">
        <f>COUNTIF('pre_pool_pats.csv'!A:A,'pool_chars.csv'!A34)</f>
        <v>0</v>
      </c>
      <c r="K34" s="315" t="s">
        <v>4061</v>
      </c>
      <c r="M34" s="370">
        <f>'Pool Index'!Q34</f>
        <v>0</v>
      </c>
    </row>
    <row r="35" spans="1:13" ht="15">
      <c r="A35" s="23" t="str">
        <f>'Pool Index'!A35</f>
        <v>1946Dayl</v>
      </c>
      <c r="B35" s="123">
        <f>'Pool Index'!J35</f>
        <v>1949</v>
      </c>
      <c r="C35" s="123">
        <f>'Pool Index'!L35</f>
        <v>1953</v>
      </c>
      <c r="D35" s="123">
        <f t="shared" si="0"/>
        <v>4</v>
      </c>
      <c r="E35" s="375">
        <f>18-COUNTBLANK(Firms!B35:S35)</f>
        <v>6</v>
      </c>
      <c r="F35" s="72" t="str">
        <f>'Pool Index'!N35</f>
        <v>N</v>
      </c>
      <c r="G35" s="123">
        <f>'Pool Index'!P35</f>
        <v>0</v>
      </c>
      <c r="H35" s="325">
        <f>COUNTIF('all_pats.csv'!A:A,'pool_chars.csv'!A35)</f>
        <v>0</v>
      </c>
      <c r="I35">
        <v>1</v>
      </c>
      <c r="J35" s="324">
        <f>COUNTIF('pre_pool_pats.csv'!A:A,'pool_chars.csv'!A35)</f>
        <v>0</v>
      </c>
      <c r="K35" s="315" t="s">
        <v>4059</v>
      </c>
      <c r="M35" s="370">
        <f>'Pool Index'!Q35</f>
        <v>0</v>
      </c>
    </row>
    <row r="36" spans="1:13" ht="15">
      <c r="A36" s="23" t="str">
        <f>'Pool Index'!A36</f>
        <v>1946Elas</v>
      </c>
      <c r="B36" s="123">
        <f>'Pool Index'!J36</f>
        <v>1946</v>
      </c>
      <c r="C36" s="123">
        <f>'Pool Index'!L36</f>
        <v>1952</v>
      </c>
      <c r="D36" s="123">
        <f t="shared" si="0"/>
        <v>6</v>
      </c>
      <c r="E36" s="375">
        <f>18-COUNTBLANK(Firms!B36:S36)</f>
        <v>3</v>
      </c>
      <c r="F36" s="72" t="str">
        <f>'Pool Index'!N36</f>
        <v>N</v>
      </c>
      <c r="G36" s="123">
        <f>'Pool Index'!P36</f>
        <v>0</v>
      </c>
      <c r="H36" s="325">
        <f>COUNTIF('all_pats.csv'!A:A,'pool_chars.csv'!A36)</f>
        <v>0</v>
      </c>
      <c r="I36">
        <v>0</v>
      </c>
      <c r="J36" s="324">
        <f>COUNTIF('pre_pool_pats.csv'!A:A,'pool_chars.csv'!A36)</f>
        <v>0</v>
      </c>
      <c r="K36" s="315" t="s">
        <v>4059</v>
      </c>
      <c r="M36" s="370">
        <f>'Pool Index'!Q36</f>
        <v>0</v>
      </c>
    </row>
    <row r="37" spans="1:13" ht="15">
      <c r="A37" s="23" t="str">
        <f>'Pool Index'!A37</f>
        <v>1948Trac</v>
      </c>
      <c r="B37" s="123">
        <f>'Pool Index'!J37</f>
        <v>1948</v>
      </c>
      <c r="C37" s="123">
        <f>'Pool Index'!L37</f>
        <v>1953</v>
      </c>
      <c r="D37" s="123">
        <f t="shared" si="0"/>
        <v>5</v>
      </c>
      <c r="E37" s="375">
        <f>18-COUNTBLANK(Firms!B37:S37)</f>
        <v>3</v>
      </c>
      <c r="F37" s="72" t="str">
        <f>'Pool Index'!N37</f>
        <v>N</v>
      </c>
      <c r="G37" s="123">
        <f>'Pool Index'!P37</f>
        <v>0</v>
      </c>
      <c r="H37" s="325">
        <f>COUNTIF('all_pats.csv'!A:A,'pool_chars.csv'!A37)</f>
        <v>0</v>
      </c>
      <c r="I37">
        <v>0</v>
      </c>
      <c r="J37" s="324">
        <f>COUNTIF('pre_pool_pats.csv'!A:A,'pool_chars.csv'!A37)</f>
        <v>0</v>
      </c>
      <c r="K37" s="315" t="s">
        <v>4059</v>
      </c>
      <c r="M37" s="370">
        <f>'Pool Index'!Q37</f>
        <v>0</v>
      </c>
    </row>
    <row r="39" spans="1:13">
      <c r="A39" s="42" t="s">
        <v>4153</v>
      </c>
      <c r="B39">
        <f>AVERAGE(B11:B33)</f>
        <v>1933.95</v>
      </c>
      <c r="C39" s="374">
        <f t="shared" ref="C39:L39" si="2">AVERAGE(C11:C33)</f>
        <v>1950</v>
      </c>
      <c r="D39" s="374">
        <f t="shared" si="2"/>
        <v>16.05</v>
      </c>
      <c r="E39" s="374">
        <f t="shared" si="2"/>
        <v>3.85</v>
      </c>
      <c r="F39" s="374"/>
      <c r="G39" s="374">
        <f t="shared" si="2"/>
        <v>13.9</v>
      </c>
      <c r="H39" s="374">
        <f t="shared" si="2"/>
        <v>108</v>
      </c>
      <c r="I39" s="374">
        <f t="shared" si="2"/>
        <v>0.35714285714285715</v>
      </c>
      <c r="J39" s="374">
        <f t="shared" si="2"/>
        <v>30.3</v>
      </c>
      <c r="K39" s="374">
        <f t="shared" si="2"/>
        <v>0.7</v>
      </c>
      <c r="L39" s="374">
        <f t="shared" si="2"/>
        <v>77.7</v>
      </c>
    </row>
    <row r="40" spans="1:13">
      <c r="A40" s="42" t="s">
        <v>4154</v>
      </c>
      <c r="B40">
        <f>MEDIAN(B11:B33)</f>
        <v>1934</v>
      </c>
      <c r="C40" s="374">
        <f t="shared" ref="C40:L40" si="3">MEDIAN(C11:C33)</f>
        <v>1950</v>
      </c>
      <c r="D40" s="374">
        <f t="shared" si="3"/>
        <v>17</v>
      </c>
      <c r="E40" s="374">
        <f t="shared" si="3"/>
        <v>3</v>
      </c>
      <c r="F40" s="374"/>
      <c r="G40" s="374">
        <f t="shared" si="3"/>
        <v>0</v>
      </c>
      <c r="H40" s="374">
        <f t="shared" si="3"/>
        <v>75.5</v>
      </c>
      <c r="I40" s="374">
        <f t="shared" si="3"/>
        <v>0</v>
      </c>
      <c r="J40" s="374">
        <f t="shared" si="3"/>
        <v>21.5</v>
      </c>
      <c r="K40" s="374">
        <f t="shared" si="3"/>
        <v>1</v>
      </c>
      <c r="L40" s="374">
        <f t="shared" si="3"/>
        <v>50</v>
      </c>
    </row>
  </sheetData>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E37"/>
  <sheetViews>
    <sheetView workbookViewId="0">
      <selection activeCell="B40" sqref="B40"/>
    </sheetView>
  </sheetViews>
  <sheetFormatPr baseColWidth="10" defaultRowHeight="14"/>
  <cols>
    <col min="1" max="1" width="10.7109375" style="319"/>
    <col min="2" max="2" width="26.42578125" style="319" customWidth="1"/>
    <col min="3" max="3" width="27.28515625" style="319" customWidth="1"/>
    <col min="4" max="4" width="47" style="319" customWidth="1"/>
    <col min="5" max="5" width="37.85546875" style="319" customWidth="1"/>
    <col min="6" max="16384" width="10.7109375" style="319"/>
  </cols>
  <sheetData>
    <row r="1" spans="1:5">
      <c r="A1" s="316" t="s">
        <v>1869</v>
      </c>
      <c r="B1" s="317" t="s">
        <v>3951</v>
      </c>
      <c r="C1" s="318" t="s">
        <v>3988</v>
      </c>
      <c r="D1" s="318" t="s">
        <v>3989</v>
      </c>
      <c r="E1" s="318" t="s">
        <v>3990</v>
      </c>
    </row>
    <row r="2" spans="1:5">
      <c r="A2" s="320" t="s">
        <v>3991</v>
      </c>
      <c r="B2" s="320" t="s">
        <v>3992</v>
      </c>
      <c r="E2" s="319" t="str">
        <f>'Pool Index'!G2</f>
        <v>United States v. General Electric Co., CCH 1952-53 Trade Cases 67,585 (D.C.N.J. Civil No. 45-75-C; Complaint, 1945; Final Consent Judgment, 1953).</v>
      </c>
    </row>
    <row r="3" spans="1:5">
      <c r="A3" s="320" t="s">
        <v>3993</v>
      </c>
      <c r="B3" s="320" t="s">
        <v>2181</v>
      </c>
      <c r="E3" s="319" t="str">
        <f>'Pool Index'!G3</f>
        <v>United States v. United States Pipe and Foundry Co., CCH 1948-49 Trade Cases 62,285 (D.N.J. Civil No. 10772; Complaint, 1947; Consent Decree, 1948).</v>
      </c>
    </row>
    <row r="4" spans="1:5">
      <c r="A4" s="320" t="s">
        <v>3994</v>
      </c>
      <c r="B4" s="320" t="s">
        <v>3995</v>
      </c>
      <c r="E4" s="319" t="str">
        <f>'Pool Index'!G4</f>
        <v>United States v. Bendix Aviation Corp., Westinghouse Air Brake Co., et al., CCH 1948-49 Trade Cases 62,349 (S.D.N.Y. Civil No. 44-284; Complaint , 1947; Consent Judgment re Westinghouse, 1948).</v>
      </c>
    </row>
    <row r="5" spans="1:5">
      <c r="A5" s="320" t="s">
        <v>1770</v>
      </c>
      <c r="B5" s="320" t="s">
        <v>3952</v>
      </c>
      <c r="E5" s="319" t="str">
        <f>'Pool Index'!G5</f>
        <v>United States v. Sand Spun Patents Corp., 1948-1949 Trade Cases  62,462 (D.N.J. Civil No. 125-49; Complaint, 1949; Consent Judgment, 1949).</v>
      </c>
    </row>
    <row r="6" spans="1:5">
      <c r="A6" s="148" t="s">
        <v>3996</v>
      </c>
      <c r="B6" s="148" t="s">
        <v>3997</v>
      </c>
      <c r="E6" s="319" t="str">
        <f>'Pool Index'!G6</f>
        <v>United States v. American Air Filter Co., CCH 1946-47 Trade Cases 57,492 (W.D. Ky. Civil No. 574; Complaint, 1943; Consent Judgment, 1946).</v>
      </c>
    </row>
    <row r="7" spans="1:5">
      <c r="A7" s="321" t="s">
        <v>2300</v>
      </c>
      <c r="B7" s="321" t="s">
        <v>2359</v>
      </c>
      <c r="E7" s="319" t="str">
        <f>'Pool Index'!G7</f>
        <v>United States v. Food Machinery and Chemical Corp. (N.D. Calif. Civil No. 29308-G; Complaint, 1949).</v>
      </c>
    </row>
    <row r="8" spans="1:5">
      <c r="A8" s="320" t="s">
        <v>3998</v>
      </c>
      <c r="B8" s="320" t="s">
        <v>4092</v>
      </c>
      <c r="E8" s="319" t="str">
        <f>'Pool Index'!G8</f>
        <v>United States v. Auditorium Conditioning Corp., CCH 1944-45 Trade Cases 57,428 (S.D.N.Y. Civil No. 22-200; Complaint, 1943; Final Judgment, 1945).</v>
      </c>
    </row>
    <row r="9" spans="1:5">
      <c r="A9" s="320" t="s">
        <v>3999</v>
      </c>
      <c r="B9" s="320" t="s">
        <v>4000</v>
      </c>
      <c r="E9" s="319" t="str">
        <f>'Pool Index'!G9</f>
        <v>United States v. General Electric Co., Corning Glass Works, et al., CCH 1946-47 Trade Cases 57,448 (D.N.J. Civil No. 2590; Complaint, 1942; Consent Decree re Corning, 1946).</v>
      </c>
    </row>
    <row r="10" spans="1:5">
      <c r="A10" s="322" t="s">
        <v>4001</v>
      </c>
      <c r="B10" s="322" t="s">
        <v>4002</v>
      </c>
      <c r="E10" s="319" t="str">
        <f>'Pool Index'!G10</f>
        <v>United States v. Rail Joint Co., CCH 1946-47 Trade Cases ¶ 57,469, (N. D. Ill. Civil No. 43-C-1295; Complaint, 1943; Final Judgment, 1944); McKenna Process Company of Illinois, Appellee, v. Blatchford Corporation, Appellant, Gen. No. 9,464, APPELLATE COURT OF ILLINOIS, SECOND DISTRICT, 304 Ill. App. 101; 25 N.E.2d 916; 1940 Ill. App. LEXIS 921.</v>
      </c>
    </row>
    <row r="11" spans="1:5">
      <c r="A11" s="320" t="s">
        <v>4003</v>
      </c>
      <c r="B11" s="320" t="s">
        <v>4004</v>
      </c>
      <c r="C11" s="319" t="s">
        <v>4005</v>
      </c>
      <c r="D11" s="319" t="s">
        <v>4006</v>
      </c>
      <c r="E11" s="319" t="str">
        <f>'Pool Index'!G11</f>
        <v>United States v. General Cable Corp., CCH 1948-49 Trade Cases 62,300 (S.D.N.Y. Civil No. 40-76; Complaint, 1947; Consent Judgment, 1948).</v>
      </c>
    </row>
    <row r="12" spans="1:5">
      <c r="A12" s="320" t="s">
        <v>4097</v>
      </c>
      <c r="B12" s="320" t="s">
        <v>4093</v>
      </c>
      <c r="C12" s="319" t="s">
        <v>4094</v>
      </c>
      <c r="D12" s="319" t="s">
        <v>4062</v>
      </c>
      <c r="E12" s="319" t="str">
        <f>'Pool Index'!G12</f>
        <v>United States v. The Permutit Company and W. Spencer Robertson, CCH 1950-51 Trade Cases 62,888 (S.D.N.Y. Civil No. 32-394; Complaint, 1945; Consent Judgment, 1951).</v>
      </c>
    </row>
    <row r="13" spans="1:5">
      <c r="A13" s="320" t="s">
        <v>4098</v>
      </c>
      <c r="B13" s="320" t="s">
        <v>4063</v>
      </c>
      <c r="C13" s="319" t="s">
        <v>3984</v>
      </c>
      <c r="D13" s="319" t="s">
        <v>4066</v>
      </c>
      <c r="E13" s="319" t="str">
        <f>'Pool Index'!G13</f>
        <v>United States v. American Bosch Corp., CCH 1948-49 Trade Cases 62,284 (S.D.N.Y. Civil No. 20-164; Complaint and Consent Decree, Dec. 29, 1942).</v>
      </c>
    </row>
    <row r="14" spans="1:5">
      <c r="A14" s="322" t="s">
        <v>4067</v>
      </c>
      <c r="B14" s="322" t="s">
        <v>4068</v>
      </c>
      <c r="E14" s="319" t="str">
        <f>'Pool Index'!G14</f>
        <v>United States v. Cincinnati Milling Machine Co., CCH 1953-54 Trade Cases 67,733 (E.D. Mich Civil No. 13401; Complaint and Consent Judgment, April 19, 1954).</v>
      </c>
    </row>
    <row r="15" spans="1:5">
      <c r="A15" s="320" t="s">
        <v>4033</v>
      </c>
      <c r="B15" s="320" t="s">
        <v>4034</v>
      </c>
      <c r="C15" s="319" t="s">
        <v>4035</v>
      </c>
      <c r="D15" s="319" t="s">
        <v>4036</v>
      </c>
      <c r="E15" s="319" t="str">
        <f>'Pool Index'!G15</f>
        <v>United States v. Merck and Co., CCH 1944-45 Trade Cases 57,416 (D.C.N.J. Civil No. 3159; Complaint, 1943; Consent Decree, 1945).</v>
      </c>
    </row>
    <row r="16" spans="1:5">
      <c r="A16" s="322" t="s">
        <v>4037</v>
      </c>
      <c r="B16" s="322" t="s">
        <v>4038</v>
      </c>
      <c r="C16" s="319" t="s">
        <v>4039</v>
      </c>
      <c r="D16" s="319" t="s">
        <v>4062</v>
      </c>
      <c r="E16" s="319" t="str">
        <f>'Pool Index'!G16</f>
        <v>United States v. American Locomotive Co., CCH 1945-47 Trade Cases ¶ 57,621 (N.D. Ind. Civil No. 545; Complaint, 1945; Consent Judgment, 1947).</v>
      </c>
    </row>
    <row r="17" spans="1:5">
      <c r="A17" s="320" t="s">
        <v>4040</v>
      </c>
      <c r="B17" s="320" t="s">
        <v>4041</v>
      </c>
      <c r="C17" s="319" t="s">
        <v>4042</v>
      </c>
      <c r="D17" s="319" t="s">
        <v>4043</v>
      </c>
      <c r="E17" s="319" t="str">
        <f>'Pool Index'!G17</f>
        <v>United States v. Textile Machine Works, CCH 1950-51 Trade Cases 62,709 (S.D.N.Y. Civil No. 43-671; Complaint, 1947; Fina; Judgment, 1950).</v>
      </c>
    </row>
    <row r="18" spans="1:5">
      <c r="A18" s="323" t="s">
        <v>1771</v>
      </c>
      <c r="B18" s="323" t="s">
        <v>4007</v>
      </c>
      <c r="C18" s="319" t="s">
        <v>4008</v>
      </c>
      <c r="D18" s="319" t="s">
        <v>4009</v>
      </c>
      <c r="E18" s="319" t="str">
        <f>'Pool Index'!G18</f>
        <v>Kobe, Inc. v. Dempsey Pump Co., 198 F.2d 416 (10th Cir. 1952); United States v. Kobe (N.D. Okla. Civil No. 2865; Complaint, 1951); also Civ. No. 2350.</v>
      </c>
    </row>
    <row r="19" spans="1:5">
      <c r="A19" s="322" t="s">
        <v>4044</v>
      </c>
      <c r="B19" s="322" t="s">
        <v>4045</v>
      </c>
      <c r="C19" s="319" t="s">
        <v>4096</v>
      </c>
      <c r="D19" s="319" t="s">
        <v>3987</v>
      </c>
      <c r="E19" s="319" t="str">
        <f>'Pool Index'!G19</f>
        <v>United States v. Associated Patents, 134 F. Supp. 74 (E.D. Mich., 1955).</v>
      </c>
    </row>
    <row r="20" spans="1:5">
      <c r="A20" s="322" t="s">
        <v>4046</v>
      </c>
      <c r="B20" s="322" t="s">
        <v>4047</v>
      </c>
      <c r="C20" s="319" t="s">
        <v>4048</v>
      </c>
      <c r="D20" s="319" t="s">
        <v>4069</v>
      </c>
      <c r="E20" s="319" t="str">
        <f>'Pool Index'!G20</f>
        <v>United States v. Phillips Screw Co., 1949 Trade Cas. (C.C.H.) ¶62,394 (N.D. Ill.)</v>
      </c>
    </row>
    <row r="21" spans="1:5">
      <c r="A21" s="148" t="s">
        <v>4070</v>
      </c>
      <c r="B21" s="148" t="s">
        <v>4071</v>
      </c>
      <c r="C21" s="319" t="s">
        <v>4072</v>
      </c>
      <c r="D21" s="319" t="s">
        <v>4062</v>
      </c>
      <c r="E21" s="319" t="str">
        <f>'Pool Index'!G21</f>
        <v>United States v. Technicolor, Inc., CCH 1950-51 Trade Cases 2,586 (S.D. Calif. Civil No. 7507-M; Complaint, 1947; Consent Judgments, 1948 and 1950).</v>
      </c>
    </row>
    <row r="22" spans="1:5">
      <c r="A22" s="320" t="s">
        <v>4073</v>
      </c>
      <c r="B22" s="320" t="s">
        <v>4074</v>
      </c>
      <c r="C22" s="319" t="s">
        <v>4075</v>
      </c>
      <c r="D22" s="319" t="s">
        <v>4011</v>
      </c>
      <c r="E22" s="319" t="str">
        <f>'Pool Index'!G22</f>
        <v>United States v. The Liquid Carbonic Corp., CCH Trade Cases 67,248 (E.D.N.Y. Civil No. 9179; Complaint, 1948; Final Judgment, 1952).</v>
      </c>
    </row>
    <row r="23" spans="1:5">
      <c r="A23" s="320" t="s">
        <v>4076</v>
      </c>
      <c r="B23" s="320" t="s">
        <v>4077</v>
      </c>
      <c r="C23" s="319" t="s">
        <v>4079</v>
      </c>
      <c r="D23" s="319" t="s">
        <v>4095</v>
      </c>
      <c r="E23" s="319" t="str">
        <f>'Pool Index'!G23</f>
        <v>United States v. Westinghouse Electric Mfg. Co., CCH Current Trade Cases 67,501 (D.C.N.J. Civil No. 5152; Complaint, 1945; Consent Judgment, 1953).</v>
      </c>
    </row>
    <row r="24" spans="1:5">
      <c r="A24" s="322" t="s">
        <v>4080</v>
      </c>
      <c r="B24" s="322" t="s">
        <v>4081</v>
      </c>
      <c r="C24" s="319" t="s">
        <v>4082</v>
      </c>
      <c r="D24" s="319" t="s">
        <v>4062</v>
      </c>
      <c r="E24" s="319" t="str">
        <f>'Pool Index'!G24</f>
        <v>United States v. American Lecithin Co., CCH 1946-47 Trade Cases 57,542 (N.D. Ohio Civil No. 24115; Complaint, 1946; Consent Judgment, 1947).</v>
      </c>
    </row>
    <row r="25" spans="1:5">
      <c r="A25" s="320" t="s">
        <v>4083</v>
      </c>
      <c r="B25" s="320" t="s">
        <v>4084</v>
      </c>
      <c r="C25" s="319" t="s">
        <v>4008</v>
      </c>
      <c r="D25" s="319" t="s">
        <v>4085</v>
      </c>
      <c r="E25" s="319" t="str">
        <f>'Pool Index'!G25</f>
        <v>United States v. General Instrument Corp., 87 F. Supp. 157, 194 (D.N.J. 1949); United States v. General Instrument Corp., 115 F. Supp. 582 (D.N.J. 1953).</v>
      </c>
    </row>
    <row r="26" spans="1:5">
      <c r="A26" s="320" t="s">
        <v>4086</v>
      </c>
      <c r="B26" s="320" t="s">
        <v>2008</v>
      </c>
      <c r="C26" s="319" t="s">
        <v>3933</v>
      </c>
      <c r="D26" s="319" t="s">
        <v>4062</v>
      </c>
      <c r="E26" s="319" t="str">
        <f>'Pool Index'!G26</f>
        <v>United States v. Bendix Aviation Corporation, CCH 1946-47 Trade Cases 57,444 (D.C.N.J. Civil No. 2531; Complaint, 1942, Consent Decree, 1946).</v>
      </c>
    </row>
    <row r="27" spans="1:5">
      <c r="A27" s="320" t="s">
        <v>4087</v>
      </c>
      <c r="B27" s="320" t="s">
        <v>4088</v>
      </c>
      <c r="E27" s="319" t="str">
        <f>'Pool Index'!G27</f>
        <v>United States v. Schering Corp., CCH Trade Regulation Reports, Supp. 1941-43, 52,729 (D.C.N.J. Civil No. 1919; Complaint and Consent Decree, Dec. 17, 1941).</v>
      </c>
    </row>
    <row r="28" spans="1:5">
      <c r="A28" s="148" t="s">
        <v>2664</v>
      </c>
      <c r="B28" s="148" t="s">
        <v>4089</v>
      </c>
      <c r="E28" s="319" t="str">
        <f>'Pool Index'!G28</f>
        <v>United States v. Vehicular Parking, 54 F. Supp. 828, 831 (D. Delaware 1944); CCH 1944-45 Trade Cases 57,226.</v>
      </c>
    </row>
    <row r="29" spans="1:5">
      <c r="A29" s="322" t="s">
        <v>2156</v>
      </c>
      <c r="B29" s="322" t="s">
        <v>1915</v>
      </c>
      <c r="C29" s="319" t="s">
        <v>4010</v>
      </c>
      <c r="D29" s="319" t="s">
        <v>4011</v>
      </c>
      <c r="E29" s="319" t="str">
        <f>'Pool Index'!G29</f>
        <v>United States v. Kelsey-Hayes Wheel Co. (E.D.Mich. Civil No. 10-655; Complaint, 1951).</v>
      </c>
    </row>
    <row r="30" spans="1:5">
      <c r="A30" s="322" t="s">
        <v>4090</v>
      </c>
      <c r="B30" s="322" t="s">
        <v>4091</v>
      </c>
      <c r="C30" s="319" t="s">
        <v>4013</v>
      </c>
      <c r="D30" s="319" t="s">
        <v>4055</v>
      </c>
      <c r="E30" s="319" t="str">
        <f>'Pool Index'!G30</f>
        <v>United States v. New Wrinkle, Inc., 1955 Trade Cases (C.C.H.) ¶ 68,203 (S.D. Ohio).</v>
      </c>
    </row>
    <row r="31" spans="1:5">
      <c r="A31" s="322" t="s">
        <v>4056</v>
      </c>
      <c r="B31" s="322" t="s">
        <v>4057</v>
      </c>
      <c r="C31" s="319" t="s">
        <v>4013</v>
      </c>
      <c r="D31" s="319" t="s">
        <v>4064</v>
      </c>
      <c r="E31" s="319" t="str">
        <f>'Pool Index'!G31</f>
        <v>United States v. Line Material Co., 333 U.S. 287, 305 (1948).</v>
      </c>
    </row>
    <row r="32" spans="1:5">
      <c r="A32" s="320" t="s">
        <v>4065</v>
      </c>
      <c r="B32" s="320" t="s">
        <v>4049</v>
      </c>
      <c r="C32" s="319" t="s">
        <v>4050</v>
      </c>
      <c r="D32" s="319" t="s">
        <v>4062</v>
      </c>
      <c r="E32" s="319" t="str">
        <f>'Pool Index'!G32</f>
        <v>United States v. American Optical Co., CCH 1948-49 Trade Cases 62,308 (S.D.N.Y. Civil No. 10-391; Complaint, 1940; Final Consent Judgment, 1948).</v>
      </c>
    </row>
    <row r="33" spans="1:5">
      <c r="A33" s="323" t="s">
        <v>1772</v>
      </c>
      <c r="B33" s="323" t="s">
        <v>4012</v>
      </c>
      <c r="C33" s="319" t="s">
        <v>3973</v>
      </c>
      <c r="D33" s="319" t="s">
        <v>3974</v>
      </c>
      <c r="E33" s="319" t="str">
        <f>'Pool Index'!G33</f>
        <v>United States v. Krasnov, 143 F. Supp. 184 (E.D. Penn., 1956).</v>
      </c>
    </row>
    <row r="34" spans="1:5">
      <c r="A34" s="320" t="s">
        <v>4051</v>
      </c>
      <c r="B34" s="320" t="s">
        <v>4052</v>
      </c>
      <c r="E34" s="319" t="str">
        <f>'Pool Index'!G34</f>
        <v>United States v. Scophony Corp., CCH 1948-49 Trade Cases 62,238, 62,356, and 62,463 (S.D.N.Y. Civil No. 34-184; Complaint, 1945; Consent Decree, 1948 and 1949).</v>
      </c>
    </row>
    <row r="35" spans="1:5">
      <c r="A35" s="319" t="s">
        <v>4053</v>
      </c>
      <c r="B35" s="319" t="s">
        <v>2497</v>
      </c>
      <c r="E35" s="319" t="str">
        <f>'Pool Index'!G35</f>
        <v>United States v. Switzer Brothers, Inc., Gantner &amp; Mattern Co., The Firelure Corporation, The Sherwin-Williams Company, The Sherwin-Williams Company of California, Aberfoyle Manufacturing Company, Lawter Chemicals, Inc., Robert C. Switzer, Joseph L. Switzer, John O. Gantner, Jr., Eugene Burns, Gerald D. Stratford, and W. Bruce Beckley.</v>
      </c>
    </row>
    <row r="36" spans="1:5">
      <c r="A36" s="320" t="s">
        <v>1299</v>
      </c>
      <c r="B36" s="320" t="s">
        <v>1264</v>
      </c>
      <c r="E36" s="319" t="str">
        <f>'Pool Index'!G36</f>
        <v>United States v. The Davis Co., CCH 1952 Trade Cases 67,403 (S.D.N.Y. Civil No. 54-357; Complaint, 1949; Consent Judgment, 1952).  See also: Baker-Cammack v. Davis., 181 F.2d 550 (1950).</v>
      </c>
    </row>
    <row r="37" spans="1:5">
      <c r="A37" s="322" t="s">
        <v>1913</v>
      </c>
      <c r="B37" s="322" t="s">
        <v>1952</v>
      </c>
      <c r="E37" s="319" t="str">
        <f>'Pool Index'!G37</f>
        <v>United States v. Bearing Distributors Co., CCH 1952-53 Trade Cases 67,595 (W.D. Mo. Civil No. 6895; Complaint, 1951; Consent Decree, 1953).</v>
      </c>
    </row>
  </sheetData>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S41"/>
  <sheetViews>
    <sheetView workbookViewId="0">
      <selection activeCell="B23" sqref="B23"/>
    </sheetView>
  </sheetViews>
  <sheetFormatPr baseColWidth="10" defaultColWidth="11" defaultRowHeight="13"/>
  <cols>
    <col min="1" max="1" width="11" style="42"/>
  </cols>
  <sheetData>
    <row r="1" spans="1:11" s="13" customFormat="1">
      <c r="A1" s="124" t="s">
        <v>1677</v>
      </c>
      <c r="B1" s="13" t="s">
        <v>1811</v>
      </c>
      <c r="C1" s="13" t="s">
        <v>1717</v>
      </c>
      <c r="D1" s="13" t="s">
        <v>1663</v>
      </c>
      <c r="E1" s="13" t="s">
        <v>1664</v>
      </c>
      <c r="F1" s="13" t="s">
        <v>1748</v>
      </c>
      <c r="G1" s="13" t="s">
        <v>1902</v>
      </c>
      <c r="H1" s="13" t="s">
        <v>1903</v>
      </c>
      <c r="I1" s="13" t="s">
        <v>1904</v>
      </c>
      <c r="J1" s="13" t="s">
        <v>1833</v>
      </c>
      <c r="K1" s="13" t="s">
        <v>1834</v>
      </c>
    </row>
    <row r="2" spans="1:11" ht="15">
      <c r="A2" s="23" t="str">
        <f>'Pool Index'!A2</f>
        <v>1919Equi</v>
      </c>
      <c r="B2" s="123" t="s">
        <v>2511</v>
      </c>
      <c r="C2" s="123" t="s">
        <v>2506</v>
      </c>
      <c r="D2" s="123" t="s">
        <v>2517</v>
      </c>
      <c r="E2" s="123" t="s">
        <v>2508</v>
      </c>
      <c r="F2" s="86" t="s">
        <v>2507</v>
      </c>
      <c r="G2" s="83" t="s">
        <v>2509</v>
      </c>
      <c r="H2" s="83" t="s">
        <v>2491</v>
      </c>
      <c r="I2" s="83" t="s">
        <v>2490</v>
      </c>
      <c r="J2" s="83" t="s">
        <v>2492</v>
      </c>
      <c r="K2" s="83" t="s">
        <v>2518</v>
      </c>
    </row>
    <row r="3" spans="1:11" ht="15">
      <c r="A3" s="23" t="str">
        <f>'Pool Index'!A3</f>
        <v>1921Cast</v>
      </c>
      <c r="B3" s="123" t="s">
        <v>1084</v>
      </c>
      <c r="C3" s="123" t="s">
        <v>1085</v>
      </c>
      <c r="H3" s="123"/>
    </row>
    <row r="4" spans="1:11" ht="15">
      <c r="A4" s="23" t="str">
        <f>'Pool Index'!A4</f>
        <v>1924Brak</v>
      </c>
      <c r="B4" s="136" t="s">
        <v>2635</v>
      </c>
      <c r="C4" s="136" t="s">
        <v>2682</v>
      </c>
      <c r="D4" s="123" t="s">
        <v>2595</v>
      </c>
      <c r="F4" s="123" t="s">
        <v>2556</v>
      </c>
      <c r="G4" s="123" t="s">
        <v>2537</v>
      </c>
      <c r="H4" s="86" t="s">
        <v>2633</v>
      </c>
    </row>
    <row r="5" spans="1:11" ht="15">
      <c r="A5" s="23" t="str">
        <f>'Pool Index'!A5</f>
        <v>1924Sand</v>
      </c>
      <c r="B5" s="123" t="s">
        <v>1278</v>
      </c>
      <c r="C5" s="123" t="s">
        <v>1279</v>
      </c>
      <c r="D5" s="123" t="s">
        <v>1166</v>
      </c>
    </row>
    <row r="6" spans="1:11" ht="15">
      <c r="A6" s="23" t="str">
        <f>'Pool Index'!A6</f>
        <v>1925Vent</v>
      </c>
      <c r="B6" s="123" t="s">
        <v>1265</v>
      </c>
      <c r="C6" s="123" t="s">
        <v>930</v>
      </c>
    </row>
    <row r="7" spans="1:11" ht="15">
      <c r="A7" s="23" t="str">
        <f>'Pool Index'!A7</f>
        <v>1926Food</v>
      </c>
      <c r="B7" s="83" t="s">
        <v>2484</v>
      </c>
      <c r="C7" s="83" t="s">
        <v>2485</v>
      </c>
      <c r="D7" s="83" t="s">
        <v>2489</v>
      </c>
      <c r="E7" s="83" t="s">
        <v>2487</v>
      </c>
      <c r="F7" s="83" t="s">
        <v>2526</v>
      </c>
      <c r="G7" s="83" t="s">
        <v>2416</v>
      </c>
    </row>
    <row r="8" spans="1:11" ht="15">
      <c r="A8" s="23" t="str">
        <f>'Pool Index'!A8</f>
        <v>1927Airc</v>
      </c>
      <c r="B8" s="123" t="s">
        <v>1203</v>
      </c>
      <c r="C8" s="123" t="s">
        <v>1227</v>
      </c>
      <c r="D8" s="123" t="s">
        <v>1204</v>
      </c>
      <c r="E8" s="123" t="s">
        <v>1205</v>
      </c>
    </row>
    <row r="9" spans="1:11" ht="15">
      <c r="A9" s="23" t="str">
        <f>'Pool Index'!A9</f>
        <v>1927Flur</v>
      </c>
      <c r="B9" s="123" t="s">
        <v>2632</v>
      </c>
      <c r="C9" s="123" t="s">
        <v>2633</v>
      </c>
      <c r="D9" s="123" t="s">
        <v>2634</v>
      </c>
      <c r="E9" s="123" t="s">
        <v>2604</v>
      </c>
      <c r="H9" s="123"/>
    </row>
    <row r="10" spans="1:11" ht="15">
      <c r="A10" s="23" t="str">
        <f>'Pool Index'!A10</f>
        <v>1928Rail</v>
      </c>
      <c r="B10" s="66" t="s">
        <v>1177</v>
      </c>
      <c r="C10" s="26" t="s">
        <v>1178</v>
      </c>
      <c r="D10" s="26" t="s">
        <v>1180</v>
      </c>
      <c r="G10" s="83"/>
      <c r="H10" s="123"/>
    </row>
    <row r="11" spans="1:11" s="123" customFormat="1" ht="15">
      <c r="A11" s="23" t="str">
        <f>'Pool Index'!A11</f>
        <v>1930Cabl</v>
      </c>
      <c r="B11" s="42" t="s">
        <v>832</v>
      </c>
      <c r="C11" s="125" t="s">
        <v>994</v>
      </c>
      <c r="D11" s="125" t="s">
        <v>952</v>
      </c>
      <c r="E11" s="42" t="s">
        <v>31</v>
      </c>
      <c r="F11" s="42" t="s">
        <v>977</v>
      </c>
      <c r="G11" s="42" t="s">
        <v>951</v>
      </c>
      <c r="H11" s="86"/>
    </row>
    <row r="12" spans="1:11" ht="15">
      <c r="A12" s="23" t="str">
        <f>'Pool Index'!A12</f>
        <v>1930Wate</v>
      </c>
      <c r="B12" s="123" t="s">
        <v>953</v>
      </c>
      <c r="C12" s="123" t="s">
        <v>954</v>
      </c>
      <c r="D12" s="123" t="s">
        <v>1024</v>
      </c>
      <c r="E12" s="123" t="s">
        <v>1025</v>
      </c>
    </row>
    <row r="13" spans="1:11" ht="15">
      <c r="A13" s="23" t="str">
        <f>'Pool Index'!A13</f>
        <v>1931Fuel</v>
      </c>
      <c r="B13" s="83" t="s">
        <v>1081</v>
      </c>
      <c r="C13" s="83" t="s">
        <v>1109</v>
      </c>
      <c r="D13" s="83" t="s">
        <v>1110</v>
      </c>
      <c r="E13" s="83" t="s">
        <v>1111</v>
      </c>
    </row>
    <row r="14" spans="1:11" ht="15">
      <c r="A14" s="23" t="str">
        <f>'Pool Index'!A14</f>
        <v>1931Mill</v>
      </c>
      <c r="B14" s="120" t="s">
        <v>1500</v>
      </c>
      <c r="C14" s="120" t="s">
        <v>1406</v>
      </c>
      <c r="D14" s="123" t="s">
        <v>1394</v>
      </c>
      <c r="J14" s="42"/>
    </row>
    <row r="15" spans="1:11" ht="15">
      <c r="A15" s="23" t="str">
        <f>'Pool Index'!A15</f>
        <v>1932Phar</v>
      </c>
      <c r="B15" s="86" t="s">
        <v>1091</v>
      </c>
      <c r="C15" s="86" t="s">
        <v>1092</v>
      </c>
    </row>
    <row r="16" spans="1:11" ht="15">
      <c r="A16" s="23" t="str">
        <f>'Pool Index'!A16</f>
        <v>1932Rail</v>
      </c>
      <c r="B16" s="120" t="s">
        <v>1381</v>
      </c>
      <c r="C16" s="120" t="s">
        <v>1382</v>
      </c>
      <c r="D16" s="123" t="s">
        <v>1390</v>
      </c>
    </row>
    <row r="17" spans="1:19" ht="15">
      <c r="A17" s="23" t="str">
        <f>'Pool Index'!A17</f>
        <v>1932Text</v>
      </c>
      <c r="B17" s="123" t="s">
        <v>1032</v>
      </c>
      <c r="C17" s="123" t="s">
        <v>1099</v>
      </c>
    </row>
    <row r="18" spans="1:19" ht="15">
      <c r="A18" s="23" t="str">
        <f>'Pool Index'!A18</f>
        <v>1933Hydr</v>
      </c>
      <c r="B18" t="s">
        <v>1726</v>
      </c>
      <c r="C18" t="s">
        <v>1727</v>
      </c>
      <c r="N18" s="28"/>
      <c r="O18" s="28"/>
    </row>
    <row r="19" spans="1:19" ht="15">
      <c r="A19" s="23" t="str">
        <f>'Pool Index'!A19</f>
        <v>1933Mach</v>
      </c>
      <c r="B19" t="s">
        <v>1735</v>
      </c>
      <c r="C19" t="s">
        <v>1800</v>
      </c>
      <c r="D19" s="325" t="s">
        <v>82</v>
      </c>
      <c r="E19" t="s">
        <v>83</v>
      </c>
      <c r="F19" s="365" t="s">
        <v>28</v>
      </c>
      <c r="H19" s="325"/>
    </row>
    <row r="20" spans="1:19" ht="15">
      <c r="A20" s="23" t="str">
        <f>'Pool Index'!A20</f>
        <v>1933Phil</v>
      </c>
      <c r="B20" s="123" t="s">
        <v>1071</v>
      </c>
      <c r="C20" s="123" t="s">
        <v>1072</v>
      </c>
    </row>
    <row r="21" spans="1:19" ht="15">
      <c r="A21" s="23" t="str">
        <f>'Pool Index'!A21</f>
        <v>1934Colo</v>
      </c>
      <c r="B21" s="123" t="s">
        <v>863</v>
      </c>
      <c r="C21" s="123" t="s">
        <v>864</v>
      </c>
      <c r="L21" s="39"/>
      <c r="N21" s="71"/>
      <c r="O21" s="71"/>
    </row>
    <row r="22" spans="1:19" ht="15">
      <c r="A22" s="23" t="str">
        <f>'Pool Index'!A22</f>
        <v>1934Dry</v>
      </c>
      <c r="B22" t="s">
        <v>21</v>
      </c>
      <c r="C22" t="s">
        <v>22</v>
      </c>
      <c r="D22" t="s">
        <v>1339</v>
      </c>
      <c r="E22" t="s">
        <v>17</v>
      </c>
      <c r="O22" s="38"/>
    </row>
    <row r="23" spans="1:19" ht="15">
      <c r="A23" s="23" t="str">
        <f>'Pool Index'!A23</f>
        <v>1934Elec</v>
      </c>
      <c r="B23" s="375" t="s">
        <v>5</v>
      </c>
      <c r="C23" s="375" t="s">
        <v>4</v>
      </c>
    </row>
    <row r="24" spans="1:19" ht="15">
      <c r="A24" s="23" t="str">
        <f>'Pool Index'!A24</f>
        <v>1934Leci</v>
      </c>
      <c r="B24" t="s">
        <v>1344</v>
      </c>
      <c r="C24" t="s">
        <v>1346</v>
      </c>
      <c r="D24" t="s">
        <v>1348</v>
      </c>
      <c r="E24" t="s">
        <v>1334</v>
      </c>
      <c r="F24" t="s">
        <v>1335</v>
      </c>
    </row>
    <row r="25" spans="1:19" ht="15">
      <c r="A25" s="23" t="str">
        <f>'Pool Index'!A25</f>
        <v>1934Vari</v>
      </c>
      <c r="B25" s="123" t="s">
        <v>2567</v>
      </c>
      <c r="C25" s="123" t="s">
        <v>2568</v>
      </c>
      <c r="D25" s="123" t="s">
        <v>2569</v>
      </c>
      <c r="H25" s="123"/>
    </row>
    <row r="26" spans="1:19" ht="15">
      <c r="A26" s="23" t="str">
        <f>'Pool Index'!A26</f>
        <v>1935Airc</v>
      </c>
      <c r="B26" s="258" t="s">
        <v>847</v>
      </c>
      <c r="C26" s="42" t="s">
        <v>753</v>
      </c>
      <c r="D26" s="42" t="s">
        <v>11</v>
      </c>
      <c r="E26" s="42" t="s">
        <v>12</v>
      </c>
      <c r="F26" s="42" t="s">
        <v>711</v>
      </c>
      <c r="G26" s="42" t="s">
        <v>752</v>
      </c>
      <c r="H26" s="42" t="s">
        <v>750</v>
      </c>
      <c r="I26" s="42" t="s">
        <v>751</v>
      </c>
      <c r="J26" s="42" t="s">
        <v>13</v>
      </c>
      <c r="K26" s="42" t="s">
        <v>14</v>
      </c>
      <c r="L26" s="42" t="s">
        <v>15</v>
      </c>
      <c r="M26" s="42" t="s">
        <v>710</v>
      </c>
      <c r="N26" s="42" t="s">
        <v>749</v>
      </c>
      <c r="O26" s="42" t="s">
        <v>634</v>
      </c>
      <c r="P26" s="42" t="s">
        <v>747</v>
      </c>
      <c r="Q26" s="42" t="s">
        <v>748</v>
      </c>
      <c r="R26" s="42" t="s">
        <v>16</v>
      </c>
      <c r="S26" s="42" t="s">
        <v>829</v>
      </c>
    </row>
    <row r="27" spans="1:19" ht="15">
      <c r="A27" s="23" t="str">
        <f>'Pool Index'!A27</f>
        <v>1937Male</v>
      </c>
      <c r="B27" t="s">
        <v>599</v>
      </c>
      <c r="C27" t="s">
        <v>602</v>
      </c>
      <c r="D27" t="s">
        <v>773</v>
      </c>
      <c r="E27" t="s">
        <v>775</v>
      </c>
      <c r="F27" s="123" t="s">
        <v>764</v>
      </c>
      <c r="G27" t="s">
        <v>763</v>
      </c>
      <c r="H27" s="123"/>
    </row>
    <row r="28" spans="1:19" ht="15">
      <c r="A28" s="23" t="str">
        <f>'Pool Index'!A28</f>
        <v>1937Park</v>
      </c>
      <c r="B28" s="120" t="s">
        <v>1225</v>
      </c>
      <c r="C28" s="120" t="s">
        <v>1250</v>
      </c>
      <c r="D28" s="120" t="s">
        <v>1226</v>
      </c>
    </row>
    <row r="29" spans="1:19" ht="15">
      <c r="A29" s="23" t="str">
        <f>'Pool Index'!A29</f>
        <v>1937Stam</v>
      </c>
      <c r="B29" s="42" t="s">
        <v>922</v>
      </c>
      <c r="C29" s="42" t="s">
        <v>923</v>
      </c>
      <c r="D29" s="42" t="s">
        <v>924</v>
      </c>
    </row>
    <row r="30" spans="1:19" ht="15">
      <c r="A30" s="23" t="str">
        <f>'Pool Index'!A30</f>
        <v>1937Wrin</v>
      </c>
      <c r="B30" s="365" t="s">
        <v>25</v>
      </c>
      <c r="C30" s="365" t="s">
        <v>26</v>
      </c>
      <c r="H30" s="123"/>
    </row>
    <row r="31" spans="1:19" ht="15">
      <c r="A31" s="23" t="str">
        <f>'Pool Index'!A31</f>
        <v>1938Drop</v>
      </c>
      <c r="B31" s="123" t="s">
        <v>761</v>
      </c>
      <c r="C31" s="123" t="s">
        <v>800</v>
      </c>
    </row>
    <row r="32" spans="1:19" ht="15">
      <c r="A32" s="23" t="str">
        <f>'Pool Index'!A32</f>
        <v>1938Opht</v>
      </c>
      <c r="B32" s="120" t="s">
        <v>1323</v>
      </c>
      <c r="C32" s="120" t="s">
        <v>1324</v>
      </c>
      <c r="D32" t="s">
        <v>4133</v>
      </c>
      <c r="E32" t="s">
        <v>4135</v>
      </c>
    </row>
    <row r="33" spans="1:8" ht="15">
      <c r="A33" s="23" t="str">
        <f>'Pool Index'!A33</f>
        <v>1938Slip</v>
      </c>
      <c r="B33" s="365" t="s">
        <v>27</v>
      </c>
      <c r="C33" t="s">
        <v>1682</v>
      </c>
      <c r="E33" s="123"/>
    </row>
    <row r="34" spans="1:8" ht="15">
      <c r="A34" s="23" t="str">
        <f>'Pool Index'!A34</f>
        <v>1942Tele</v>
      </c>
      <c r="B34" t="s">
        <v>2565</v>
      </c>
      <c r="C34" t="s">
        <v>2572</v>
      </c>
      <c r="D34" t="s">
        <v>2553</v>
      </c>
    </row>
    <row r="35" spans="1:8" ht="15">
      <c r="A35" s="23" t="str">
        <f>'Pool Index'!A35</f>
        <v>1946Dayl</v>
      </c>
      <c r="B35" s="123" t="s">
        <v>2650</v>
      </c>
      <c r="C35" s="123" t="s">
        <v>2598</v>
      </c>
      <c r="D35" s="123" t="s">
        <v>2675</v>
      </c>
      <c r="E35" s="123" t="s">
        <v>2654</v>
      </c>
      <c r="F35" s="123" t="s">
        <v>2621</v>
      </c>
      <c r="G35" s="123" t="s">
        <v>2673</v>
      </c>
    </row>
    <row r="36" spans="1:8" ht="15">
      <c r="A36" s="23" t="str">
        <f>'Pool Index'!A36</f>
        <v>1946Elas</v>
      </c>
      <c r="B36" t="s">
        <v>2590</v>
      </c>
      <c r="C36" t="s">
        <v>2690</v>
      </c>
      <c r="D36" t="s">
        <v>2629</v>
      </c>
    </row>
    <row r="37" spans="1:8" ht="15">
      <c r="A37" s="23" t="str">
        <f>'Pool Index'!A37</f>
        <v>1948Trac</v>
      </c>
      <c r="B37" s="123" t="s">
        <v>2608</v>
      </c>
      <c r="C37" s="123" t="s">
        <v>2609</v>
      </c>
      <c r="D37" s="123" t="s">
        <v>2610</v>
      </c>
    </row>
    <row r="39" spans="1:8" ht="15">
      <c r="A39" s="23"/>
    </row>
    <row r="40" spans="1:8">
      <c r="C40" s="123"/>
    </row>
    <row r="41" spans="1:8">
      <c r="H41" s="123"/>
    </row>
  </sheetData>
  <sortState ref="A2:XFD1048576">
    <sortCondition ref="A3:A1048576"/>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M643"/>
  <sheetViews>
    <sheetView workbookViewId="0">
      <selection activeCell="A611" sqref="A611:H645"/>
    </sheetView>
  </sheetViews>
  <sheetFormatPr baseColWidth="10" defaultRowHeight="13"/>
  <cols>
    <col min="1" max="2" width="10.7109375" style="83"/>
    <col min="3" max="3" width="8.7109375" style="83" customWidth="1"/>
    <col min="4" max="16384" width="10.7109375" style="83"/>
  </cols>
  <sheetData>
    <row r="1" spans="1:13" ht="52">
      <c r="A1" s="281" t="s">
        <v>1869</v>
      </c>
      <c r="B1" s="281" t="s">
        <v>2847</v>
      </c>
      <c r="C1" s="281" t="s">
        <v>1890</v>
      </c>
      <c r="D1" s="281" t="s">
        <v>820</v>
      </c>
      <c r="E1" s="310" t="s">
        <v>1891</v>
      </c>
      <c r="F1" s="310" t="s">
        <v>807</v>
      </c>
      <c r="G1" s="310" t="s">
        <v>1892</v>
      </c>
      <c r="H1" s="281" t="s">
        <v>808</v>
      </c>
      <c r="I1" s="281" t="s">
        <v>809</v>
      </c>
      <c r="J1" s="281" t="s">
        <v>810</v>
      </c>
      <c r="K1" s="310" t="s">
        <v>756</v>
      </c>
      <c r="L1" s="82" t="s">
        <v>757</v>
      </c>
      <c r="M1"/>
    </row>
    <row r="2" spans="1:13">
      <c r="A2" s="31" t="s">
        <v>3496</v>
      </c>
      <c r="B2" s="31" t="s">
        <v>3640</v>
      </c>
      <c r="C2" s="31">
        <v>2060672</v>
      </c>
      <c r="D2" s="31"/>
      <c r="E2" s="311">
        <v>11340</v>
      </c>
      <c r="F2" s="311"/>
      <c r="G2" s="311">
        <v>12002</v>
      </c>
      <c r="H2" s="31" t="s">
        <v>3215</v>
      </c>
      <c r="I2" s="31" t="s">
        <v>3641</v>
      </c>
      <c r="J2" s="31" t="s">
        <v>845</v>
      </c>
      <c r="K2" s="311">
        <v>11000</v>
      </c>
      <c r="L2"/>
      <c r="M2"/>
    </row>
    <row r="3" spans="1:13">
      <c r="A3" s="31" t="s">
        <v>3496</v>
      </c>
      <c r="B3" s="31" t="s">
        <v>3640</v>
      </c>
      <c r="C3" s="31">
        <v>2061410</v>
      </c>
      <c r="D3" s="31"/>
      <c r="E3" s="311">
        <v>10812</v>
      </c>
      <c r="F3" s="311"/>
      <c r="G3" s="311">
        <v>12009</v>
      </c>
      <c r="H3" s="31" t="s">
        <v>3215</v>
      </c>
      <c r="I3" s="31" t="s">
        <v>3642</v>
      </c>
      <c r="J3" s="31" t="s">
        <v>845</v>
      </c>
      <c r="K3" s="311">
        <v>10463</v>
      </c>
      <c r="L3"/>
      <c r="M3"/>
    </row>
    <row r="4" spans="1:13">
      <c r="A4" s="31" t="s">
        <v>3496</v>
      </c>
      <c r="B4" s="31" t="s">
        <v>3640</v>
      </c>
      <c r="C4" s="31">
        <v>2062097</v>
      </c>
      <c r="D4" s="31"/>
      <c r="E4" s="311">
        <v>11058</v>
      </c>
      <c r="F4" s="311"/>
      <c r="G4" s="311">
        <v>12016</v>
      </c>
      <c r="H4" s="31" t="s">
        <v>3215</v>
      </c>
      <c r="I4" s="31" t="s">
        <v>3643</v>
      </c>
      <c r="J4" s="31" t="s">
        <v>702</v>
      </c>
      <c r="K4" s="311">
        <v>10702</v>
      </c>
      <c r="L4"/>
      <c r="M4"/>
    </row>
    <row r="5" spans="1:13">
      <c r="A5" s="31" t="s">
        <v>3496</v>
      </c>
      <c r="B5" s="31" t="s">
        <v>3640</v>
      </c>
      <c r="C5" s="31">
        <v>2064652</v>
      </c>
      <c r="D5" s="31"/>
      <c r="E5" s="311">
        <v>11638</v>
      </c>
      <c r="F5" s="311"/>
      <c r="G5" s="311">
        <v>12037</v>
      </c>
      <c r="H5" s="31" t="s">
        <v>3215</v>
      </c>
      <c r="I5" s="31" t="s">
        <v>3644</v>
      </c>
      <c r="J5" s="31" t="s">
        <v>702</v>
      </c>
      <c r="K5" s="311">
        <v>11297</v>
      </c>
      <c r="L5"/>
      <c r="M5"/>
    </row>
    <row r="6" spans="1:13">
      <c r="A6" s="31" t="s">
        <v>3496</v>
      </c>
      <c r="B6" s="31" t="s">
        <v>3640</v>
      </c>
      <c r="C6" s="31">
        <v>2068557</v>
      </c>
      <c r="D6" s="31"/>
      <c r="E6" s="311">
        <v>11093</v>
      </c>
      <c r="F6" s="311"/>
      <c r="G6" s="311">
        <v>12072</v>
      </c>
      <c r="H6" s="31" t="s">
        <v>3215</v>
      </c>
      <c r="I6" s="31" t="s">
        <v>3645</v>
      </c>
      <c r="J6" s="31" t="s">
        <v>2781</v>
      </c>
      <c r="K6" s="311">
        <v>10738</v>
      </c>
      <c r="L6"/>
      <c r="M6"/>
    </row>
    <row r="7" spans="1:13">
      <c r="A7" s="31" t="s">
        <v>3496</v>
      </c>
      <c r="B7" s="31" t="s">
        <v>3640</v>
      </c>
      <c r="C7" s="31">
        <v>2068575</v>
      </c>
      <c r="D7" s="31"/>
      <c r="E7" s="311">
        <v>11247</v>
      </c>
      <c r="F7" s="311"/>
      <c r="G7" s="311">
        <v>12072</v>
      </c>
      <c r="H7" s="31" t="s">
        <v>3215</v>
      </c>
      <c r="I7" s="31" t="s">
        <v>3646</v>
      </c>
      <c r="J7" s="31" t="s">
        <v>845</v>
      </c>
      <c r="K7" s="311">
        <v>11016</v>
      </c>
      <c r="L7"/>
      <c r="M7"/>
    </row>
    <row r="8" spans="1:13">
      <c r="A8" s="31" t="s">
        <v>3496</v>
      </c>
      <c r="B8" s="31" t="s">
        <v>3640</v>
      </c>
      <c r="C8" s="31">
        <v>2070498</v>
      </c>
      <c r="D8" s="31"/>
      <c r="E8" s="311">
        <v>11668</v>
      </c>
      <c r="F8" s="311"/>
      <c r="G8" s="311">
        <v>12093</v>
      </c>
      <c r="H8" s="31" t="s">
        <v>3215</v>
      </c>
      <c r="I8" s="31" t="s">
        <v>3647</v>
      </c>
      <c r="J8" s="31" t="s">
        <v>2781</v>
      </c>
      <c r="K8" s="311">
        <v>11409</v>
      </c>
      <c r="L8"/>
      <c r="M8"/>
    </row>
    <row r="9" spans="1:13">
      <c r="A9" s="31" t="s">
        <v>3496</v>
      </c>
      <c r="B9" s="31" t="s">
        <v>3640</v>
      </c>
      <c r="C9" s="31">
        <v>2071176</v>
      </c>
      <c r="D9" s="31"/>
      <c r="E9" s="311">
        <v>11715</v>
      </c>
      <c r="F9" s="311"/>
      <c r="G9" s="311">
        <v>12100</v>
      </c>
      <c r="H9" s="31" t="s">
        <v>3215</v>
      </c>
      <c r="I9" s="31" t="s">
        <v>3793</v>
      </c>
      <c r="J9" s="31" t="s">
        <v>845</v>
      </c>
      <c r="K9" s="311">
        <v>11392</v>
      </c>
      <c r="L9"/>
      <c r="M9"/>
    </row>
    <row r="10" spans="1:13">
      <c r="A10" s="31" t="s">
        <v>3496</v>
      </c>
      <c r="B10" s="31" t="s">
        <v>3640</v>
      </c>
      <c r="C10" s="31">
        <v>2071965</v>
      </c>
      <c r="D10" s="31"/>
      <c r="E10" s="311">
        <v>11197</v>
      </c>
      <c r="F10" s="311"/>
      <c r="G10" s="311">
        <v>12107</v>
      </c>
      <c r="H10" s="31" t="s">
        <v>3215</v>
      </c>
      <c r="I10" s="31" t="s">
        <v>3794</v>
      </c>
      <c r="J10" s="31" t="s">
        <v>845</v>
      </c>
      <c r="K10" s="311">
        <v>10888</v>
      </c>
      <c r="L10"/>
      <c r="M10"/>
    </row>
    <row r="11" spans="1:13">
      <c r="A11" s="31" t="s">
        <v>3496</v>
      </c>
      <c r="B11" s="31" t="s">
        <v>3640</v>
      </c>
      <c r="C11" s="31">
        <v>2071967</v>
      </c>
      <c r="D11" s="31"/>
      <c r="E11" s="311">
        <v>11917</v>
      </c>
      <c r="F11" s="311"/>
      <c r="G11" s="311">
        <v>12107</v>
      </c>
      <c r="H11" s="31" t="s">
        <v>3215</v>
      </c>
      <c r="I11" s="31" t="s">
        <v>3795</v>
      </c>
      <c r="J11" s="31" t="s">
        <v>845</v>
      </c>
      <c r="K11" s="311">
        <v>11553</v>
      </c>
      <c r="L11"/>
      <c r="M11"/>
    </row>
    <row r="12" spans="1:13">
      <c r="A12" s="31" t="s">
        <v>3496</v>
      </c>
      <c r="B12" s="31" t="s">
        <v>3640</v>
      </c>
      <c r="C12" s="31">
        <v>2072733</v>
      </c>
      <c r="D12" s="31"/>
      <c r="E12" s="311">
        <v>10211</v>
      </c>
      <c r="F12" s="311"/>
      <c r="G12" s="311">
        <v>12114</v>
      </c>
      <c r="H12" s="31" t="s">
        <v>3215</v>
      </c>
      <c r="I12" s="31" t="s">
        <v>3796</v>
      </c>
      <c r="J12" s="31" t="s">
        <v>845</v>
      </c>
      <c r="K12" s="311">
        <v>9854</v>
      </c>
      <c r="L12"/>
      <c r="M12"/>
    </row>
    <row r="13" spans="1:13">
      <c r="A13" s="31" t="s">
        <v>3496</v>
      </c>
      <c r="B13" s="31" t="s">
        <v>3640</v>
      </c>
      <c r="C13" s="31">
        <v>2075709</v>
      </c>
      <c r="D13" s="31"/>
      <c r="E13" s="311">
        <v>10014</v>
      </c>
      <c r="F13" s="311"/>
      <c r="G13" s="311">
        <v>12142</v>
      </c>
      <c r="H13" s="31" t="s">
        <v>3215</v>
      </c>
      <c r="I13" s="31" t="s">
        <v>3797</v>
      </c>
      <c r="J13" s="31" t="s">
        <v>2781</v>
      </c>
      <c r="K13" s="311">
        <v>9652</v>
      </c>
      <c r="L13"/>
      <c r="M13"/>
    </row>
    <row r="14" spans="1:13">
      <c r="A14" s="31" t="s">
        <v>3496</v>
      </c>
      <c r="B14" s="31" t="s">
        <v>3640</v>
      </c>
      <c r="C14" s="31">
        <v>2076352</v>
      </c>
      <c r="D14" s="31"/>
      <c r="E14" s="311">
        <v>11943</v>
      </c>
      <c r="F14" s="311"/>
      <c r="G14" s="311">
        <v>12149</v>
      </c>
      <c r="H14" s="31" t="s">
        <v>3215</v>
      </c>
      <c r="I14" s="31" t="s">
        <v>3798</v>
      </c>
      <c r="J14" s="31" t="s">
        <v>2781</v>
      </c>
      <c r="K14" s="311">
        <v>11679</v>
      </c>
      <c r="L14"/>
      <c r="M14"/>
    </row>
    <row r="15" spans="1:13">
      <c r="A15" s="31" t="s">
        <v>3496</v>
      </c>
      <c r="B15" s="31" t="s">
        <v>3640</v>
      </c>
      <c r="C15" s="31">
        <v>2076383</v>
      </c>
      <c r="D15" s="31"/>
      <c r="E15" s="311">
        <v>11379</v>
      </c>
      <c r="F15" s="311"/>
      <c r="G15" s="311">
        <v>12149</v>
      </c>
      <c r="H15" s="31" t="s">
        <v>3215</v>
      </c>
      <c r="I15" s="31" t="s">
        <v>3799</v>
      </c>
      <c r="J15" s="31" t="s">
        <v>845</v>
      </c>
      <c r="K15" s="311">
        <v>11091</v>
      </c>
      <c r="L15"/>
      <c r="M15"/>
    </row>
    <row r="16" spans="1:13">
      <c r="A16" s="31" t="s">
        <v>3496</v>
      </c>
      <c r="B16" s="31" t="s">
        <v>3640</v>
      </c>
      <c r="C16" s="31">
        <v>2078110</v>
      </c>
      <c r="D16" s="31"/>
      <c r="E16" s="311">
        <v>11023</v>
      </c>
      <c r="F16" s="311"/>
      <c r="G16" s="311">
        <v>12163</v>
      </c>
      <c r="H16" s="31" t="s">
        <v>3215</v>
      </c>
      <c r="I16" s="31" t="s">
        <v>3653</v>
      </c>
      <c r="J16" s="31" t="s">
        <v>845</v>
      </c>
      <c r="K16" s="311">
        <v>10682</v>
      </c>
      <c r="L16"/>
      <c r="M16"/>
    </row>
    <row r="17" spans="1:13">
      <c r="A17" s="31" t="s">
        <v>3496</v>
      </c>
      <c r="B17" s="31" t="s">
        <v>3640</v>
      </c>
      <c r="C17" s="31">
        <v>2078161</v>
      </c>
      <c r="D17" s="31"/>
      <c r="E17" s="311">
        <v>11388</v>
      </c>
      <c r="F17" s="311"/>
      <c r="G17" s="311">
        <v>12163</v>
      </c>
      <c r="H17" s="31" t="s">
        <v>3215</v>
      </c>
      <c r="I17" s="31" t="s">
        <v>3654</v>
      </c>
      <c r="J17" s="31" t="s">
        <v>845</v>
      </c>
      <c r="K17" s="311">
        <v>11037</v>
      </c>
      <c r="L17"/>
      <c r="M17"/>
    </row>
    <row r="18" spans="1:13">
      <c r="A18" s="31" t="s">
        <v>3496</v>
      </c>
      <c r="B18" s="31" t="s">
        <v>3640</v>
      </c>
      <c r="C18" s="31">
        <v>2078784</v>
      </c>
      <c r="D18" s="31"/>
      <c r="E18" s="311">
        <v>12011</v>
      </c>
      <c r="F18" s="311"/>
      <c r="G18" s="311">
        <v>12170</v>
      </c>
      <c r="H18" s="31" t="s">
        <v>3215</v>
      </c>
      <c r="I18" s="31" t="s">
        <v>3514</v>
      </c>
      <c r="J18" s="31" t="s">
        <v>845</v>
      </c>
      <c r="K18" s="311">
        <v>11808</v>
      </c>
      <c r="L18"/>
      <c r="M18"/>
    </row>
    <row r="19" spans="1:13">
      <c r="A19" s="31" t="s">
        <v>3496</v>
      </c>
      <c r="B19" s="31" t="s">
        <v>3640</v>
      </c>
      <c r="C19" s="31">
        <v>2078791</v>
      </c>
      <c r="D19" s="31"/>
      <c r="E19" s="311">
        <v>11338</v>
      </c>
      <c r="F19" s="311"/>
      <c r="G19" s="311">
        <v>12170</v>
      </c>
      <c r="H19" s="31" t="s">
        <v>3215</v>
      </c>
      <c r="I19" s="31" t="s">
        <v>3368</v>
      </c>
      <c r="J19" s="31" t="s">
        <v>845</v>
      </c>
      <c r="K19" s="311">
        <v>10976</v>
      </c>
      <c r="L19"/>
      <c r="M19"/>
    </row>
    <row r="20" spans="1:13">
      <c r="A20" s="31" t="s">
        <v>3496</v>
      </c>
      <c r="B20" s="31" t="s">
        <v>3640</v>
      </c>
      <c r="C20" s="31">
        <v>2078803</v>
      </c>
      <c r="D20" s="31"/>
      <c r="E20" s="311">
        <v>11855</v>
      </c>
      <c r="F20" s="311"/>
      <c r="G20" s="311">
        <v>12170</v>
      </c>
      <c r="H20" s="31" t="s">
        <v>3215</v>
      </c>
      <c r="I20" s="31" t="s">
        <v>3369</v>
      </c>
      <c r="J20" s="31" t="s">
        <v>845</v>
      </c>
      <c r="K20" s="311">
        <v>11518</v>
      </c>
      <c r="L20"/>
      <c r="M20"/>
    </row>
    <row r="21" spans="1:13">
      <c r="A21" s="31" t="s">
        <v>3496</v>
      </c>
      <c r="B21" s="31" t="s">
        <v>3640</v>
      </c>
      <c r="C21" s="31">
        <v>2079447</v>
      </c>
      <c r="D21" s="31"/>
      <c r="E21" s="311">
        <v>11717</v>
      </c>
      <c r="F21" s="311"/>
      <c r="G21" s="311">
        <v>12177</v>
      </c>
      <c r="H21" s="31" t="s">
        <v>3215</v>
      </c>
      <c r="I21" s="31" t="s">
        <v>3370</v>
      </c>
      <c r="J21" s="31" t="s">
        <v>702</v>
      </c>
      <c r="K21" s="311">
        <v>11379</v>
      </c>
      <c r="L21"/>
      <c r="M21"/>
    </row>
    <row r="22" spans="1:13">
      <c r="A22" s="31" t="s">
        <v>3496</v>
      </c>
      <c r="B22" s="31" t="s">
        <v>3640</v>
      </c>
      <c r="C22" s="31">
        <v>2079492</v>
      </c>
      <c r="D22" s="31"/>
      <c r="E22" s="311">
        <v>11192</v>
      </c>
      <c r="F22" s="311"/>
      <c r="G22" s="311">
        <v>12177</v>
      </c>
      <c r="H22" s="31" t="s">
        <v>3215</v>
      </c>
      <c r="I22" s="31" t="s">
        <v>3504</v>
      </c>
      <c r="J22" s="31" t="s">
        <v>845</v>
      </c>
      <c r="K22" s="311">
        <v>10827</v>
      </c>
      <c r="L22"/>
      <c r="M22"/>
    </row>
    <row r="23" spans="1:13">
      <c r="A23" s="31" t="s">
        <v>3496</v>
      </c>
      <c r="B23" s="31" t="s">
        <v>3640</v>
      </c>
      <c r="C23" s="31">
        <v>2081046</v>
      </c>
      <c r="D23" s="31"/>
      <c r="E23" s="311">
        <v>11422</v>
      </c>
      <c r="F23" s="311"/>
      <c r="G23" s="311">
        <v>12191</v>
      </c>
      <c r="H23" s="31" t="s">
        <v>3215</v>
      </c>
      <c r="I23" s="31" t="s">
        <v>3505</v>
      </c>
      <c r="J23" s="31" t="s">
        <v>702</v>
      </c>
      <c r="K23" s="311">
        <v>11064</v>
      </c>
      <c r="L23"/>
      <c r="M23"/>
    </row>
    <row r="24" spans="1:13">
      <c r="A24" s="31" t="s">
        <v>3496</v>
      </c>
      <c r="B24" s="31" t="s">
        <v>3640</v>
      </c>
      <c r="C24" s="31">
        <v>2081780</v>
      </c>
      <c r="D24" s="31"/>
      <c r="E24" s="311">
        <v>11835</v>
      </c>
      <c r="F24" s="311"/>
      <c r="G24" s="311">
        <v>12198</v>
      </c>
      <c r="H24" s="31" t="s">
        <v>3215</v>
      </c>
      <c r="I24" s="31" t="s">
        <v>3653</v>
      </c>
      <c r="J24" s="31" t="s">
        <v>845</v>
      </c>
      <c r="K24" s="311">
        <v>11532</v>
      </c>
      <c r="L24"/>
      <c r="M24"/>
    </row>
    <row r="25" spans="1:13">
      <c r="A25" s="31" t="s">
        <v>3496</v>
      </c>
      <c r="B25" s="31" t="s">
        <v>3640</v>
      </c>
      <c r="C25" s="31">
        <v>2081827</v>
      </c>
      <c r="D25" s="31"/>
      <c r="E25" s="311">
        <v>11105</v>
      </c>
      <c r="F25" s="311"/>
      <c r="G25" s="311">
        <v>12198</v>
      </c>
      <c r="H25" s="31" t="s">
        <v>3215</v>
      </c>
      <c r="I25" s="31" t="s">
        <v>3506</v>
      </c>
      <c r="J25" s="31" t="s">
        <v>845</v>
      </c>
      <c r="K25" s="311">
        <v>10758</v>
      </c>
      <c r="L25"/>
      <c r="M25"/>
    </row>
    <row r="26" spans="1:13">
      <c r="A26" s="31" t="s">
        <v>3496</v>
      </c>
      <c r="B26" s="31" t="s">
        <v>3640</v>
      </c>
      <c r="C26" s="31">
        <v>2082641</v>
      </c>
      <c r="D26" s="31"/>
      <c r="E26" s="311">
        <v>11541</v>
      </c>
      <c r="F26" s="311"/>
      <c r="G26" s="311">
        <v>12205</v>
      </c>
      <c r="H26" s="31" t="s">
        <v>3215</v>
      </c>
      <c r="I26" s="31" t="s">
        <v>3507</v>
      </c>
      <c r="J26" s="31" t="s">
        <v>2781</v>
      </c>
      <c r="K26" s="311">
        <v>11191</v>
      </c>
      <c r="L26"/>
      <c r="M26"/>
    </row>
    <row r="27" spans="1:13">
      <c r="A27" s="31" t="s">
        <v>3496</v>
      </c>
      <c r="B27" s="31" t="s">
        <v>3640</v>
      </c>
      <c r="C27" s="31">
        <v>2083375</v>
      </c>
      <c r="D27" s="31"/>
      <c r="E27" s="311">
        <v>11614</v>
      </c>
      <c r="F27" s="311"/>
      <c r="G27" s="311">
        <v>12212</v>
      </c>
      <c r="H27" s="31" t="s">
        <v>3215</v>
      </c>
      <c r="I27" s="31" t="s">
        <v>3508</v>
      </c>
      <c r="J27" s="31" t="s">
        <v>845</v>
      </c>
      <c r="K27" s="311">
        <v>11309</v>
      </c>
      <c r="L27"/>
      <c r="M27"/>
    </row>
    <row r="28" spans="1:13">
      <c r="A28" s="31" t="s">
        <v>3496</v>
      </c>
      <c r="B28" s="31" t="s">
        <v>3640</v>
      </c>
      <c r="C28" s="31">
        <v>2084168</v>
      </c>
      <c r="D28" s="31"/>
      <c r="E28" s="311">
        <v>11837</v>
      </c>
      <c r="F28" s="311"/>
      <c r="G28" s="311">
        <v>12219</v>
      </c>
      <c r="H28" s="31" t="s">
        <v>3215</v>
      </c>
      <c r="I28" s="31" t="s">
        <v>3509</v>
      </c>
      <c r="J28" s="31" t="s">
        <v>845</v>
      </c>
      <c r="K28" s="311">
        <v>11481</v>
      </c>
      <c r="L28"/>
      <c r="M28"/>
    </row>
    <row r="29" spans="1:13">
      <c r="A29" s="31" t="s">
        <v>3496</v>
      </c>
      <c r="B29" s="31" t="s">
        <v>3640</v>
      </c>
      <c r="C29" s="31">
        <v>2084169</v>
      </c>
      <c r="D29" s="31"/>
      <c r="E29" s="311">
        <v>11186</v>
      </c>
      <c r="F29" s="311"/>
      <c r="G29" s="311">
        <v>12219</v>
      </c>
      <c r="H29" s="31" t="s">
        <v>3215</v>
      </c>
      <c r="I29" s="31" t="s">
        <v>3510</v>
      </c>
      <c r="J29" s="31" t="s">
        <v>845</v>
      </c>
      <c r="K29" s="311">
        <v>10842</v>
      </c>
      <c r="L29"/>
      <c r="M29"/>
    </row>
    <row r="30" spans="1:13">
      <c r="A30" s="31" t="s">
        <v>3496</v>
      </c>
      <c r="B30" s="31" t="s">
        <v>3640</v>
      </c>
      <c r="C30" s="31">
        <v>2084171</v>
      </c>
      <c r="D30" s="31"/>
      <c r="E30" s="311">
        <v>11271</v>
      </c>
      <c r="F30" s="311"/>
      <c r="G30" s="311">
        <v>12219</v>
      </c>
      <c r="H30" s="31" t="s">
        <v>3215</v>
      </c>
      <c r="I30" s="31" t="s">
        <v>3511</v>
      </c>
      <c r="J30" s="31" t="s">
        <v>845</v>
      </c>
      <c r="K30" s="311">
        <v>10940</v>
      </c>
      <c r="L30"/>
      <c r="M30"/>
    </row>
    <row r="31" spans="1:13">
      <c r="A31" s="31" t="s">
        <v>3496</v>
      </c>
      <c r="B31" s="31" t="s">
        <v>3640</v>
      </c>
      <c r="C31" s="31">
        <v>2084877</v>
      </c>
      <c r="D31" s="31"/>
      <c r="E31" s="311">
        <v>11711</v>
      </c>
      <c r="F31" s="311"/>
      <c r="G31" s="311">
        <v>12226</v>
      </c>
      <c r="H31" s="31" t="s">
        <v>3215</v>
      </c>
      <c r="I31" s="31" t="s">
        <v>3512</v>
      </c>
      <c r="J31" s="31" t="s">
        <v>845</v>
      </c>
      <c r="K31" s="311">
        <v>11355</v>
      </c>
      <c r="L31"/>
      <c r="M31"/>
    </row>
    <row r="32" spans="1:13">
      <c r="A32" s="31" t="s">
        <v>3496</v>
      </c>
      <c r="B32" s="31" t="s">
        <v>3640</v>
      </c>
      <c r="C32" s="31">
        <v>2084885</v>
      </c>
      <c r="D32" s="31"/>
      <c r="E32" s="311">
        <v>11998</v>
      </c>
      <c r="F32" s="311"/>
      <c r="G32" s="311">
        <v>12226</v>
      </c>
      <c r="H32" s="31" t="s">
        <v>3215</v>
      </c>
      <c r="I32" s="31" t="s">
        <v>3794</v>
      </c>
      <c r="J32" s="31" t="s">
        <v>845</v>
      </c>
      <c r="K32" s="311">
        <v>11654</v>
      </c>
      <c r="L32"/>
      <c r="M32"/>
    </row>
    <row r="33" spans="1:13">
      <c r="A33" s="31" t="s">
        <v>3496</v>
      </c>
      <c r="B33" s="31" t="s">
        <v>3640</v>
      </c>
      <c r="C33" s="31">
        <v>2084886</v>
      </c>
      <c r="D33" s="31"/>
      <c r="E33" s="311">
        <v>12003</v>
      </c>
      <c r="F33" s="311"/>
      <c r="G33" s="311">
        <v>12226</v>
      </c>
      <c r="H33" s="31" t="s">
        <v>3215</v>
      </c>
      <c r="I33" s="31" t="s">
        <v>3794</v>
      </c>
      <c r="J33" s="31" t="s">
        <v>845</v>
      </c>
      <c r="K33" s="311">
        <v>11585</v>
      </c>
      <c r="L33"/>
      <c r="M33"/>
    </row>
    <row r="34" spans="1:13">
      <c r="A34" s="31" t="s">
        <v>3496</v>
      </c>
      <c r="B34" s="31" t="s">
        <v>3640</v>
      </c>
      <c r="C34" s="31">
        <v>2084893</v>
      </c>
      <c r="D34" s="31"/>
      <c r="E34" s="311">
        <v>11382</v>
      </c>
      <c r="F34" s="311"/>
      <c r="G34" s="311">
        <v>12226</v>
      </c>
      <c r="H34" s="31" t="s">
        <v>3215</v>
      </c>
      <c r="I34" s="31" t="s">
        <v>3241</v>
      </c>
      <c r="J34" s="31" t="s">
        <v>702</v>
      </c>
      <c r="K34" s="311">
        <v>11024</v>
      </c>
      <c r="L34"/>
      <c r="M34"/>
    </row>
    <row r="35" spans="1:13">
      <c r="A35" s="31" t="s">
        <v>3496</v>
      </c>
      <c r="B35" s="31" t="s">
        <v>3640</v>
      </c>
      <c r="C35" s="31">
        <v>2084904</v>
      </c>
      <c r="D35" s="31"/>
      <c r="E35" s="311">
        <v>11827</v>
      </c>
      <c r="F35" s="311"/>
      <c r="G35" s="311">
        <v>12226</v>
      </c>
      <c r="H35" s="31" t="s">
        <v>3215</v>
      </c>
      <c r="I35" s="31" t="s">
        <v>3525</v>
      </c>
      <c r="J35" s="31" t="s">
        <v>845</v>
      </c>
      <c r="K35" s="311">
        <v>11470</v>
      </c>
      <c r="L35"/>
      <c r="M35"/>
    </row>
    <row r="36" spans="1:13">
      <c r="A36" s="31" t="s">
        <v>3496</v>
      </c>
      <c r="B36" s="31" t="s">
        <v>3640</v>
      </c>
      <c r="C36" s="31">
        <v>2084909</v>
      </c>
      <c r="D36" s="31"/>
      <c r="E36" s="311">
        <v>11459</v>
      </c>
      <c r="F36" s="311"/>
      <c r="G36" s="311">
        <v>12226</v>
      </c>
      <c r="H36" s="31" t="s">
        <v>3215</v>
      </c>
      <c r="I36" s="31" t="s">
        <v>3526</v>
      </c>
      <c r="J36" s="31" t="s">
        <v>845</v>
      </c>
      <c r="K36" s="311">
        <v>11116</v>
      </c>
      <c r="L36"/>
      <c r="M36"/>
    </row>
    <row r="37" spans="1:13">
      <c r="A37" s="31" t="s">
        <v>3496</v>
      </c>
      <c r="B37" s="31" t="s">
        <v>3640</v>
      </c>
      <c r="C37" s="31">
        <v>2088409</v>
      </c>
      <c r="D37" s="31"/>
      <c r="E37" s="311">
        <v>11379</v>
      </c>
      <c r="F37" s="311"/>
      <c r="G37" s="311">
        <v>12261</v>
      </c>
      <c r="H37" s="31" t="s">
        <v>3215</v>
      </c>
      <c r="I37" s="31" t="s">
        <v>3527</v>
      </c>
      <c r="J37" s="31" t="s">
        <v>845</v>
      </c>
      <c r="K37" s="311">
        <v>11103</v>
      </c>
      <c r="L37"/>
      <c r="M37"/>
    </row>
    <row r="38" spans="1:13">
      <c r="A38" s="31" t="s">
        <v>3496</v>
      </c>
      <c r="B38" s="31" t="s">
        <v>3640</v>
      </c>
      <c r="C38" s="31">
        <v>2088420</v>
      </c>
      <c r="D38" s="31"/>
      <c r="E38" s="311">
        <v>11789</v>
      </c>
      <c r="F38" s="311"/>
      <c r="G38" s="311">
        <v>12261</v>
      </c>
      <c r="H38" s="31" t="s">
        <v>3215</v>
      </c>
      <c r="I38" s="31" t="s">
        <v>3528</v>
      </c>
      <c r="J38" s="31" t="s">
        <v>845</v>
      </c>
      <c r="K38" s="311">
        <v>11518</v>
      </c>
      <c r="L38"/>
      <c r="M38"/>
    </row>
    <row r="39" spans="1:13">
      <c r="A39" s="31" t="s">
        <v>3496</v>
      </c>
      <c r="B39" s="31" t="s">
        <v>3640</v>
      </c>
      <c r="C39" s="31">
        <v>2088435</v>
      </c>
      <c r="D39" s="31"/>
      <c r="E39" s="311">
        <v>12100</v>
      </c>
      <c r="F39" s="311"/>
      <c r="G39" s="311">
        <v>12261</v>
      </c>
      <c r="H39" s="31" t="s">
        <v>3215</v>
      </c>
      <c r="I39" s="31" t="s">
        <v>3529</v>
      </c>
      <c r="J39" s="31" t="s">
        <v>845</v>
      </c>
      <c r="K39" s="311">
        <v>11820</v>
      </c>
      <c r="L39"/>
      <c r="M39"/>
    </row>
    <row r="40" spans="1:13">
      <c r="A40" s="31" t="s">
        <v>3496</v>
      </c>
      <c r="B40" s="31" t="s">
        <v>3640</v>
      </c>
      <c r="C40" s="31">
        <v>2089050</v>
      </c>
      <c r="D40" s="31"/>
      <c r="E40" s="311">
        <v>12081</v>
      </c>
      <c r="F40" s="311"/>
      <c r="G40" s="311">
        <v>12268</v>
      </c>
      <c r="H40" s="31" t="s">
        <v>3215</v>
      </c>
      <c r="I40" s="31" t="s">
        <v>3530</v>
      </c>
      <c r="J40" s="31" t="s">
        <v>845</v>
      </c>
      <c r="K40" s="311">
        <v>11824</v>
      </c>
      <c r="L40"/>
      <c r="M40"/>
    </row>
    <row r="41" spans="1:13">
      <c r="A41" s="31" t="s">
        <v>3496</v>
      </c>
      <c r="B41" s="31" t="s">
        <v>3640</v>
      </c>
      <c r="C41" s="31">
        <v>2089051</v>
      </c>
      <c r="D41" s="31"/>
      <c r="E41" s="311">
        <v>12081</v>
      </c>
      <c r="F41" s="311"/>
      <c r="G41" s="311">
        <v>12268</v>
      </c>
      <c r="H41" s="31" t="s">
        <v>3215</v>
      </c>
      <c r="I41" s="31" t="s">
        <v>3530</v>
      </c>
      <c r="J41" s="31" t="s">
        <v>845</v>
      </c>
      <c r="K41" s="311">
        <v>11729</v>
      </c>
      <c r="L41"/>
      <c r="M41"/>
    </row>
    <row r="42" spans="1:13">
      <c r="A42" s="31" t="s">
        <v>3496</v>
      </c>
      <c r="B42" s="31" t="s">
        <v>3640</v>
      </c>
      <c r="C42" s="31">
        <v>2089696</v>
      </c>
      <c r="D42" s="31"/>
      <c r="E42" s="311">
        <v>11569</v>
      </c>
      <c r="F42" s="311"/>
      <c r="G42" s="311">
        <v>12275</v>
      </c>
      <c r="H42" s="31" t="s">
        <v>3215</v>
      </c>
      <c r="I42" s="31" t="s">
        <v>3531</v>
      </c>
      <c r="J42" s="31" t="s">
        <v>702</v>
      </c>
      <c r="K42" s="311">
        <v>11207</v>
      </c>
      <c r="L42"/>
      <c r="M42"/>
    </row>
    <row r="43" spans="1:13">
      <c r="A43" s="31" t="s">
        <v>3496</v>
      </c>
      <c r="B43" s="31" t="s">
        <v>3640</v>
      </c>
      <c r="C43" s="31">
        <v>2089697</v>
      </c>
      <c r="D43" s="31"/>
      <c r="E43" s="311">
        <v>11487</v>
      </c>
      <c r="F43" s="311"/>
      <c r="G43" s="311">
        <v>12275</v>
      </c>
      <c r="H43" s="31" t="s">
        <v>3215</v>
      </c>
      <c r="I43" s="31" t="s">
        <v>3380</v>
      </c>
      <c r="J43" s="31" t="s">
        <v>845</v>
      </c>
      <c r="K43" s="311">
        <v>11133</v>
      </c>
      <c r="L43"/>
      <c r="M43"/>
    </row>
    <row r="44" spans="1:13">
      <c r="A44" s="31" t="s">
        <v>3496</v>
      </c>
      <c r="B44" s="31" t="s">
        <v>3640</v>
      </c>
      <c r="C44" s="31">
        <v>2089872</v>
      </c>
      <c r="D44" s="31"/>
      <c r="E44" s="311">
        <v>11501</v>
      </c>
      <c r="F44" s="311"/>
      <c r="G44" s="311">
        <v>12275</v>
      </c>
      <c r="H44" s="31" t="s">
        <v>3215</v>
      </c>
      <c r="I44" s="31" t="s">
        <v>3381</v>
      </c>
      <c r="J44" s="31" t="s">
        <v>2781</v>
      </c>
      <c r="K44" s="311">
        <v>11142</v>
      </c>
      <c r="L44"/>
      <c r="M44"/>
    </row>
    <row r="45" spans="1:13">
      <c r="A45" s="31" t="s">
        <v>3496</v>
      </c>
      <c r="B45" s="31" t="s">
        <v>3640</v>
      </c>
      <c r="C45" s="31">
        <v>2090522</v>
      </c>
      <c r="D45" s="31"/>
      <c r="E45" s="311">
        <v>11388</v>
      </c>
      <c r="F45" s="311"/>
      <c r="G45" s="311">
        <v>12282</v>
      </c>
      <c r="H45" s="31" t="s">
        <v>3215</v>
      </c>
      <c r="I45" s="31" t="s">
        <v>3382</v>
      </c>
      <c r="J45" s="31" t="s">
        <v>845</v>
      </c>
      <c r="K45" s="311">
        <v>11051</v>
      </c>
      <c r="L45"/>
      <c r="M45"/>
    </row>
    <row r="46" spans="1:13">
      <c r="A46" s="31" t="s">
        <v>3496</v>
      </c>
      <c r="B46" s="31" t="s">
        <v>3640</v>
      </c>
      <c r="C46" s="31">
        <v>2090584</v>
      </c>
      <c r="D46" s="31"/>
      <c r="E46" s="311">
        <v>11987</v>
      </c>
      <c r="F46" s="311"/>
      <c r="G46" s="311">
        <v>12282</v>
      </c>
      <c r="H46" s="31" t="s">
        <v>3215</v>
      </c>
      <c r="I46" s="31" t="s">
        <v>3385</v>
      </c>
      <c r="J46" s="31" t="s">
        <v>2781</v>
      </c>
      <c r="K46" s="311">
        <v>11633</v>
      </c>
      <c r="L46"/>
      <c r="M46"/>
    </row>
    <row r="47" spans="1:13">
      <c r="A47" s="31" t="s">
        <v>3496</v>
      </c>
      <c r="B47" s="31" t="s">
        <v>3640</v>
      </c>
      <c r="C47" s="31">
        <v>2091818</v>
      </c>
      <c r="D47" s="31"/>
      <c r="E47" s="311">
        <v>11088</v>
      </c>
      <c r="F47" s="311"/>
      <c r="G47" s="311">
        <v>12296</v>
      </c>
      <c r="H47" s="31" t="s">
        <v>3215</v>
      </c>
      <c r="I47" s="31" t="s">
        <v>3386</v>
      </c>
      <c r="J47" s="31" t="s">
        <v>845</v>
      </c>
      <c r="K47" s="311">
        <v>10769</v>
      </c>
      <c r="L47"/>
      <c r="M47"/>
    </row>
    <row r="48" spans="1:13">
      <c r="A48" s="31" t="s">
        <v>3496</v>
      </c>
      <c r="B48" s="31" t="s">
        <v>3640</v>
      </c>
      <c r="C48" s="31">
        <v>2091819</v>
      </c>
      <c r="D48" s="31"/>
      <c r="E48" s="311">
        <v>11358</v>
      </c>
      <c r="F48" s="311"/>
      <c r="G48" s="311">
        <v>12296</v>
      </c>
      <c r="H48" s="31" t="s">
        <v>3215</v>
      </c>
      <c r="I48" s="31" t="s">
        <v>3386</v>
      </c>
      <c r="J48" s="31" t="s">
        <v>845</v>
      </c>
      <c r="K48" s="311">
        <v>11030</v>
      </c>
      <c r="L48"/>
      <c r="M48"/>
    </row>
    <row r="49" spans="1:13">
      <c r="A49" s="31" t="s">
        <v>3496</v>
      </c>
      <c r="B49" s="31" t="s">
        <v>3640</v>
      </c>
      <c r="C49" s="31">
        <v>2091848</v>
      </c>
      <c r="D49" s="31"/>
      <c r="E49" s="311">
        <v>11634</v>
      </c>
      <c r="F49" s="311"/>
      <c r="G49" s="311">
        <v>12296</v>
      </c>
      <c r="H49" s="31" t="s">
        <v>3215</v>
      </c>
      <c r="I49" s="31" t="s">
        <v>3387</v>
      </c>
      <c r="J49" s="31" t="s">
        <v>845</v>
      </c>
      <c r="K49" s="311">
        <v>11309</v>
      </c>
      <c r="L49"/>
      <c r="M49"/>
    </row>
    <row r="50" spans="1:13">
      <c r="A50" s="31" t="s">
        <v>3496</v>
      </c>
      <c r="B50" s="31" t="s">
        <v>3640</v>
      </c>
      <c r="C50" s="31">
        <v>2092640</v>
      </c>
      <c r="D50" s="31"/>
      <c r="E50" s="311">
        <v>11814</v>
      </c>
      <c r="F50" s="311"/>
      <c r="G50" s="311">
        <v>12303</v>
      </c>
      <c r="H50" s="31" t="s">
        <v>3215</v>
      </c>
      <c r="I50" s="31" t="s">
        <v>3388</v>
      </c>
      <c r="J50" s="31" t="s">
        <v>845</v>
      </c>
      <c r="K50" s="311">
        <v>11453</v>
      </c>
      <c r="L50"/>
      <c r="M50"/>
    </row>
    <row r="51" spans="1:13">
      <c r="A51" s="31" t="s">
        <v>3496</v>
      </c>
      <c r="B51" s="31" t="s">
        <v>3640</v>
      </c>
      <c r="C51" s="31">
        <v>2092642</v>
      </c>
      <c r="D51" s="31"/>
      <c r="E51" s="311">
        <v>11707</v>
      </c>
      <c r="F51" s="311"/>
      <c r="G51" s="311">
        <v>12303</v>
      </c>
      <c r="H51" s="31" t="s">
        <v>3215</v>
      </c>
      <c r="I51" s="31" t="s">
        <v>3527</v>
      </c>
      <c r="J51" s="31" t="s">
        <v>845</v>
      </c>
      <c r="K51" s="311">
        <v>11341</v>
      </c>
      <c r="L51"/>
      <c r="M51"/>
    </row>
    <row r="52" spans="1:13">
      <c r="A52" s="31" t="s">
        <v>3496</v>
      </c>
      <c r="B52" s="31" t="s">
        <v>3640</v>
      </c>
      <c r="C52" s="31">
        <v>2095106</v>
      </c>
      <c r="D52" s="31"/>
      <c r="E52" s="311">
        <v>12108</v>
      </c>
      <c r="F52" s="311"/>
      <c r="G52" s="311">
        <v>12331</v>
      </c>
      <c r="H52" s="31" t="s">
        <v>3215</v>
      </c>
      <c r="I52" s="31" t="s">
        <v>3389</v>
      </c>
      <c r="J52" s="31" t="s">
        <v>845</v>
      </c>
      <c r="K52" s="311">
        <v>11750</v>
      </c>
      <c r="L52"/>
      <c r="M52"/>
    </row>
    <row r="53" spans="1:13">
      <c r="A53" s="31" t="s">
        <v>3496</v>
      </c>
      <c r="B53" s="31" t="s">
        <v>3640</v>
      </c>
      <c r="C53" s="31">
        <v>2095120</v>
      </c>
      <c r="D53" s="31"/>
      <c r="E53" s="311">
        <v>11844</v>
      </c>
      <c r="F53" s="311" t="s">
        <v>3390</v>
      </c>
      <c r="G53" s="311">
        <v>12331</v>
      </c>
      <c r="H53" s="31" t="s">
        <v>3215</v>
      </c>
      <c r="I53" s="31" t="s">
        <v>3391</v>
      </c>
      <c r="J53" s="31" t="s">
        <v>2781</v>
      </c>
      <c r="K53" s="311">
        <v>11501</v>
      </c>
      <c r="L53"/>
      <c r="M53"/>
    </row>
    <row r="54" spans="1:13">
      <c r="A54" s="31" t="s">
        <v>3496</v>
      </c>
      <c r="B54" s="31" t="s">
        <v>3640</v>
      </c>
      <c r="C54" s="31">
        <v>2095132</v>
      </c>
      <c r="D54" s="31"/>
      <c r="E54" s="311">
        <v>11750</v>
      </c>
      <c r="F54" s="311"/>
      <c r="G54" s="311">
        <v>12331</v>
      </c>
      <c r="H54" s="31" t="s">
        <v>3215</v>
      </c>
      <c r="I54" s="31" t="s">
        <v>3678</v>
      </c>
      <c r="J54" s="31" t="s">
        <v>845</v>
      </c>
      <c r="K54" s="311">
        <v>11390</v>
      </c>
      <c r="L54"/>
      <c r="M54"/>
    </row>
    <row r="55" spans="1:13">
      <c r="A55" s="31" t="s">
        <v>3496</v>
      </c>
      <c r="B55" s="31" t="s">
        <v>3640</v>
      </c>
      <c r="C55" s="31">
        <v>2095818</v>
      </c>
      <c r="D55" s="31"/>
      <c r="E55" s="311">
        <v>11900</v>
      </c>
      <c r="F55" s="311"/>
      <c r="G55" s="311">
        <v>12338</v>
      </c>
      <c r="H55" s="31" t="s">
        <v>3215</v>
      </c>
      <c r="I55" s="31" t="s">
        <v>3542</v>
      </c>
      <c r="J55" s="31" t="s">
        <v>3133</v>
      </c>
      <c r="K55" s="311">
        <v>11565</v>
      </c>
      <c r="L55"/>
      <c r="M55"/>
    </row>
    <row r="56" spans="1:13">
      <c r="A56" s="31" t="s">
        <v>3496</v>
      </c>
      <c r="B56" s="31" t="s">
        <v>3640</v>
      </c>
      <c r="C56" s="31">
        <v>2095820</v>
      </c>
      <c r="D56" s="31"/>
      <c r="E56" s="311">
        <v>11532</v>
      </c>
      <c r="F56" s="311"/>
      <c r="G56" s="311">
        <v>12338</v>
      </c>
      <c r="H56" s="31" t="s">
        <v>3215</v>
      </c>
      <c r="I56" s="31" t="s">
        <v>3543</v>
      </c>
      <c r="J56" s="31" t="s">
        <v>845</v>
      </c>
      <c r="K56" s="311">
        <v>11192</v>
      </c>
      <c r="L56"/>
      <c r="M56"/>
    </row>
    <row r="57" spans="1:13">
      <c r="A57" s="31" t="s">
        <v>3496</v>
      </c>
      <c r="B57" s="31" t="s">
        <v>3640</v>
      </c>
      <c r="C57" s="31">
        <v>2095821</v>
      </c>
      <c r="D57" s="31"/>
      <c r="E57" s="311">
        <v>12156</v>
      </c>
      <c r="F57" s="311"/>
      <c r="G57" s="311">
        <v>12338</v>
      </c>
      <c r="H57" s="31" t="s">
        <v>3215</v>
      </c>
      <c r="I57" s="31" t="s">
        <v>3544</v>
      </c>
      <c r="J57" s="31" t="s">
        <v>845</v>
      </c>
      <c r="K57" s="311">
        <v>11799</v>
      </c>
      <c r="L57"/>
      <c r="M57"/>
    </row>
    <row r="58" spans="1:13">
      <c r="A58" s="31" t="s">
        <v>3496</v>
      </c>
      <c r="B58" s="31" t="s">
        <v>3640</v>
      </c>
      <c r="C58" s="31">
        <v>2096614</v>
      </c>
      <c r="D58" s="31"/>
      <c r="E58" s="311">
        <v>11837</v>
      </c>
      <c r="F58" s="311"/>
      <c r="G58" s="311">
        <v>12345</v>
      </c>
      <c r="H58" s="31" t="s">
        <v>3215</v>
      </c>
      <c r="I58" s="31" t="s">
        <v>3545</v>
      </c>
      <c r="J58" s="31" t="s">
        <v>845</v>
      </c>
      <c r="K58" s="311">
        <v>11490</v>
      </c>
      <c r="L58"/>
      <c r="M58"/>
    </row>
    <row r="59" spans="1:13">
      <c r="A59" s="31" t="s">
        <v>3496</v>
      </c>
      <c r="B59" s="31" t="s">
        <v>3640</v>
      </c>
      <c r="C59" s="31">
        <v>2098029</v>
      </c>
      <c r="D59" s="31"/>
      <c r="E59" s="311">
        <v>10980</v>
      </c>
      <c r="F59" s="311"/>
      <c r="G59" s="311">
        <v>12359</v>
      </c>
      <c r="H59" s="31" t="s">
        <v>3215</v>
      </c>
      <c r="I59" s="31" t="s">
        <v>3388</v>
      </c>
      <c r="J59" s="31" t="s">
        <v>845</v>
      </c>
      <c r="K59" s="311">
        <v>10645</v>
      </c>
      <c r="L59"/>
      <c r="M59"/>
    </row>
    <row r="60" spans="1:13">
      <c r="A60" s="31" t="s">
        <v>3496</v>
      </c>
      <c r="B60" s="31" t="s">
        <v>3640</v>
      </c>
      <c r="C60" s="31">
        <v>2098035</v>
      </c>
      <c r="D60" s="31"/>
      <c r="E60" s="311">
        <v>11981</v>
      </c>
      <c r="F60" s="311"/>
      <c r="G60" s="311">
        <v>12359</v>
      </c>
      <c r="H60" s="31" t="s">
        <v>3215</v>
      </c>
      <c r="I60" s="31" t="s">
        <v>3546</v>
      </c>
      <c r="J60" s="31" t="s">
        <v>3133</v>
      </c>
      <c r="K60" s="311">
        <v>11663</v>
      </c>
      <c r="L60"/>
      <c r="M60"/>
    </row>
    <row r="61" spans="1:13">
      <c r="A61" s="31" t="s">
        <v>3496</v>
      </c>
      <c r="B61" s="31" t="s">
        <v>3640</v>
      </c>
      <c r="C61" s="31">
        <v>2098064</v>
      </c>
      <c r="D61" s="31"/>
      <c r="E61" s="311">
        <v>11196</v>
      </c>
      <c r="F61" s="311"/>
      <c r="G61" s="311">
        <v>12359</v>
      </c>
      <c r="H61" s="31" t="s">
        <v>3215</v>
      </c>
      <c r="I61" s="31" t="s">
        <v>3547</v>
      </c>
      <c r="J61" s="31" t="s">
        <v>845</v>
      </c>
      <c r="K61" s="311">
        <v>10863</v>
      </c>
      <c r="L61"/>
      <c r="M61"/>
    </row>
    <row r="62" spans="1:13">
      <c r="A62" s="31" t="s">
        <v>3496</v>
      </c>
      <c r="B62" s="31" t="s">
        <v>3640</v>
      </c>
      <c r="C62" s="31">
        <v>2098212</v>
      </c>
      <c r="D62" s="31" t="s">
        <v>3548</v>
      </c>
      <c r="E62" s="311">
        <v>12013</v>
      </c>
      <c r="F62" s="311">
        <v>12172</v>
      </c>
      <c r="G62" s="311">
        <v>12359</v>
      </c>
      <c r="H62" s="31" t="s">
        <v>3215</v>
      </c>
      <c r="I62" s="31" t="s">
        <v>3683</v>
      </c>
      <c r="J62" s="31" t="s">
        <v>702</v>
      </c>
      <c r="K62" s="311">
        <v>11626</v>
      </c>
      <c r="L62"/>
      <c r="M62"/>
    </row>
    <row r="63" spans="1:13">
      <c r="A63" s="31" t="s">
        <v>3496</v>
      </c>
      <c r="B63" s="31" t="s">
        <v>3640</v>
      </c>
      <c r="C63" s="31">
        <v>2098804</v>
      </c>
      <c r="D63" s="31"/>
      <c r="E63" s="311">
        <v>11870</v>
      </c>
      <c r="F63" s="311"/>
      <c r="G63" s="311">
        <v>12366</v>
      </c>
      <c r="H63" s="31" t="s">
        <v>3215</v>
      </c>
      <c r="I63" s="31" t="s">
        <v>3684</v>
      </c>
      <c r="J63" s="31" t="s">
        <v>845</v>
      </c>
      <c r="K63" s="311">
        <v>11512</v>
      </c>
      <c r="L63"/>
      <c r="M63"/>
    </row>
    <row r="64" spans="1:13">
      <c r="A64" s="31" t="s">
        <v>3496</v>
      </c>
      <c r="B64" s="31" t="s">
        <v>3640</v>
      </c>
      <c r="C64" s="31">
        <v>2099568</v>
      </c>
      <c r="D64" s="31"/>
      <c r="E64" s="311">
        <v>11662</v>
      </c>
      <c r="F64" s="311"/>
      <c r="G64" s="311">
        <v>12373</v>
      </c>
      <c r="H64" s="31" t="s">
        <v>3215</v>
      </c>
      <c r="I64" s="31" t="s">
        <v>3685</v>
      </c>
      <c r="J64" s="31" t="s">
        <v>845</v>
      </c>
      <c r="K64" s="311">
        <v>11306</v>
      </c>
      <c r="L64"/>
      <c r="M64"/>
    </row>
    <row r="65" spans="1:13">
      <c r="A65" s="31" t="s">
        <v>3496</v>
      </c>
      <c r="B65" s="31" t="s">
        <v>3640</v>
      </c>
      <c r="C65" s="31">
        <v>2099576</v>
      </c>
      <c r="D65" s="31"/>
      <c r="E65" s="311">
        <v>11918</v>
      </c>
      <c r="F65" s="311"/>
      <c r="G65" s="311">
        <v>12373</v>
      </c>
      <c r="H65" s="31" t="s">
        <v>3215</v>
      </c>
      <c r="I65" s="31" t="s">
        <v>3686</v>
      </c>
      <c r="J65" s="31" t="s">
        <v>845</v>
      </c>
      <c r="K65" s="311">
        <v>11585</v>
      </c>
      <c r="L65"/>
      <c r="M65"/>
    </row>
    <row r="66" spans="1:13">
      <c r="A66" s="31" t="s">
        <v>3496</v>
      </c>
      <c r="B66" s="31" t="s">
        <v>3640</v>
      </c>
      <c r="C66" s="31">
        <v>2100833</v>
      </c>
      <c r="D66" s="31"/>
      <c r="E66" s="311">
        <v>11735</v>
      </c>
      <c r="F66" s="311"/>
      <c r="G66" s="311">
        <v>12387</v>
      </c>
      <c r="H66" s="31" t="s">
        <v>3215</v>
      </c>
      <c r="I66" s="31" t="s">
        <v>3687</v>
      </c>
      <c r="J66" s="31" t="s">
        <v>845</v>
      </c>
      <c r="K66" s="311">
        <v>11381</v>
      </c>
      <c r="L66"/>
      <c r="M66"/>
    </row>
    <row r="67" spans="1:13">
      <c r="A67" s="31" t="s">
        <v>3496</v>
      </c>
      <c r="B67" s="31" t="s">
        <v>3640</v>
      </c>
      <c r="C67" s="31">
        <v>2101676</v>
      </c>
      <c r="D67" s="31"/>
      <c r="E67" s="311">
        <v>11908</v>
      </c>
      <c r="F67" s="311"/>
      <c r="G67" s="311">
        <v>12394</v>
      </c>
      <c r="H67" s="31" t="s">
        <v>3215</v>
      </c>
      <c r="I67" s="31" t="s">
        <v>3688</v>
      </c>
      <c r="J67" s="31" t="s">
        <v>845</v>
      </c>
      <c r="K67" s="311">
        <v>11584</v>
      </c>
      <c r="L67"/>
      <c r="M67"/>
    </row>
    <row r="68" spans="1:13">
      <c r="A68" s="31" t="s">
        <v>3496</v>
      </c>
      <c r="B68" s="31" t="s">
        <v>3640</v>
      </c>
      <c r="C68" s="31">
        <v>2102400</v>
      </c>
      <c r="D68" s="31"/>
      <c r="E68" s="311">
        <v>11331</v>
      </c>
      <c r="F68" s="311"/>
      <c r="G68" s="311">
        <v>12401</v>
      </c>
      <c r="H68" s="31" t="s">
        <v>3215</v>
      </c>
      <c r="I68" s="31" t="s">
        <v>3689</v>
      </c>
      <c r="J68" s="31" t="s">
        <v>845</v>
      </c>
      <c r="K68" s="311">
        <v>10986</v>
      </c>
      <c r="L68"/>
      <c r="M68"/>
    </row>
    <row r="69" spans="1:13">
      <c r="A69" s="31" t="s">
        <v>3496</v>
      </c>
      <c r="B69" s="31" t="s">
        <v>3640</v>
      </c>
      <c r="C69" s="31">
        <v>2102768</v>
      </c>
      <c r="D69" s="31"/>
      <c r="E69" s="311">
        <v>11694</v>
      </c>
      <c r="F69" s="311"/>
      <c r="G69" s="311">
        <v>12408</v>
      </c>
      <c r="H69" s="31" t="s">
        <v>3215</v>
      </c>
      <c r="I69" s="31" t="s">
        <v>3550</v>
      </c>
      <c r="J69" s="31" t="s">
        <v>702</v>
      </c>
      <c r="K69" s="311">
        <v>11329</v>
      </c>
      <c r="L69"/>
      <c r="M69"/>
    </row>
    <row r="70" spans="1:13">
      <c r="A70" s="31" t="s">
        <v>3496</v>
      </c>
      <c r="B70" s="31" t="s">
        <v>3640</v>
      </c>
      <c r="C70" s="31">
        <v>2104629</v>
      </c>
      <c r="D70" s="31"/>
      <c r="E70" s="311">
        <v>12607</v>
      </c>
      <c r="F70" s="311"/>
      <c r="G70" s="311">
        <v>12422</v>
      </c>
      <c r="H70" s="31" t="s">
        <v>3215</v>
      </c>
      <c r="I70" s="31" t="s">
        <v>3551</v>
      </c>
      <c r="J70" s="31" t="s">
        <v>845</v>
      </c>
      <c r="K70" s="311">
        <v>11921</v>
      </c>
      <c r="L70"/>
      <c r="M70"/>
    </row>
    <row r="71" spans="1:13">
      <c r="A71" s="31" t="s">
        <v>3496</v>
      </c>
      <c r="B71" s="31" t="s">
        <v>3640</v>
      </c>
      <c r="C71" s="31">
        <v>2105362</v>
      </c>
      <c r="D71" s="31"/>
      <c r="E71" s="311">
        <v>11533</v>
      </c>
      <c r="F71" s="311"/>
      <c r="G71" s="311">
        <v>12429</v>
      </c>
      <c r="H71" s="31" t="s">
        <v>3215</v>
      </c>
      <c r="I71" s="31" t="s">
        <v>3552</v>
      </c>
      <c r="J71" s="31" t="s">
        <v>845</v>
      </c>
      <c r="K71" s="311">
        <v>11168</v>
      </c>
      <c r="L71"/>
      <c r="M71"/>
    </row>
    <row r="72" spans="1:13">
      <c r="A72" s="31" t="s">
        <v>3496</v>
      </c>
      <c r="B72" s="31" t="s">
        <v>3640</v>
      </c>
      <c r="C72" s="31">
        <v>2105363</v>
      </c>
      <c r="D72" s="31"/>
      <c r="E72" s="311">
        <v>11604</v>
      </c>
      <c r="F72" s="311"/>
      <c r="G72" s="311">
        <v>12429</v>
      </c>
      <c r="H72" s="31" t="s">
        <v>3215</v>
      </c>
      <c r="I72" s="31" t="s">
        <v>3552</v>
      </c>
      <c r="J72" s="31" t="s">
        <v>845</v>
      </c>
      <c r="K72" s="311">
        <v>11261</v>
      </c>
      <c r="L72"/>
      <c r="M72"/>
    </row>
    <row r="73" spans="1:13">
      <c r="A73" s="31" t="s">
        <v>3496</v>
      </c>
      <c r="B73" s="31" t="s">
        <v>3640</v>
      </c>
      <c r="C73" s="31">
        <v>2106582</v>
      </c>
      <c r="D73" s="31"/>
      <c r="E73" s="311">
        <v>11759</v>
      </c>
      <c r="F73" s="311"/>
      <c r="G73" s="311">
        <v>12443</v>
      </c>
      <c r="H73" s="31" t="s">
        <v>3215</v>
      </c>
      <c r="I73" s="31" t="s">
        <v>3505</v>
      </c>
      <c r="J73" s="31" t="s">
        <v>702</v>
      </c>
      <c r="K73" s="311">
        <v>11407</v>
      </c>
      <c r="L73"/>
      <c r="M73"/>
    </row>
    <row r="74" spans="1:13">
      <c r="A74" s="31" t="s">
        <v>3496</v>
      </c>
      <c r="B74" s="31" t="s">
        <v>3640</v>
      </c>
      <c r="C74" s="31">
        <v>2106692</v>
      </c>
      <c r="D74" s="31"/>
      <c r="E74" s="311">
        <v>11891</v>
      </c>
      <c r="F74" s="311"/>
      <c r="G74" s="311">
        <v>12443</v>
      </c>
      <c r="H74" s="31" t="s">
        <v>3215</v>
      </c>
      <c r="I74" s="31" t="s">
        <v>3553</v>
      </c>
      <c r="J74" s="31" t="s">
        <v>702</v>
      </c>
      <c r="K74" s="311">
        <v>11529</v>
      </c>
      <c r="L74"/>
      <c r="M74"/>
    </row>
    <row r="75" spans="1:13">
      <c r="A75" s="31" t="s">
        <v>3496</v>
      </c>
      <c r="B75" s="31" t="s">
        <v>3640</v>
      </c>
      <c r="C75" s="31">
        <v>2107908</v>
      </c>
      <c r="D75" s="31"/>
      <c r="E75" s="311">
        <v>11626</v>
      </c>
      <c r="F75" s="311"/>
      <c r="G75" s="311">
        <v>12457</v>
      </c>
      <c r="H75" s="31" t="s">
        <v>3215</v>
      </c>
      <c r="I75" s="31" t="s">
        <v>3554</v>
      </c>
      <c r="J75" s="31" t="s">
        <v>845</v>
      </c>
      <c r="K75" s="311">
        <v>11269</v>
      </c>
      <c r="L75"/>
      <c r="M75"/>
    </row>
    <row r="76" spans="1:13">
      <c r="A76" s="31" t="s">
        <v>3496</v>
      </c>
      <c r="B76" s="31" t="s">
        <v>3640</v>
      </c>
      <c r="C76" s="31">
        <v>2107947</v>
      </c>
      <c r="D76" s="31"/>
      <c r="E76" s="311">
        <v>12071</v>
      </c>
      <c r="F76" s="311"/>
      <c r="G76" s="311">
        <v>12457</v>
      </c>
      <c r="H76" s="31" t="s">
        <v>3215</v>
      </c>
      <c r="I76" s="31" t="s">
        <v>3408</v>
      </c>
      <c r="J76" s="31" t="s">
        <v>702</v>
      </c>
      <c r="K76" s="311">
        <v>11718</v>
      </c>
      <c r="L76"/>
      <c r="M76"/>
    </row>
    <row r="77" spans="1:13">
      <c r="A77" s="31" t="s">
        <v>3496</v>
      </c>
      <c r="B77" s="31" t="s">
        <v>3640</v>
      </c>
      <c r="C77" s="31">
        <v>2108614</v>
      </c>
      <c r="D77" s="31"/>
      <c r="E77" s="311">
        <v>12024</v>
      </c>
      <c r="F77" s="311"/>
      <c r="G77" s="311">
        <v>12464</v>
      </c>
      <c r="H77" s="31" t="s">
        <v>3215</v>
      </c>
      <c r="I77" s="31" t="s">
        <v>3409</v>
      </c>
      <c r="J77" s="31" t="s">
        <v>845</v>
      </c>
      <c r="K77" s="311">
        <v>11710</v>
      </c>
      <c r="L77"/>
      <c r="M77"/>
    </row>
    <row r="78" spans="1:13">
      <c r="A78" s="31" t="s">
        <v>3496</v>
      </c>
      <c r="B78" s="31" t="s">
        <v>3640</v>
      </c>
      <c r="C78" s="31">
        <v>2108620</v>
      </c>
      <c r="D78" s="31"/>
      <c r="E78" s="311">
        <v>11932</v>
      </c>
      <c r="F78" s="311"/>
      <c r="G78" s="311">
        <v>12464</v>
      </c>
      <c r="H78" s="31" t="s">
        <v>3215</v>
      </c>
      <c r="I78" s="31" t="s">
        <v>3410</v>
      </c>
      <c r="J78" s="31" t="s">
        <v>845</v>
      </c>
      <c r="K78" s="311">
        <v>11630</v>
      </c>
      <c r="L78"/>
      <c r="M78"/>
    </row>
    <row r="79" spans="1:13">
      <c r="A79" s="31" t="s">
        <v>3496</v>
      </c>
      <c r="B79" s="31" t="s">
        <v>3640</v>
      </c>
      <c r="C79" s="31">
        <v>2108623</v>
      </c>
      <c r="D79" s="31"/>
      <c r="E79" s="311">
        <v>12250</v>
      </c>
      <c r="F79" s="311"/>
      <c r="G79" s="311">
        <v>12464</v>
      </c>
      <c r="H79" s="31" t="s">
        <v>3215</v>
      </c>
      <c r="I79" s="31" t="s">
        <v>3411</v>
      </c>
      <c r="J79" s="31" t="s">
        <v>702</v>
      </c>
      <c r="K79" s="311">
        <v>11896</v>
      </c>
      <c r="L79"/>
      <c r="M79"/>
    </row>
    <row r="80" spans="1:13">
      <c r="A80" s="31" t="s">
        <v>3496</v>
      </c>
      <c r="B80" s="31" t="s">
        <v>3640</v>
      </c>
      <c r="C80" s="31">
        <v>2110528</v>
      </c>
      <c r="D80" s="31"/>
      <c r="E80" s="311">
        <v>12106</v>
      </c>
      <c r="F80" s="311"/>
      <c r="G80" s="311">
        <v>12485</v>
      </c>
      <c r="H80" s="31" t="s">
        <v>3215</v>
      </c>
      <c r="I80" s="31" t="s">
        <v>3562</v>
      </c>
      <c r="J80" s="31" t="s">
        <v>702</v>
      </c>
      <c r="K80" s="311">
        <v>11701</v>
      </c>
      <c r="L80"/>
      <c r="M80"/>
    </row>
    <row r="81" spans="1:13">
      <c r="A81" s="31" t="s">
        <v>3496</v>
      </c>
      <c r="B81" s="31" t="s">
        <v>3640</v>
      </c>
      <c r="C81" s="31">
        <v>2110669</v>
      </c>
      <c r="D81" s="31"/>
      <c r="E81" s="311">
        <v>11506</v>
      </c>
      <c r="F81" s="311"/>
      <c r="G81" s="311">
        <v>12485</v>
      </c>
      <c r="H81" s="31" t="s">
        <v>3215</v>
      </c>
      <c r="I81" s="31" t="s">
        <v>3563</v>
      </c>
      <c r="J81" s="31" t="s">
        <v>845</v>
      </c>
      <c r="K81" s="311">
        <v>11142</v>
      </c>
      <c r="L81"/>
      <c r="M81"/>
    </row>
    <row r="82" spans="1:13">
      <c r="A82" s="31" t="s">
        <v>3496</v>
      </c>
      <c r="B82" s="31" t="s">
        <v>3640</v>
      </c>
      <c r="C82" s="31">
        <v>2110672</v>
      </c>
      <c r="D82" s="31"/>
      <c r="E82" s="311">
        <v>12118</v>
      </c>
      <c r="F82" s="311"/>
      <c r="G82" s="311">
        <v>12485</v>
      </c>
      <c r="H82" s="31" t="s">
        <v>3215</v>
      </c>
      <c r="I82" s="31" t="s">
        <v>3369</v>
      </c>
      <c r="J82" s="31" t="s">
        <v>845</v>
      </c>
      <c r="K82" s="311">
        <v>11770</v>
      </c>
      <c r="L82"/>
      <c r="M82"/>
    </row>
    <row r="83" spans="1:13">
      <c r="A83" s="31" t="s">
        <v>3496</v>
      </c>
      <c r="B83" s="31" t="s">
        <v>3640</v>
      </c>
      <c r="C83" s="31">
        <v>2110719</v>
      </c>
      <c r="D83" s="31"/>
      <c r="E83" s="311">
        <v>11751</v>
      </c>
      <c r="F83" s="311"/>
      <c r="G83" s="311">
        <v>12485</v>
      </c>
      <c r="H83" s="31" t="s">
        <v>3215</v>
      </c>
      <c r="I83" s="31" t="s">
        <v>3564</v>
      </c>
      <c r="J83" s="31" t="s">
        <v>702</v>
      </c>
      <c r="K83" s="311">
        <v>11397</v>
      </c>
      <c r="L83"/>
      <c r="M83"/>
    </row>
    <row r="84" spans="1:13">
      <c r="A84" s="31" t="s">
        <v>3496</v>
      </c>
      <c r="B84" s="31" t="s">
        <v>3640</v>
      </c>
      <c r="C84" s="31">
        <v>2111408</v>
      </c>
      <c r="D84" s="31"/>
      <c r="E84" s="311">
        <v>12230</v>
      </c>
      <c r="F84" s="311"/>
      <c r="G84" s="311">
        <v>12492</v>
      </c>
      <c r="H84" s="31" t="s">
        <v>3215</v>
      </c>
      <c r="I84" s="31" t="s">
        <v>3565</v>
      </c>
      <c r="J84" s="31" t="s">
        <v>845</v>
      </c>
      <c r="K84" s="311">
        <v>11978</v>
      </c>
      <c r="L84"/>
      <c r="M84"/>
    </row>
    <row r="85" spans="1:13">
      <c r="A85" s="31" t="s">
        <v>3496</v>
      </c>
      <c r="B85" s="31" t="s">
        <v>3640</v>
      </c>
      <c r="C85" s="31">
        <v>2111416</v>
      </c>
      <c r="D85" s="31"/>
      <c r="E85" s="311">
        <v>12024</v>
      </c>
      <c r="F85" s="311"/>
      <c r="G85" s="311">
        <v>12492</v>
      </c>
      <c r="H85" s="31" t="s">
        <v>3215</v>
      </c>
      <c r="I85" s="31" t="s">
        <v>3703</v>
      </c>
      <c r="J85" s="31" t="s">
        <v>2781</v>
      </c>
      <c r="K85" s="311">
        <v>11668</v>
      </c>
      <c r="L85"/>
      <c r="M85"/>
    </row>
    <row r="86" spans="1:13">
      <c r="A86" s="31" t="s">
        <v>3496</v>
      </c>
      <c r="B86" s="31" t="s">
        <v>3640</v>
      </c>
      <c r="C86" s="31">
        <v>2111423</v>
      </c>
      <c r="D86" s="31"/>
      <c r="E86" s="311">
        <v>11786</v>
      </c>
      <c r="F86" s="311"/>
      <c r="G86" s="311">
        <v>12492</v>
      </c>
      <c r="H86" s="31" t="s">
        <v>3215</v>
      </c>
      <c r="I86" s="31" t="s">
        <v>3704</v>
      </c>
      <c r="J86" s="31" t="s">
        <v>702</v>
      </c>
      <c r="K86" s="311">
        <v>11617</v>
      </c>
      <c r="L86"/>
      <c r="M86"/>
    </row>
    <row r="87" spans="1:13">
      <c r="A87" s="31" t="s">
        <v>3496</v>
      </c>
      <c r="B87" s="31" t="s">
        <v>3640</v>
      </c>
      <c r="C87" s="31">
        <v>2112743</v>
      </c>
      <c r="D87" s="31"/>
      <c r="E87" s="311">
        <v>11173</v>
      </c>
      <c r="F87" s="311"/>
      <c r="G87" s="311">
        <v>12506</v>
      </c>
      <c r="H87" s="31" t="s">
        <v>3215</v>
      </c>
      <c r="I87" s="31" t="s">
        <v>3705</v>
      </c>
      <c r="J87" s="31" t="s">
        <v>702</v>
      </c>
      <c r="K87" s="311">
        <v>10819</v>
      </c>
      <c r="L87"/>
      <c r="M87"/>
    </row>
    <row r="88" spans="1:13">
      <c r="A88" s="31" t="s">
        <v>3496</v>
      </c>
      <c r="B88" s="31" t="s">
        <v>3640</v>
      </c>
      <c r="C88" s="31">
        <v>2114183</v>
      </c>
      <c r="D88" s="31"/>
      <c r="E88" s="311">
        <v>11283</v>
      </c>
      <c r="F88" s="311"/>
      <c r="G88" s="311">
        <v>12520</v>
      </c>
      <c r="H88" s="31" t="s">
        <v>3215</v>
      </c>
      <c r="I88" s="31" t="s">
        <v>3706</v>
      </c>
      <c r="J88" s="31" t="s">
        <v>845</v>
      </c>
      <c r="K88" s="311">
        <v>11002</v>
      </c>
      <c r="L88"/>
      <c r="M88"/>
    </row>
    <row r="89" spans="1:13">
      <c r="A89" s="31" t="s">
        <v>3496</v>
      </c>
      <c r="B89" s="31" t="s">
        <v>3640</v>
      </c>
      <c r="C89" s="31">
        <v>2114840</v>
      </c>
      <c r="D89" s="31"/>
      <c r="E89" s="311">
        <v>11653</v>
      </c>
      <c r="F89" s="311"/>
      <c r="G89" s="311">
        <v>12527</v>
      </c>
      <c r="H89" s="31" t="s">
        <v>3215</v>
      </c>
      <c r="I89" s="31" t="s">
        <v>3707</v>
      </c>
      <c r="J89" s="31" t="s">
        <v>845</v>
      </c>
      <c r="K89" s="311">
        <v>11303</v>
      </c>
      <c r="L89"/>
      <c r="M89"/>
    </row>
    <row r="90" spans="1:13">
      <c r="A90" s="31" t="s">
        <v>3496</v>
      </c>
      <c r="B90" s="31" t="s">
        <v>3640</v>
      </c>
      <c r="C90" s="31">
        <v>2114847</v>
      </c>
      <c r="D90" s="31"/>
      <c r="E90" s="311">
        <v>11134</v>
      </c>
      <c r="F90" s="311"/>
      <c r="G90" s="311">
        <v>12527</v>
      </c>
      <c r="H90" s="31" t="s">
        <v>3215</v>
      </c>
      <c r="I90" s="31" t="s">
        <v>3708</v>
      </c>
      <c r="J90" s="31" t="s">
        <v>2714</v>
      </c>
      <c r="K90" s="311">
        <v>10813</v>
      </c>
      <c r="L90"/>
      <c r="M90"/>
    </row>
    <row r="91" spans="1:13">
      <c r="A91" s="31" t="s">
        <v>3496</v>
      </c>
      <c r="B91" s="31" t="s">
        <v>3640</v>
      </c>
      <c r="C91" s="31">
        <v>2114856</v>
      </c>
      <c r="D91" s="31"/>
      <c r="E91" s="311">
        <v>12316</v>
      </c>
      <c r="F91" s="311"/>
      <c r="G91" s="311">
        <v>12527</v>
      </c>
      <c r="H91" s="31" t="s">
        <v>3215</v>
      </c>
      <c r="I91" s="31" t="s">
        <v>3709</v>
      </c>
      <c r="J91" s="31" t="s">
        <v>845</v>
      </c>
      <c r="K91" s="311">
        <v>11970</v>
      </c>
      <c r="L91"/>
      <c r="M91"/>
    </row>
    <row r="92" spans="1:13">
      <c r="A92" s="31" t="s">
        <v>3496</v>
      </c>
      <c r="B92" s="31" t="s">
        <v>3640</v>
      </c>
      <c r="C92" s="31">
        <v>2114888</v>
      </c>
      <c r="D92" s="31"/>
      <c r="E92" s="311">
        <v>12103</v>
      </c>
      <c r="F92" s="311"/>
      <c r="G92" s="311">
        <v>12527</v>
      </c>
      <c r="H92" s="31" t="s">
        <v>3215</v>
      </c>
      <c r="I92" s="31" t="s">
        <v>3572</v>
      </c>
      <c r="J92" s="31" t="s">
        <v>845</v>
      </c>
      <c r="K92" s="311">
        <v>11828</v>
      </c>
      <c r="L92"/>
      <c r="M92"/>
    </row>
    <row r="93" spans="1:13">
      <c r="A93" s="31" t="s">
        <v>3496</v>
      </c>
      <c r="B93" s="31" t="s">
        <v>3640</v>
      </c>
      <c r="C93" s="31">
        <v>2115595</v>
      </c>
      <c r="D93" s="31"/>
      <c r="E93" s="311">
        <v>11817</v>
      </c>
      <c r="F93" s="311"/>
      <c r="G93" s="311">
        <v>12534</v>
      </c>
      <c r="H93" s="31" t="s">
        <v>3215</v>
      </c>
      <c r="I93" s="31" t="s">
        <v>3573</v>
      </c>
      <c r="J93" s="31" t="s">
        <v>3133</v>
      </c>
      <c r="K93" s="311">
        <v>11604</v>
      </c>
      <c r="L93"/>
      <c r="M93"/>
    </row>
    <row r="94" spans="1:13">
      <c r="A94" s="31" t="s">
        <v>3496</v>
      </c>
      <c r="B94" s="31" t="s">
        <v>3640</v>
      </c>
      <c r="C94" s="31">
        <v>2116385</v>
      </c>
      <c r="D94" s="31"/>
      <c r="E94" s="311">
        <v>12037</v>
      </c>
      <c r="F94" s="311"/>
      <c r="G94" s="311">
        <v>12541</v>
      </c>
      <c r="H94" s="31" t="s">
        <v>3215</v>
      </c>
      <c r="I94" s="31" t="s">
        <v>3713</v>
      </c>
      <c r="J94" s="31" t="s">
        <v>702</v>
      </c>
      <c r="K94" s="311">
        <v>11673</v>
      </c>
      <c r="L94"/>
      <c r="M94"/>
    </row>
    <row r="95" spans="1:13">
      <c r="A95" s="31" t="s">
        <v>3496</v>
      </c>
      <c r="B95" s="31" t="s">
        <v>3640</v>
      </c>
      <c r="C95" s="31">
        <v>2116401</v>
      </c>
      <c r="D95" s="31"/>
      <c r="E95" s="311">
        <v>12206</v>
      </c>
      <c r="F95" s="311"/>
      <c r="G95" s="311">
        <v>12541</v>
      </c>
      <c r="H95" s="31" t="s">
        <v>3215</v>
      </c>
      <c r="I95" s="31" t="s">
        <v>3714</v>
      </c>
      <c r="J95" s="31" t="s">
        <v>3133</v>
      </c>
      <c r="K95" s="311">
        <v>11942</v>
      </c>
      <c r="L95"/>
      <c r="M95"/>
    </row>
    <row r="96" spans="1:13">
      <c r="A96" s="31" t="s">
        <v>3496</v>
      </c>
      <c r="B96" s="31" t="s">
        <v>3640</v>
      </c>
      <c r="C96" s="31">
        <v>2116435</v>
      </c>
      <c r="D96" s="31"/>
      <c r="E96" s="311">
        <v>11941</v>
      </c>
      <c r="F96" s="311"/>
      <c r="G96" s="311">
        <v>12541</v>
      </c>
      <c r="H96" s="31" t="s">
        <v>3215</v>
      </c>
      <c r="I96" s="31" t="s">
        <v>3715</v>
      </c>
      <c r="J96" s="31" t="s">
        <v>845</v>
      </c>
      <c r="K96" s="311">
        <v>11616</v>
      </c>
      <c r="L96"/>
      <c r="M96"/>
    </row>
    <row r="97" spans="1:13">
      <c r="A97" s="31" t="s">
        <v>3496</v>
      </c>
      <c r="B97" s="31" t="s">
        <v>3640</v>
      </c>
      <c r="C97" s="31">
        <v>2116440</v>
      </c>
      <c r="D97" s="31"/>
      <c r="E97" s="311">
        <v>12144</v>
      </c>
      <c r="F97" s="311"/>
      <c r="G97" s="311">
        <v>12541</v>
      </c>
      <c r="H97" s="31" t="s">
        <v>3215</v>
      </c>
      <c r="I97" s="31" t="s">
        <v>3544</v>
      </c>
      <c r="J97" s="31" t="s">
        <v>845</v>
      </c>
      <c r="K97" s="311">
        <v>11795</v>
      </c>
      <c r="L97"/>
      <c r="M97"/>
    </row>
    <row r="98" spans="1:13">
      <c r="A98" s="31" t="s">
        <v>3496</v>
      </c>
      <c r="B98" s="31" t="s">
        <v>3640</v>
      </c>
      <c r="C98" s="31">
        <v>2116709</v>
      </c>
      <c r="D98" s="31"/>
      <c r="E98" s="311">
        <v>12222</v>
      </c>
      <c r="F98" s="311"/>
      <c r="G98" s="311">
        <v>12548</v>
      </c>
      <c r="H98" s="31" t="s">
        <v>3215</v>
      </c>
      <c r="I98" s="31" t="s">
        <v>3716</v>
      </c>
      <c r="J98" s="31" t="s">
        <v>845</v>
      </c>
      <c r="K98" s="311">
        <v>11863</v>
      </c>
      <c r="L98"/>
      <c r="M98"/>
    </row>
    <row r="99" spans="1:13">
      <c r="A99" s="31" t="s">
        <v>3496</v>
      </c>
      <c r="B99" s="31" t="s">
        <v>3640</v>
      </c>
      <c r="C99" s="31">
        <v>2117892</v>
      </c>
      <c r="D99" s="31"/>
      <c r="E99" s="311">
        <v>11917</v>
      </c>
      <c r="F99" s="311"/>
      <c r="G99" s="311">
        <v>12555</v>
      </c>
      <c r="H99" s="31" t="s">
        <v>3215</v>
      </c>
      <c r="I99" s="31" t="s">
        <v>3528</v>
      </c>
      <c r="J99" s="31" t="s">
        <v>845</v>
      </c>
      <c r="K99" s="311">
        <v>11555</v>
      </c>
      <c r="L99"/>
      <c r="M99"/>
    </row>
    <row r="100" spans="1:13">
      <c r="A100" s="31" t="s">
        <v>3496</v>
      </c>
      <c r="B100" s="31" t="s">
        <v>3640</v>
      </c>
      <c r="C100" s="31">
        <v>2117908</v>
      </c>
      <c r="D100" s="31"/>
      <c r="E100" s="311">
        <v>11967</v>
      </c>
      <c r="F100" s="311"/>
      <c r="G100" s="311">
        <v>12555</v>
      </c>
      <c r="H100" s="31" t="s">
        <v>3215</v>
      </c>
      <c r="I100" s="31" t="s">
        <v>3717</v>
      </c>
      <c r="J100" s="31" t="s">
        <v>3133</v>
      </c>
      <c r="K100" s="311">
        <v>11621</v>
      </c>
      <c r="L100"/>
      <c r="M100"/>
    </row>
    <row r="101" spans="1:13">
      <c r="A101" s="31" t="s">
        <v>3496</v>
      </c>
      <c r="B101" s="31" t="s">
        <v>3640</v>
      </c>
      <c r="C101" s="31">
        <v>2118652</v>
      </c>
      <c r="D101" s="31"/>
      <c r="E101" s="311">
        <v>11487</v>
      </c>
      <c r="F101" s="311"/>
      <c r="G101" s="311">
        <v>12562</v>
      </c>
      <c r="H101" s="31" t="s">
        <v>3215</v>
      </c>
      <c r="I101" s="31" t="s">
        <v>3859</v>
      </c>
      <c r="J101" s="31" t="s">
        <v>845</v>
      </c>
      <c r="K101" s="311">
        <v>11346</v>
      </c>
      <c r="L101"/>
      <c r="M101"/>
    </row>
    <row r="102" spans="1:13">
      <c r="A102" s="31" t="s">
        <v>3496</v>
      </c>
      <c r="B102" s="31" t="s">
        <v>3640</v>
      </c>
      <c r="C102" s="31">
        <v>2118653</v>
      </c>
      <c r="D102" s="31"/>
      <c r="E102" s="311">
        <v>11487</v>
      </c>
      <c r="F102" s="311"/>
      <c r="G102" s="311">
        <v>12562</v>
      </c>
      <c r="H102" s="31" t="s">
        <v>3215</v>
      </c>
      <c r="I102" s="31" t="s">
        <v>3859</v>
      </c>
      <c r="J102" s="31" t="s">
        <v>845</v>
      </c>
      <c r="K102" s="311">
        <v>11192</v>
      </c>
      <c r="L102"/>
      <c r="M102"/>
    </row>
    <row r="103" spans="1:13">
      <c r="A103" s="31" t="s">
        <v>3496</v>
      </c>
      <c r="B103" s="31" t="s">
        <v>3640</v>
      </c>
      <c r="C103" s="31">
        <v>2118654</v>
      </c>
      <c r="D103" s="31"/>
      <c r="E103" s="311">
        <v>11492</v>
      </c>
      <c r="F103" s="311"/>
      <c r="G103" s="311">
        <v>12562</v>
      </c>
      <c r="H103" s="31" t="s">
        <v>3215</v>
      </c>
      <c r="I103" s="31" t="s">
        <v>3859</v>
      </c>
      <c r="J103" s="31" t="s">
        <v>845</v>
      </c>
      <c r="K103" s="311">
        <v>11294</v>
      </c>
      <c r="L103"/>
      <c r="M103"/>
    </row>
    <row r="104" spans="1:13">
      <c r="A104" s="31" t="s">
        <v>3496</v>
      </c>
      <c r="B104" s="31" t="s">
        <v>3640</v>
      </c>
      <c r="C104" s="31">
        <v>2118691</v>
      </c>
      <c r="D104" s="31"/>
      <c r="E104" s="311">
        <v>11763</v>
      </c>
      <c r="F104" s="311"/>
      <c r="G104" s="311">
        <v>12562</v>
      </c>
      <c r="H104" s="31" t="s">
        <v>3215</v>
      </c>
      <c r="I104" s="31" t="s">
        <v>3860</v>
      </c>
      <c r="J104" s="31" t="s">
        <v>702</v>
      </c>
      <c r="K104" s="311">
        <v>11406</v>
      </c>
      <c r="L104"/>
      <c r="M104"/>
    </row>
    <row r="105" spans="1:13">
      <c r="A105" s="31" t="s">
        <v>3496</v>
      </c>
      <c r="B105" s="31" t="s">
        <v>3640</v>
      </c>
      <c r="C105" s="31">
        <v>2119400</v>
      </c>
      <c r="D105" s="31"/>
      <c r="E105" s="311">
        <v>11835</v>
      </c>
      <c r="F105" s="311"/>
      <c r="G105" s="311">
        <v>12569</v>
      </c>
      <c r="H105" s="31" t="s">
        <v>3215</v>
      </c>
      <c r="I105" s="31" t="s">
        <v>3861</v>
      </c>
      <c r="J105" s="31" t="s">
        <v>845</v>
      </c>
      <c r="K105" s="311">
        <v>11477</v>
      </c>
      <c r="L105"/>
      <c r="M105"/>
    </row>
    <row r="106" spans="1:13">
      <c r="A106" s="31" t="s">
        <v>3496</v>
      </c>
      <c r="B106" s="31" t="s">
        <v>3640</v>
      </c>
      <c r="C106" s="31">
        <v>2120848</v>
      </c>
      <c r="D106" s="31"/>
      <c r="E106" s="311">
        <v>12262</v>
      </c>
      <c r="F106" s="311"/>
      <c r="G106" s="311">
        <v>12583</v>
      </c>
      <c r="H106" s="31" t="s">
        <v>3215</v>
      </c>
      <c r="I106" s="31" t="s">
        <v>3862</v>
      </c>
      <c r="J106" s="31" t="s">
        <v>702</v>
      </c>
      <c r="K106" s="311">
        <v>11996</v>
      </c>
      <c r="L106"/>
      <c r="M106"/>
    </row>
    <row r="107" spans="1:13">
      <c r="A107" s="31" t="s">
        <v>3496</v>
      </c>
      <c r="B107" s="31" t="s">
        <v>3640</v>
      </c>
      <c r="C107" s="31">
        <v>2120909</v>
      </c>
      <c r="D107" s="31"/>
      <c r="E107" s="311">
        <v>12233</v>
      </c>
      <c r="F107" s="311"/>
      <c r="G107" s="311">
        <v>12583</v>
      </c>
      <c r="H107" s="31" t="s">
        <v>3215</v>
      </c>
      <c r="I107" s="31" t="s">
        <v>3863</v>
      </c>
      <c r="J107" s="31" t="s">
        <v>845</v>
      </c>
      <c r="K107" s="311">
        <v>11873</v>
      </c>
      <c r="L107"/>
      <c r="M107"/>
    </row>
    <row r="108" spans="1:13">
      <c r="A108" s="31" t="s">
        <v>3496</v>
      </c>
      <c r="B108" s="31" t="s">
        <v>3640</v>
      </c>
      <c r="C108" s="31">
        <v>2121623</v>
      </c>
      <c r="D108" s="31"/>
      <c r="E108" s="311">
        <v>11842</v>
      </c>
      <c r="F108" s="311"/>
      <c r="G108" s="311">
        <v>12590</v>
      </c>
      <c r="H108" s="31" t="s">
        <v>3215</v>
      </c>
      <c r="I108" s="31" t="s">
        <v>3864</v>
      </c>
      <c r="J108" s="31" t="s">
        <v>845</v>
      </c>
      <c r="K108" s="311">
        <v>11481</v>
      </c>
      <c r="L108"/>
      <c r="M108"/>
    </row>
    <row r="109" spans="1:13">
      <c r="A109" s="31" t="s">
        <v>3496</v>
      </c>
      <c r="B109" s="31" t="s">
        <v>3640</v>
      </c>
      <c r="C109" s="31">
        <v>2122273</v>
      </c>
      <c r="D109" s="31"/>
      <c r="E109" s="311">
        <v>12304</v>
      </c>
      <c r="F109" s="311"/>
      <c r="G109" s="311">
        <v>12597</v>
      </c>
      <c r="H109" s="31" t="s">
        <v>3215</v>
      </c>
      <c r="I109" s="31" t="s">
        <v>3865</v>
      </c>
      <c r="J109" s="31" t="s">
        <v>702</v>
      </c>
      <c r="K109" s="311">
        <v>11997</v>
      </c>
      <c r="L109"/>
      <c r="M109"/>
    </row>
    <row r="110" spans="1:13">
      <c r="A110" s="31" t="s">
        <v>3496</v>
      </c>
      <c r="B110" s="31" t="s">
        <v>3640</v>
      </c>
      <c r="C110" s="31">
        <v>2122304</v>
      </c>
      <c r="D110" s="31"/>
      <c r="E110" s="311">
        <v>12085</v>
      </c>
      <c r="F110" s="311"/>
      <c r="G110" s="311">
        <v>12597</v>
      </c>
      <c r="H110" s="31" t="s">
        <v>3215</v>
      </c>
      <c r="I110" s="31" t="s">
        <v>3653</v>
      </c>
      <c r="J110" s="31" t="s">
        <v>845</v>
      </c>
      <c r="K110" s="311">
        <v>11746</v>
      </c>
      <c r="L110"/>
      <c r="M110"/>
    </row>
    <row r="111" spans="1:13">
      <c r="A111" s="31" t="s">
        <v>3496</v>
      </c>
      <c r="B111" s="31" t="s">
        <v>3640</v>
      </c>
      <c r="C111" s="31">
        <v>2123038</v>
      </c>
      <c r="D111" s="31"/>
      <c r="E111" s="311">
        <v>12002</v>
      </c>
      <c r="F111" s="311"/>
      <c r="G111" s="311">
        <v>12604</v>
      </c>
      <c r="H111" s="31" t="s">
        <v>3215</v>
      </c>
      <c r="I111" s="31" t="s">
        <v>3388</v>
      </c>
      <c r="J111" s="31" t="s">
        <v>845</v>
      </c>
      <c r="K111" s="311">
        <v>11639</v>
      </c>
      <c r="L111"/>
      <c r="M111"/>
    </row>
    <row r="112" spans="1:13">
      <c r="A112" s="31" t="s">
        <v>3496</v>
      </c>
      <c r="B112" s="31" t="s">
        <v>3640</v>
      </c>
      <c r="C112" s="31">
        <v>2123064</v>
      </c>
      <c r="D112" s="31"/>
      <c r="E112" s="311">
        <v>12184</v>
      </c>
      <c r="F112" s="311"/>
      <c r="G112" s="311">
        <v>12604</v>
      </c>
      <c r="H112" s="31" t="s">
        <v>3215</v>
      </c>
      <c r="I112" s="31" t="s">
        <v>3866</v>
      </c>
      <c r="J112" s="31" t="s">
        <v>845</v>
      </c>
      <c r="K112" s="311">
        <v>11991</v>
      </c>
      <c r="L112"/>
      <c r="M112"/>
    </row>
    <row r="113" spans="1:13">
      <c r="A113" s="31" t="s">
        <v>3496</v>
      </c>
      <c r="B113" s="31" t="s">
        <v>3640</v>
      </c>
      <c r="C113" s="31">
        <v>2123376</v>
      </c>
      <c r="D113" s="31"/>
      <c r="E113" s="311">
        <v>11942</v>
      </c>
      <c r="F113" s="311"/>
      <c r="G113" s="311">
        <v>12611</v>
      </c>
      <c r="H113" s="31" t="s">
        <v>3215</v>
      </c>
      <c r="I113" s="31" t="s">
        <v>3867</v>
      </c>
      <c r="J113" s="31" t="s">
        <v>845</v>
      </c>
      <c r="K113" s="311">
        <v>11604</v>
      </c>
      <c r="L113"/>
      <c r="M113"/>
    </row>
    <row r="114" spans="1:13">
      <c r="A114" s="31" t="s">
        <v>3496</v>
      </c>
      <c r="B114" s="31" t="s">
        <v>3640</v>
      </c>
      <c r="C114" s="31">
        <v>2123747</v>
      </c>
      <c r="D114" s="31"/>
      <c r="E114" s="311">
        <v>12107</v>
      </c>
      <c r="F114" s="311"/>
      <c r="G114" s="311">
        <v>12611</v>
      </c>
      <c r="H114" s="31" t="s">
        <v>3215</v>
      </c>
      <c r="I114" s="31" t="s">
        <v>3686</v>
      </c>
      <c r="J114" s="31" t="s">
        <v>845</v>
      </c>
      <c r="K114" s="311">
        <v>11747</v>
      </c>
      <c r="L114"/>
      <c r="M114"/>
    </row>
    <row r="115" spans="1:13">
      <c r="A115" s="31" t="s">
        <v>3496</v>
      </c>
      <c r="B115" s="31" t="s">
        <v>3640</v>
      </c>
      <c r="C115" s="31">
        <v>2124433</v>
      </c>
      <c r="D115" s="31"/>
      <c r="E115" s="311">
        <v>12473</v>
      </c>
      <c r="F115" s="311"/>
      <c r="G115" s="311">
        <v>12618</v>
      </c>
      <c r="H115" s="31" t="s">
        <v>3215</v>
      </c>
      <c r="I115" s="31" t="s">
        <v>3868</v>
      </c>
      <c r="J115" s="31" t="s">
        <v>845</v>
      </c>
      <c r="K115" s="311">
        <v>12115</v>
      </c>
      <c r="L115"/>
      <c r="M115"/>
    </row>
    <row r="116" spans="1:13">
      <c r="A116" s="31" t="s">
        <v>3496</v>
      </c>
      <c r="B116" s="31" t="s">
        <v>3640</v>
      </c>
      <c r="C116" s="31">
        <v>2125151</v>
      </c>
      <c r="D116" s="31"/>
      <c r="E116" s="311">
        <v>12110</v>
      </c>
      <c r="F116" s="311"/>
      <c r="G116" s="311">
        <v>12625</v>
      </c>
      <c r="H116" s="31" t="s">
        <v>3215</v>
      </c>
      <c r="I116" s="31" t="s">
        <v>3724</v>
      </c>
      <c r="J116" s="31" t="s">
        <v>845</v>
      </c>
      <c r="K116" s="311">
        <v>11752</v>
      </c>
      <c r="L116"/>
      <c r="M116"/>
    </row>
    <row r="117" spans="1:13">
      <c r="A117" s="31" t="s">
        <v>3496</v>
      </c>
      <c r="B117" s="31" t="s">
        <v>3640</v>
      </c>
      <c r="C117" s="31">
        <v>2128122</v>
      </c>
      <c r="D117" s="31"/>
      <c r="E117" s="311">
        <v>12005</v>
      </c>
      <c r="F117" s="311"/>
      <c r="G117" s="311">
        <v>12653</v>
      </c>
      <c r="H117" s="31" t="s">
        <v>3215</v>
      </c>
      <c r="I117" s="31" t="s">
        <v>3725</v>
      </c>
      <c r="J117" s="31" t="s">
        <v>845</v>
      </c>
      <c r="K117" s="311">
        <v>11665</v>
      </c>
      <c r="L117"/>
      <c r="M117"/>
    </row>
    <row r="118" spans="1:13">
      <c r="A118" s="31" t="s">
        <v>3496</v>
      </c>
      <c r="B118" s="31" t="s">
        <v>3640</v>
      </c>
      <c r="C118" s="31">
        <v>2128812</v>
      </c>
      <c r="D118" s="31"/>
      <c r="E118" s="311">
        <v>11977</v>
      </c>
      <c r="F118" s="311"/>
      <c r="G118" s="311">
        <v>12660</v>
      </c>
      <c r="H118" s="31" t="s">
        <v>3215</v>
      </c>
      <c r="I118" s="31" t="s">
        <v>3582</v>
      </c>
      <c r="J118" s="31" t="s">
        <v>845</v>
      </c>
      <c r="K118" s="311">
        <v>11626</v>
      </c>
      <c r="L118"/>
      <c r="M118"/>
    </row>
    <row r="119" spans="1:13">
      <c r="A119" s="31" t="s">
        <v>3496</v>
      </c>
      <c r="B119" s="31" t="s">
        <v>3640</v>
      </c>
      <c r="C119" s="31">
        <v>2129535</v>
      </c>
      <c r="D119" s="31"/>
      <c r="E119" s="311">
        <v>12087</v>
      </c>
      <c r="F119" s="311"/>
      <c r="G119" s="311">
        <v>12667</v>
      </c>
      <c r="H119" s="31" t="s">
        <v>3215</v>
      </c>
      <c r="I119" s="31" t="s">
        <v>3583</v>
      </c>
      <c r="J119" s="31" t="s">
        <v>845</v>
      </c>
      <c r="K119" s="311">
        <v>11886</v>
      </c>
      <c r="L119"/>
      <c r="M119"/>
    </row>
    <row r="120" spans="1:13">
      <c r="A120" s="31" t="s">
        <v>3496</v>
      </c>
      <c r="B120" s="31" t="s">
        <v>3640</v>
      </c>
      <c r="C120" s="31">
        <v>2130882</v>
      </c>
      <c r="D120" s="31"/>
      <c r="E120" s="311">
        <v>11283</v>
      </c>
      <c r="F120" s="311"/>
      <c r="G120" s="311">
        <v>12681</v>
      </c>
      <c r="H120" s="31" t="s">
        <v>3215</v>
      </c>
      <c r="I120" s="31" t="s">
        <v>3584</v>
      </c>
      <c r="J120" s="31" t="s">
        <v>845</v>
      </c>
      <c r="K120" s="311">
        <v>10965</v>
      </c>
      <c r="L120"/>
      <c r="M120"/>
    </row>
    <row r="121" spans="1:13">
      <c r="A121" s="31" t="s">
        <v>3496</v>
      </c>
      <c r="B121" s="31" t="s">
        <v>3640</v>
      </c>
      <c r="C121" s="31">
        <v>2130999</v>
      </c>
      <c r="D121" s="31"/>
      <c r="E121" s="311">
        <v>12099</v>
      </c>
      <c r="F121" s="311"/>
      <c r="G121" s="311">
        <v>12681</v>
      </c>
      <c r="H121" s="31" t="s">
        <v>3215</v>
      </c>
      <c r="I121" s="31" t="s">
        <v>3585</v>
      </c>
      <c r="J121" s="31" t="s">
        <v>845</v>
      </c>
      <c r="K121" s="311">
        <v>11746</v>
      </c>
      <c r="L121"/>
      <c r="M121"/>
    </row>
    <row r="122" spans="1:13">
      <c r="A122" s="31" t="s">
        <v>3496</v>
      </c>
      <c r="B122" s="31" t="s">
        <v>3640</v>
      </c>
      <c r="C122" s="31">
        <v>2131000</v>
      </c>
      <c r="D122" s="31"/>
      <c r="E122" s="311">
        <v>12207</v>
      </c>
      <c r="F122" s="311"/>
      <c r="G122" s="311">
        <v>12681</v>
      </c>
      <c r="H122" s="31" t="s">
        <v>3215</v>
      </c>
      <c r="I122" s="31" t="s">
        <v>3585</v>
      </c>
      <c r="J122" s="31" t="s">
        <v>845</v>
      </c>
      <c r="K122" s="311">
        <v>11864</v>
      </c>
      <c r="L122"/>
      <c r="M122"/>
    </row>
    <row r="123" spans="1:13">
      <c r="A123" s="31" t="s">
        <v>3496</v>
      </c>
      <c r="B123" s="31" t="s">
        <v>3640</v>
      </c>
      <c r="C123" s="31">
        <v>2131588</v>
      </c>
      <c r="D123" s="31"/>
      <c r="E123" s="311">
        <v>12078</v>
      </c>
      <c r="F123" s="311"/>
      <c r="G123" s="311">
        <v>12688</v>
      </c>
      <c r="H123" s="31" t="s">
        <v>3215</v>
      </c>
      <c r="I123" s="31" t="s">
        <v>3586</v>
      </c>
      <c r="J123" s="31" t="s">
        <v>702</v>
      </c>
      <c r="K123" s="311">
        <v>11721</v>
      </c>
      <c r="L123"/>
      <c r="M123"/>
    </row>
    <row r="124" spans="1:13">
      <c r="A124" s="31" t="s">
        <v>3496</v>
      </c>
      <c r="B124" s="31" t="s">
        <v>3640</v>
      </c>
      <c r="C124" s="31">
        <v>2133138</v>
      </c>
      <c r="D124" s="31"/>
      <c r="E124" s="311">
        <v>11812</v>
      </c>
      <c r="F124" s="311"/>
      <c r="G124" s="311">
        <v>12702</v>
      </c>
      <c r="H124" s="31" t="s">
        <v>3215</v>
      </c>
      <c r="I124" s="31" t="s">
        <v>3707</v>
      </c>
      <c r="J124" s="31" t="s">
        <v>845</v>
      </c>
      <c r="K124" s="311">
        <v>11466</v>
      </c>
      <c r="L124"/>
      <c r="M124"/>
    </row>
    <row r="125" spans="1:13">
      <c r="A125" s="31" t="s">
        <v>3496</v>
      </c>
      <c r="B125" s="31" t="s">
        <v>3640</v>
      </c>
      <c r="C125" s="31">
        <v>2133152</v>
      </c>
      <c r="D125" s="31"/>
      <c r="E125" s="311">
        <v>11444</v>
      </c>
      <c r="F125" s="311"/>
      <c r="G125" s="311">
        <v>12702</v>
      </c>
      <c r="H125" s="31" t="s">
        <v>3215</v>
      </c>
      <c r="I125" s="31" t="s">
        <v>3587</v>
      </c>
      <c r="J125" s="31" t="s">
        <v>3133</v>
      </c>
      <c r="K125" s="311">
        <v>11116</v>
      </c>
      <c r="L125"/>
      <c r="M125"/>
    </row>
    <row r="126" spans="1:13">
      <c r="A126" s="31" t="s">
        <v>3496</v>
      </c>
      <c r="B126" s="31" t="s">
        <v>3640</v>
      </c>
      <c r="C126" s="31">
        <v>2133857</v>
      </c>
      <c r="D126" s="31"/>
      <c r="E126" s="311">
        <v>11999</v>
      </c>
      <c r="F126" s="311"/>
      <c r="G126" s="311">
        <v>12709</v>
      </c>
      <c r="H126" s="31" t="s">
        <v>3215</v>
      </c>
      <c r="I126" s="31" t="s">
        <v>3707</v>
      </c>
      <c r="J126" s="31" t="s">
        <v>845</v>
      </c>
      <c r="K126" s="311">
        <v>11668</v>
      </c>
      <c r="L126"/>
      <c r="M126"/>
    </row>
    <row r="127" spans="1:13">
      <c r="A127" s="31" t="s">
        <v>3496</v>
      </c>
      <c r="B127" s="31" t="s">
        <v>3640</v>
      </c>
      <c r="C127" s="31">
        <v>2134506</v>
      </c>
      <c r="D127" s="31"/>
      <c r="E127" s="311">
        <v>11483</v>
      </c>
      <c r="F127" s="311"/>
      <c r="G127" s="311">
        <v>12716</v>
      </c>
      <c r="H127" s="31" t="s">
        <v>3215</v>
      </c>
      <c r="I127" s="31" t="s">
        <v>3444</v>
      </c>
      <c r="J127" s="31" t="s">
        <v>845</v>
      </c>
      <c r="K127" s="311">
        <v>11120</v>
      </c>
      <c r="L127"/>
      <c r="M127"/>
    </row>
    <row r="128" spans="1:13">
      <c r="A128" s="31" t="s">
        <v>3496</v>
      </c>
      <c r="B128" s="31" t="s">
        <v>3640</v>
      </c>
      <c r="C128" s="31">
        <v>2134514</v>
      </c>
      <c r="D128" s="31"/>
      <c r="E128" s="311">
        <v>11404</v>
      </c>
      <c r="F128" s="311"/>
      <c r="G128" s="311">
        <v>12716</v>
      </c>
      <c r="H128" s="31" t="s">
        <v>3215</v>
      </c>
      <c r="I128" s="31" t="s">
        <v>3641</v>
      </c>
      <c r="J128" s="31" t="s">
        <v>845</v>
      </c>
      <c r="K128" s="311">
        <v>11416</v>
      </c>
      <c r="L128"/>
      <c r="M128"/>
    </row>
    <row r="129" spans="1:13">
      <c r="A129" s="31" t="s">
        <v>3496</v>
      </c>
      <c r="B129" s="31" t="s">
        <v>3640</v>
      </c>
      <c r="C129" s="31">
        <v>2134549</v>
      </c>
      <c r="D129" s="31"/>
      <c r="E129" s="311">
        <v>12289</v>
      </c>
      <c r="F129" s="311"/>
      <c r="G129" s="311">
        <v>12716</v>
      </c>
      <c r="H129" s="31" t="s">
        <v>3215</v>
      </c>
      <c r="I129" s="31" t="s">
        <v>3445</v>
      </c>
      <c r="J129" s="31" t="s">
        <v>702</v>
      </c>
      <c r="K129" s="311">
        <v>11946</v>
      </c>
      <c r="L129"/>
      <c r="M129"/>
    </row>
    <row r="130" spans="1:13">
      <c r="A130" s="31" t="s">
        <v>3496</v>
      </c>
      <c r="B130" s="31" t="s">
        <v>3640</v>
      </c>
      <c r="C130" s="31">
        <v>2135304</v>
      </c>
      <c r="D130" s="31"/>
      <c r="E130" s="311">
        <v>11855</v>
      </c>
      <c r="F130" s="311"/>
      <c r="G130" s="311">
        <v>12723</v>
      </c>
      <c r="H130" s="31" t="s">
        <v>3215</v>
      </c>
      <c r="I130" s="31" t="s">
        <v>3446</v>
      </c>
      <c r="J130" s="31" t="s">
        <v>845</v>
      </c>
      <c r="K130" s="311">
        <v>11586</v>
      </c>
      <c r="L130"/>
      <c r="M130"/>
    </row>
    <row r="131" spans="1:13">
      <c r="A131" s="31" t="s">
        <v>3496</v>
      </c>
      <c r="B131" s="31" t="s">
        <v>3640</v>
      </c>
      <c r="C131" s="31">
        <v>2135313</v>
      </c>
      <c r="D131" s="31"/>
      <c r="E131" s="311">
        <v>12276</v>
      </c>
      <c r="F131" s="311"/>
      <c r="G131" s="311">
        <v>12723</v>
      </c>
      <c r="H131" s="31" t="s">
        <v>3215</v>
      </c>
      <c r="I131" s="31" t="s">
        <v>3447</v>
      </c>
      <c r="J131" s="31" t="s">
        <v>845</v>
      </c>
      <c r="K131" s="311">
        <v>11942</v>
      </c>
      <c r="L131"/>
      <c r="M131"/>
    </row>
    <row r="132" spans="1:13">
      <c r="A132" s="31" t="s">
        <v>3496</v>
      </c>
      <c r="B132" s="31" t="s">
        <v>3640</v>
      </c>
      <c r="C132" s="31">
        <v>2136227</v>
      </c>
      <c r="D132" s="31"/>
      <c r="E132" s="311">
        <v>11501</v>
      </c>
      <c r="F132" s="311" t="s">
        <v>3448</v>
      </c>
      <c r="G132" s="311">
        <v>12730</v>
      </c>
      <c r="H132" s="31" t="s">
        <v>3215</v>
      </c>
      <c r="I132" s="31" t="s">
        <v>3438</v>
      </c>
      <c r="J132" s="31" t="s">
        <v>2781</v>
      </c>
      <c r="K132" s="311">
        <v>11142</v>
      </c>
      <c r="L132"/>
      <c r="M132"/>
    </row>
    <row r="133" spans="1:13">
      <c r="A133" s="31" t="s">
        <v>3496</v>
      </c>
      <c r="B133" s="31" t="s">
        <v>3640</v>
      </c>
      <c r="C133" s="31">
        <v>2137133</v>
      </c>
      <c r="D133" s="31"/>
      <c r="E133" s="311">
        <v>11126</v>
      </c>
      <c r="F133" s="311"/>
      <c r="G133" s="311">
        <v>12737</v>
      </c>
      <c r="H133" s="31" t="s">
        <v>3215</v>
      </c>
      <c r="I133" s="31" t="s">
        <v>3388</v>
      </c>
      <c r="J133" s="31" t="s">
        <v>845</v>
      </c>
      <c r="K133" s="311">
        <v>10771</v>
      </c>
      <c r="L133"/>
      <c r="M133"/>
    </row>
    <row r="134" spans="1:13">
      <c r="A134" s="31" t="s">
        <v>3496</v>
      </c>
      <c r="B134" s="31" t="s">
        <v>3640</v>
      </c>
      <c r="C134" s="31">
        <v>2137177</v>
      </c>
      <c r="D134" s="31"/>
      <c r="E134" s="311">
        <v>12012</v>
      </c>
      <c r="F134" s="311"/>
      <c r="G134" s="311">
        <v>12737</v>
      </c>
      <c r="H134" s="31" t="s">
        <v>3215</v>
      </c>
      <c r="I134" s="31" t="s">
        <v>3597</v>
      </c>
      <c r="J134" s="31" t="s">
        <v>845</v>
      </c>
      <c r="K134" s="311">
        <v>11647</v>
      </c>
      <c r="L134"/>
      <c r="M134"/>
    </row>
    <row r="135" spans="1:13">
      <c r="A135" s="31" t="s">
        <v>3496</v>
      </c>
      <c r="B135" s="31" t="s">
        <v>3640</v>
      </c>
      <c r="C135" s="31">
        <v>2137831</v>
      </c>
      <c r="D135" s="31"/>
      <c r="E135" s="311">
        <v>12199</v>
      </c>
      <c r="F135" s="311"/>
      <c r="G135" s="311">
        <v>12744</v>
      </c>
      <c r="H135" s="31" t="s">
        <v>3215</v>
      </c>
      <c r="I135" s="31" t="s">
        <v>3598</v>
      </c>
      <c r="J135" s="31" t="s">
        <v>845</v>
      </c>
      <c r="K135" s="311">
        <v>11852</v>
      </c>
      <c r="L135"/>
      <c r="M135"/>
    </row>
    <row r="136" spans="1:13">
      <c r="A136" s="31" t="s">
        <v>3496</v>
      </c>
      <c r="B136" s="31" t="s">
        <v>3640</v>
      </c>
      <c r="C136" s="31">
        <v>2137877</v>
      </c>
      <c r="D136" s="31"/>
      <c r="E136" s="311">
        <v>12103</v>
      </c>
      <c r="F136" s="311"/>
      <c r="G136" s="311">
        <v>12744</v>
      </c>
      <c r="H136" s="31" t="s">
        <v>3215</v>
      </c>
      <c r="I136" s="31" t="s">
        <v>3715</v>
      </c>
      <c r="J136" s="31" t="s">
        <v>845</v>
      </c>
      <c r="K136" s="311">
        <v>11830</v>
      </c>
      <c r="L136"/>
      <c r="M136"/>
    </row>
    <row r="137" spans="1:13">
      <c r="A137" s="31" t="s">
        <v>3496</v>
      </c>
      <c r="B137" s="31" t="s">
        <v>3640</v>
      </c>
      <c r="C137" s="31">
        <v>2137878</v>
      </c>
      <c r="D137" s="31"/>
      <c r="E137" s="311">
        <v>12253</v>
      </c>
      <c r="F137" s="311"/>
      <c r="G137" s="311">
        <v>12744</v>
      </c>
      <c r="H137" s="31" t="s">
        <v>3215</v>
      </c>
      <c r="I137" s="31" t="s">
        <v>3715</v>
      </c>
      <c r="J137" s="31" t="s">
        <v>845</v>
      </c>
      <c r="K137" s="311">
        <v>11968</v>
      </c>
      <c r="L137"/>
      <c r="M137"/>
    </row>
    <row r="138" spans="1:13">
      <c r="A138" s="31" t="s">
        <v>3496</v>
      </c>
      <c r="B138" s="31" t="s">
        <v>3640</v>
      </c>
      <c r="C138" s="31">
        <v>2138652</v>
      </c>
      <c r="D138" s="31"/>
      <c r="E138" s="311">
        <v>11861</v>
      </c>
      <c r="F138" s="311" t="s">
        <v>3599</v>
      </c>
      <c r="G138" s="311">
        <v>12751</v>
      </c>
      <c r="H138" s="31" t="s">
        <v>3215</v>
      </c>
      <c r="I138" s="31" t="s">
        <v>3794</v>
      </c>
      <c r="J138" s="31" t="s">
        <v>845</v>
      </c>
      <c r="K138" s="311">
        <v>11513</v>
      </c>
      <c r="L138"/>
      <c r="M138"/>
    </row>
    <row r="139" spans="1:13">
      <c r="A139" s="31" t="s">
        <v>3496</v>
      </c>
      <c r="B139" s="31" t="s">
        <v>3640</v>
      </c>
      <c r="C139" s="31">
        <v>2138658</v>
      </c>
      <c r="D139" s="31"/>
      <c r="E139" s="311">
        <v>12290</v>
      </c>
      <c r="F139" s="311"/>
      <c r="G139" s="311">
        <v>12751</v>
      </c>
      <c r="H139" s="31" t="s">
        <v>3215</v>
      </c>
      <c r="I139" s="31" t="s">
        <v>3600</v>
      </c>
      <c r="J139" s="31" t="s">
        <v>3133</v>
      </c>
      <c r="K139" s="311">
        <v>12008</v>
      </c>
      <c r="L139"/>
      <c r="M139"/>
    </row>
    <row r="140" spans="1:13">
      <c r="A140" s="31" t="s">
        <v>3496</v>
      </c>
      <c r="B140" s="31" t="s">
        <v>3640</v>
      </c>
      <c r="C140" s="31">
        <v>2139494</v>
      </c>
      <c r="D140" s="31"/>
      <c r="E140" s="311">
        <v>12356</v>
      </c>
      <c r="F140" s="311"/>
      <c r="G140" s="311">
        <v>12758</v>
      </c>
      <c r="H140" s="31" t="s">
        <v>3215</v>
      </c>
      <c r="I140" s="31" t="s">
        <v>3586</v>
      </c>
      <c r="J140" s="31" t="s">
        <v>702</v>
      </c>
      <c r="K140" s="311">
        <v>11992</v>
      </c>
      <c r="L140"/>
      <c r="M140"/>
    </row>
    <row r="141" spans="1:13">
      <c r="A141" s="31" t="s">
        <v>3496</v>
      </c>
      <c r="B141" s="31" t="s">
        <v>3640</v>
      </c>
      <c r="C141" s="31">
        <v>2139522</v>
      </c>
      <c r="D141" s="31"/>
      <c r="E141" s="311">
        <v>12297</v>
      </c>
      <c r="F141" s="311"/>
      <c r="G141" s="311">
        <v>12758</v>
      </c>
      <c r="H141" s="31" t="s">
        <v>3215</v>
      </c>
      <c r="I141" s="31" t="s">
        <v>3601</v>
      </c>
      <c r="J141" s="31" t="s">
        <v>702</v>
      </c>
      <c r="K141" s="311">
        <v>11948</v>
      </c>
      <c r="L141"/>
      <c r="M141"/>
    </row>
    <row r="142" spans="1:13">
      <c r="A142" s="31" t="s">
        <v>3496</v>
      </c>
      <c r="B142" s="31" t="s">
        <v>3640</v>
      </c>
      <c r="C142" s="31">
        <v>2140378</v>
      </c>
      <c r="D142" s="31"/>
      <c r="E142" s="311">
        <v>12016</v>
      </c>
      <c r="F142" s="311"/>
      <c r="G142" s="311">
        <v>12765</v>
      </c>
      <c r="H142" s="31" t="s">
        <v>3215</v>
      </c>
      <c r="I142" s="31" t="s">
        <v>3602</v>
      </c>
      <c r="J142" s="31" t="s">
        <v>845</v>
      </c>
      <c r="K142" s="311">
        <v>11661</v>
      </c>
      <c r="L142"/>
      <c r="M142"/>
    </row>
    <row r="143" spans="1:13">
      <c r="A143" s="31" t="s">
        <v>3496</v>
      </c>
      <c r="B143" s="31" t="s">
        <v>3640</v>
      </c>
      <c r="C143" s="31">
        <v>2140380</v>
      </c>
      <c r="D143" s="31"/>
      <c r="E143" s="311">
        <v>12485</v>
      </c>
      <c r="F143" s="311"/>
      <c r="G143" s="311">
        <v>12765</v>
      </c>
      <c r="H143" s="31" t="s">
        <v>3215</v>
      </c>
      <c r="I143" s="31" t="s">
        <v>3454</v>
      </c>
      <c r="J143" s="31" t="s">
        <v>845</v>
      </c>
      <c r="K143" s="311">
        <v>12510</v>
      </c>
      <c r="L143"/>
      <c r="M143"/>
    </row>
    <row r="144" spans="1:13">
      <c r="A144" s="31" t="s">
        <v>3496</v>
      </c>
      <c r="B144" s="31" t="s">
        <v>3640</v>
      </c>
      <c r="C144" s="31">
        <v>2141316</v>
      </c>
      <c r="D144" s="31"/>
      <c r="E144" s="311">
        <v>12036</v>
      </c>
      <c r="F144" s="311"/>
      <c r="G144" s="311">
        <v>12779</v>
      </c>
      <c r="H144" s="31" t="s">
        <v>3215</v>
      </c>
      <c r="I144" s="31" t="s">
        <v>3455</v>
      </c>
      <c r="J144" s="31" t="s">
        <v>702</v>
      </c>
      <c r="K144" s="311">
        <v>11695</v>
      </c>
      <c r="L144"/>
      <c r="M144"/>
    </row>
    <row r="145" spans="1:13">
      <c r="A145" s="31" t="s">
        <v>3496</v>
      </c>
      <c r="B145" s="31" t="s">
        <v>3640</v>
      </c>
      <c r="C145" s="31">
        <v>2141319</v>
      </c>
      <c r="D145" s="31"/>
      <c r="E145" s="311">
        <v>11785</v>
      </c>
      <c r="F145" s="311"/>
      <c r="G145" s="311">
        <v>12779</v>
      </c>
      <c r="H145" s="31" t="s">
        <v>3215</v>
      </c>
      <c r="I145" s="31" t="s">
        <v>3457</v>
      </c>
      <c r="J145" s="31" t="s">
        <v>3133</v>
      </c>
      <c r="K145" s="311">
        <v>11512</v>
      </c>
      <c r="L145"/>
      <c r="M145"/>
    </row>
    <row r="146" spans="1:13">
      <c r="A146" s="31" t="s">
        <v>3496</v>
      </c>
      <c r="B146" s="31" t="s">
        <v>3640</v>
      </c>
      <c r="C146" s="31">
        <v>2141898</v>
      </c>
      <c r="D146" s="31"/>
      <c r="E146" s="311">
        <v>12046</v>
      </c>
      <c r="F146" s="311"/>
      <c r="G146" s="311">
        <v>12779</v>
      </c>
      <c r="H146" s="31" t="s">
        <v>3215</v>
      </c>
      <c r="I146" s="31" t="s">
        <v>3458</v>
      </c>
      <c r="J146" s="31" t="s">
        <v>845</v>
      </c>
      <c r="K146" s="311">
        <v>11691</v>
      </c>
      <c r="L146"/>
      <c r="M146"/>
    </row>
    <row r="147" spans="1:13">
      <c r="A147" s="31" t="s">
        <v>3496</v>
      </c>
      <c r="B147" s="31" t="s">
        <v>3640</v>
      </c>
      <c r="C147" s="31">
        <v>2141928</v>
      </c>
      <c r="D147" s="31"/>
      <c r="E147" s="311">
        <v>12036</v>
      </c>
      <c r="F147" s="311"/>
      <c r="G147" s="311">
        <v>12779</v>
      </c>
      <c r="H147" s="31" t="s">
        <v>3215</v>
      </c>
      <c r="I147" s="31" t="s">
        <v>3459</v>
      </c>
      <c r="J147" s="31" t="s">
        <v>702</v>
      </c>
      <c r="K147" s="311">
        <v>11695</v>
      </c>
      <c r="L147"/>
      <c r="M147"/>
    </row>
    <row r="148" spans="1:13">
      <c r="A148" s="31" t="s">
        <v>3496</v>
      </c>
      <c r="B148" s="31" t="s">
        <v>3640</v>
      </c>
      <c r="C148" s="31">
        <v>2141929</v>
      </c>
      <c r="D148" s="31"/>
      <c r="E148" s="311">
        <v>12036</v>
      </c>
      <c r="F148" s="311"/>
      <c r="G148" s="311">
        <v>12779</v>
      </c>
      <c r="H148" s="31" t="s">
        <v>3215</v>
      </c>
      <c r="I148" s="31" t="s">
        <v>3459</v>
      </c>
      <c r="J148" s="31" t="s">
        <v>702</v>
      </c>
      <c r="K148" s="311">
        <v>11695</v>
      </c>
      <c r="L148"/>
      <c r="M148"/>
    </row>
    <row r="149" spans="1:13">
      <c r="A149" s="31" t="s">
        <v>3496</v>
      </c>
      <c r="B149" s="31" t="s">
        <v>3640</v>
      </c>
      <c r="C149" s="31">
        <v>2141938</v>
      </c>
      <c r="D149" s="31"/>
      <c r="E149" s="311">
        <v>12036</v>
      </c>
      <c r="F149" s="311"/>
      <c r="G149" s="311">
        <v>12779</v>
      </c>
      <c r="H149" s="31" t="s">
        <v>3215</v>
      </c>
      <c r="I149" s="31" t="s">
        <v>3601</v>
      </c>
      <c r="J149" s="31" t="s">
        <v>702</v>
      </c>
      <c r="K149" s="311">
        <v>11695</v>
      </c>
      <c r="L149"/>
      <c r="M149"/>
    </row>
    <row r="150" spans="1:13">
      <c r="A150" s="31" t="s">
        <v>3496</v>
      </c>
      <c r="B150" s="31" t="s">
        <v>3640</v>
      </c>
      <c r="C150" s="31">
        <v>2142840</v>
      </c>
      <c r="D150" s="31"/>
      <c r="E150" s="311">
        <v>12515</v>
      </c>
      <c r="F150" s="311"/>
      <c r="G150" s="311">
        <v>12786</v>
      </c>
      <c r="H150" s="31" t="s">
        <v>3215</v>
      </c>
      <c r="I150" s="31" t="s">
        <v>3460</v>
      </c>
      <c r="J150" s="31" t="s">
        <v>845</v>
      </c>
      <c r="K150" s="311">
        <v>12233</v>
      </c>
      <c r="L150"/>
      <c r="M150"/>
    </row>
    <row r="151" spans="1:13">
      <c r="A151" s="31" t="s">
        <v>3496</v>
      </c>
      <c r="B151" s="31" t="s">
        <v>3640</v>
      </c>
      <c r="C151" s="31">
        <v>2142860</v>
      </c>
      <c r="D151" s="31"/>
      <c r="E151" s="311">
        <v>12515</v>
      </c>
      <c r="F151" s="311"/>
      <c r="G151" s="311">
        <v>12786</v>
      </c>
      <c r="H151" s="31" t="s">
        <v>3215</v>
      </c>
      <c r="I151" s="31" t="s">
        <v>3861</v>
      </c>
      <c r="J151" s="31" t="s">
        <v>845</v>
      </c>
      <c r="K151" s="311">
        <v>12253</v>
      </c>
      <c r="L151"/>
      <c r="M151"/>
    </row>
    <row r="152" spans="1:13">
      <c r="A152" s="31" t="s">
        <v>3496</v>
      </c>
      <c r="B152" s="31" t="s">
        <v>3640</v>
      </c>
      <c r="C152" s="31">
        <v>2142861</v>
      </c>
      <c r="D152" s="31"/>
      <c r="E152" s="311">
        <v>10693</v>
      </c>
      <c r="F152" s="311"/>
      <c r="G152" s="311">
        <v>12786</v>
      </c>
      <c r="H152" s="31" t="s">
        <v>3215</v>
      </c>
      <c r="I152" s="31" t="s">
        <v>3461</v>
      </c>
      <c r="J152" s="31" t="s">
        <v>845</v>
      </c>
      <c r="K152" s="311">
        <v>12202</v>
      </c>
      <c r="L152"/>
      <c r="M152"/>
    </row>
    <row r="153" spans="1:13">
      <c r="A153" s="31" t="s">
        <v>3496</v>
      </c>
      <c r="B153" s="31" t="s">
        <v>3640</v>
      </c>
      <c r="C153" s="31">
        <v>2143031</v>
      </c>
      <c r="D153" s="31"/>
      <c r="E153" s="311">
        <v>11751</v>
      </c>
      <c r="F153" s="311" t="s">
        <v>3462</v>
      </c>
      <c r="G153" s="311">
        <v>12793</v>
      </c>
      <c r="H153" s="31" t="s">
        <v>3215</v>
      </c>
      <c r="I153" s="31" t="s">
        <v>3608</v>
      </c>
      <c r="J153" s="31" t="s">
        <v>845</v>
      </c>
      <c r="K153" s="311">
        <v>11388</v>
      </c>
      <c r="L153"/>
      <c r="M153"/>
    </row>
    <row r="154" spans="1:13">
      <c r="A154" s="31" t="s">
        <v>3496</v>
      </c>
      <c r="B154" s="31" t="s">
        <v>3640</v>
      </c>
      <c r="C154" s="31">
        <v>2144546</v>
      </c>
      <c r="D154" s="31"/>
      <c r="E154" s="311">
        <v>12800</v>
      </c>
      <c r="F154" s="311"/>
      <c r="G154" s="311">
        <v>12800</v>
      </c>
      <c r="H154" s="31" t="s">
        <v>3215</v>
      </c>
      <c r="I154" s="31" t="s">
        <v>3609</v>
      </c>
      <c r="J154" s="31" t="s">
        <v>845</v>
      </c>
      <c r="K154" s="311">
        <v>12178</v>
      </c>
      <c r="L154"/>
      <c r="M154"/>
    </row>
    <row r="155" spans="1:13">
      <c r="A155" s="31" t="s">
        <v>3496</v>
      </c>
      <c r="B155" s="31" t="s">
        <v>3640</v>
      </c>
      <c r="C155" s="31">
        <v>2145182</v>
      </c>
      <c r="D155" s="31"/>
      <c r="E155" s="311">
        <v>11947</v>
      </c>
      <c r="F155" s="311"/>
      <c r="G155" s="311">
        <v>12807</v>
      </c>
      <c r="H155" s="31" t="s">
        <v>3215</v>
      </c>
      <c r="I155" s="31" t="s">
        <v>3610</v>
      </c>
      <c r="J155" s="31" t="s">
        <v>845</v>
      </c>
      <c r="K155" s="311">
        <v>11620</v>
      </c>
      <c r="L155"/>
      <c r="M155"/>
    </row>
    <row r="156" spans="1:13">
      <c r="A156" s="31" t="s">
        <v>3496</v>
      </c>
      <c r="B156" s="31" t="s">
        <v>3640</v>
      </c>
      <c r="C156" s="31">
        <v>2145706</v>
      </c>
      <c r="D156" s="31"/>
      <c r="E156" s="311">
        <v>12404</v>
      </c>
      <c r="F156" s="311"/>
      <c r="G156" s="311">
        <v>12814</v>
      </c>
      <c r="H156" s="31" t="s">
        <v>3215</v>
      </c>
      <c r="I156" s="31" t="s">
        <v>3752</v>
      </c>
      <c r="J156" s="31" t="s">
        <v>845</v>
      </c>
      <c r="K156" s="311">
        <v>12058</v>
      </c>
      <c r="L156"/>
      <c r="M156"/>
    </row>
    <row r="157" spans="1:13">
      <c r="A157" s="31" t="s">
        <v>3496</v>
      </c>
      <c r="B157" s="31" t="s">
        <v>3640</v>
      </c>
      <c r="C157" s="31">
        <v>2145707</v>
      </c>
      <c r="D157" s="31"/>
      <c r="E157" s="311">
        <v>12445</v>
      </c>
      <c r="F157" s="311"/>
      <c r="G157" s="311">
        <v>12814</v>
      </c>
      <c r="H157" s="31" t="s">
        <v>3215</v>
      </c>
      <c r="I157" s="31" t="s">
        <v>3794</v>
      </c>
      <c r="J157" s="31" t="s">
        <v>845</v>
      </c>
      <c r="K157" s="311">
        <v>12066</v>
      </c>
      <c r="L157"/>
      <c r="M157"/>
    </row>
    <row r="158" spans="1:13">
      <c r="A158" s="31" t="s">
        <v>3496</v>
      </c>
      <c r="B158" s="31" t="s">
        <v>3640</v>
      </c>
      <c r="C158" s="31">
        <v>2145712</v>
      </c>
      <c r="D158" s="31"/>
      <c r="E158" s="311">
        <v>11733</v>
      </c>
      <c r="F158" s="311"/>
      <c r="G158" s="311">
        <v>12814</v>
      </c>
      <c r="H158" s="31" t="s">
        <v>3215</v>
      </c>
      <c r="I158" s="31" t="s">
        <v>3613</v>
      </c>
      <c r="J158" s="31" t="s">
        <v>845</v>
      </c>
      <c r="K158" s="311">
        <v>11392</v>
      </c>
      <c r="L158"/>
      <c r="M158"/>
    </row>
    <row r="159" spans="1:13">
      <c r="A159" s="31" t="s">
        <v>3496</v>
      </c>
      <c r="B159" s="31" t="s">
        <v>3640</v>
      </c>
      <c r="C159" s="31">
        <v>2145741</v>
      </c>
      <c r="D159" s="31"/>
      <c r="E159" s="311">
        <v>12340</v>
      </c>
      <c r="F159" s="311"/>
      <c r="G159" s="311">
        <v>12814</v>
      </c>
      <c r="H159" s="31" t="s">
        <v>3215</v>
      </c>
      <c r="I159" s="31" t="s">
        <v>3614</v>
      </c>
      <c r="J159" s="31" t="s">
        <v>845</v>
      </c>
      <c r="K159" s="311">
        <v>11990</v>
      </c>
      <c r="L159"/>
      <c r="M159"/>
    </row>
    <row r="160" spans="1:13">
      <c r="A160" s="31" t="s">
        <v>3496</v>
      </c>
      <c r="B160" s="31" t="s">
        <v>3640</v>
      </c>
      <c r="C160" s="31">
        <v>2146571</v>
      </c>
      <c r="D160" s="31"/>
      <c r="E160" s="311">
        <v>12631</v>
      </c>
      <c r="F160" s="311"/>
      <c r="G160" s="311">
        <v>12821</v>
      </c>
      <c r="H160" s="31" t="s">
        <v>3215</v>
      </c>
      <c r="I160" s="31" t="s">
        <v>3615</v>
      </c>
      <c r="J160" s="31" t="s">
        <v>845</v>
      </c>
      <c r="K160" s="311">
        <v>12205</v>
      </c>
      <c r="L160"/>
      <c r="M160"/>
    </row>
    <row r="161" spans="1:13">
      <c r="A161" s="31" t="s">
        <v>3496</v>
      </c>
      <c r="B161" s="31" t="s">
        <v>3640</v>
      </c>
      <c r="C161" s="31">
        <v>2146608</v>
      </c>
      <c r="D161" s="31"/>
      <c r="E161" s="311">
        <v>12002</v>
      </c>
      <c r="F161" s="311"/>
      <c r="G161" s="311">
        <v>12821</v>
      </c>
      <c r="H161" s="31" t="s">
        <v>3215</v>
      </c>
      <c r="I161" s="31" t="s">
        <v>3616</v>
      </c>
      <c r="J161" s="31" t="s">
        <v>845</v>
      </c>
      <c r="K161" s="311">
        <v>11672</v>
      </c>
      <c r="L161"/>
      <c r="M161"/>
    </row>
    <row r="162" spans="1:13">
      <c r="A162" s="31" t="s">
        <v>3496</v>
      </c>
      <c r="B162" s="31" t="s">
        <v>3640</v>
      </c>
      <c r="C162" s="31">
        <v>2147481</v>
      </c>
      <c r="D162" s="31"/>
      <c r="E162" s="311">
        <v>11934</v>
      </c>
      <c r="F162" s="311"/>
      <c r="G162" s="311">
        <v>12828</v>
      </c>
      <c r="H162" s="31" t="s">
        <v>3215</v>
      </c>
      <c r="I162" s="31" t="s">
        <v>3617</v>
      </c>
      <c r="J162" s="31" t="s">
        <v>702</v>
      </c>
      <c r="K162" s="311">
        <v>11607</v>
      </c>
      <c r="L162"/>
      <c r="M162"/>
    </row>
    <row r="163" spans="1:13">
      <c r="A163" s="31" t="s">
        <v>3496</v>
      </c>
      <c r="B163" s="31" t="s">
        <v>3640</v>
      </c>
      <c r="C163" s="31">
        <v>2147484</v>
      </c>
      <c r="D163" s="31"/>
      <c r="E163" s="311">
        <v>12108</v>
      </c>
      <c r="F163" s="311"/>
      <c r="G163" s="311">
        <v>12828</v>
      </c>
      <c r="H163" s="31" t="s">
        <v>3215</v>
      </c>
      <c r="I163" s="31" t="s">
        <v>3796</v>
      </c>
      <c r="J163" s="31" t="s">
        <v>845</v>
      </c>
      <c r="K163" s="311">
        <v>11845</v>
      </c>
      <c r="L163"/>
      <c r="M163"/>
    </row>
    <row r="164" spans="1:13">
      <c r="A164" s="31" t="s">
        <v>3496</v>
      </c>
      <c r="B164" s="31" t="s">
        <v>3640</v>
      </c>
      <c r="C164" s="31">
        <v>2148297</v>
      </c>
      <c r="D164" s="31"/>
      <c r="E164" s="311">
        <v>12314</v>
      </c>
      <c r="F164" s="311"/>
      <c r="G164" s="311">
        <v>12835</v>
      </c>
      <c r="H164" s="31" t="s">
        <v>3215</v>
      </c>
      <c r="I164" s="31" t="s">
        <v>3757</v>
      </c>
      <c r="J164" s="31" t="s">
        <v>845</v>
      </c>
      <c r="K164" s="311">
        <v>11950</v>
      </c>
      <c r="L164"/>
      <c r="M164"/>
    </row>
    <row r="165" spans="1:13">
      <c r="A165" s="31" t="s">
        <v>3496</v>
      </c>
      <c r="B165" s="31" t="s">
        <v>3640</v>
      </c>
      <c r="C165" s="31">
        <v>2148300</v>
      </c>
      <c r="D165" s="31"/>
      <c r="E165" s="311">
        <v>11877</v>
      </c>
      <c r="F165" s="311"/>
      <c r="G165" s="311">
        <v>12835</v>
      </c>
      <c r="H165" s="31" t="s">
        <v>3215</v>
      </c>
      <c r="I165" s="31" t="s">
        <v>3758</v>
      </c>
      <c r="J165" s="31" t="s">
        <v>845</v>
      </c>
      <c r="K165" s="311">
        <v>11584</v>
      </c>
      <c r="L165"/>
      <c r="M165"/>
    </row>
    <row r="166" spans="1:13">
      <c r="A166" s="31" t="s">
        <v>3496</v>
      </c>
      <c r="B166" s="31" t="s">
        <v>3640</v>
      </c>
      <c r="C166" s="31">
        <v>2148384</v>
      </c>
      <c r="D166" s="31"/>
      <c r="E166" s="311">
        <v>10805</v>
      </c>
      <c r="F166" s="311"/>
      <c r="G166" s="311">
        <v>12835</v>
      </c>
      <c r="H166" s="31" t="s">
        <v>3215</v>
      </c>
      <c r="I166" s="31" t="s">
        <v>3759</v>
      </c>
      <c r="J166" s="31" t="s">
        <v>845</v>
      </c>
      <c r="K166" s="311">
        <v>12106</v>
      </c>
      <c r="L166"/>
      <c r="M166"/>
    </row>
    <row r="167" spans="1:13">
      <c r="A167" s="31" t="s">
        <v>3496</v>
      </c>
      <c r="B167" s="31" t="s">
        <v>3640</v>
      </c>
      <c r="C167" s="31">
        <v>2150783</v>
      </c>
      <c r="D167" s="31"/>
      <c r="E167" s="311">
        <v>11925</v>
      </c>
      <c r="F167" s="311"/>
      <c r="G167" s="311">
        <v>12856</v>
      </c>
      <c r="H167" s="31" t="s">
        <v>3215</v>
      </c>
      <c r="I167" s="31" t="s">
        <v>3760</v>
      </c>
      <c r="J167" s="31" t="s">
        <v>845</v>
      </c>
      <c r="K167" s="311">
        <v>11574</v>
      </c>
      <c r="L167"/>
      <c r="M167"/>
    </row>
    <row r="168" spans="1:13">
      <c r="A168" s="31" t="s">
        <v>3496</v>
      </c>
      <c r="B168" s="31" t="s">
        <v>3640</v>
      </c>
      <c r="C168" s="31">
        <v>2151551</v>
      </c>
      <c r="D168" s="31"/>
      <c r="E168" s="311">
        <v>12179</v>
      </c>
      <c r="F168" s="311"/>
      <c r="G168" s="311">
        <v>12863</v>
      </c>
      <c r="H168" s="31" t="s">
        <v>3215</v>
      </c>
      <c r="I168" s="31" t="s">
        <v>3761</v>
      </c>
      <c r="J168" s="31" t="s">
        <v>3133</v>
      </c>
      <c r="K168" s="311">
        <v>11828</v>
      </c>
      <c r="L168"/>
      <c r="M168"/>
    </row>
    <row r="169" spans="1:13">
      <c r="A169" s="31" t="s">
        <v>3496</v>
      </c>
      <c r="B169" s="31" t="s">
        <v>3640</v>
      </c>
      <c r="C169" s="31">
        <v>2151576</v>
      </c>
      <c r="D169" s="31"/>
      <c r="E169" s="311">
        <v>11878</v>
      </c>
      <c r="F169" s="311"/>
      <c r="G169" s="311">
        <v>12863</v>
      </c>
      <c r="H169" s="31" t="s">
        <v>3215</v>
      </c>
      <c r="I169" s="31" t="s">
        <v>3762</v>
      </c>
      <c r="J169" s="31" t="s">
        <v>702</v>
      </c>
      <c r="K169" s="311">
        <v>11562</v>
      </c>
      <c r="L169"/>
      <c r="M169"/>
    </row>
    <row r="170" spans="1:13">
      <c r="A170" s="31" t="s">
        <v>3496</v>
      </c>
      <c r="B170" s="31" t="s">
        <v>3640</v>
      </c>
      <c r="C170" s="31">
        <v>2151638</v>
      </c>
      <c r="D170" s="31"/>
      <c r="E170" s="311">
        <v>12619</v>
      </c>
      <c r="F170" s="311"/>
      <c r="G170" s="311">
        <v>12863</v>
      </c>
      <c r="H170" s="31" t="s">
        <v>3215</v>
      </c>
      <c r="I170" s="31" t="s">
        <v>3763</v>
      </c>
      <c r="J170" s="31" t="s">
        <v>845</v>
      </c>
      <c r="K170" s="311">
        <v>12264</v>
      </c>
      <c r="L170"/>
      <c r="M170"/>
    </row>
    <row r="171" spans="1:13">
      <c r="A171" s="31" t="s">
        <v>3496</v>
      </c>
      <c r="B171" s="31" t="s">
        <v>3640</v>
      </c>
      <c r="C171" s="31">
        <v>2152497</v>
      </c>
      <c r="D171" s="31"/>
      <c r="E171" s="311">
        <v>12542</v>
      </c>
      <c r="F171" s="311"/>
      <c r="G171" s="311">
        <v>12870</v>
      </c>
      <c r="H171" s="31" t="s">
        <v>3215</v>
      </c>
      <c r="I171" s="31" t="s">
        <v>3585</v>
      </c>
      <c r="J171" s="31" t="s">
        <v>845</v>
      </c>
      <c r="K171" s="311">
        <v>12263</v>
      </c>
      <c r="L171"/>
      <c r="M171"/>
    </row>
    <row r="172" spans="1:13">
      <c r="A172" s="31" t="s">
        <v>3496</v>
      </c>
      <c r="B172" s="31" t="s">
        <v>3640</v>
      </c>
      <c r="C172" s="31">
        <v>2153377</v>
      </c>
      <c r="D172" s="31"/>
      <c r="E172" s="311">
        <v>12457</v>
      </c>
      <c r="F172" s="311"/>
      <c r="G172" s="311">
        <v>12877</v>
      </c>
      <c r="H172" s="31" t="s">
        <v>3215</v>
      </c>
      <c r="I172" s="31" t="s">
        <v>3715</v>
      </c>
      <c r="J172" s="31" t="s">
        <v>845</v>
      </c>
      <c r="K172" s="311">
        <v>12110</v>
      </c>
      <c r="L172"/>
      <c r="M172"/>
    </row>
    <row r="173" spans="1:13">
      <c r="A173" s="31" t="s">
        <v>3496</v>
      </c>
      <c r="B173" s="31" t="s">
        <v>3640</v>
      </c>
      <c r="C173" s="31">
        <v>2153378</v>
      </c>
      <c r="D173" s="31"/>
      <c r="E173" s="311">
        <v>12512</v>
      </c>
      <c r="F173" s="311"/>
      <c r="G173" s="311">
        <v>12877</v>
      </c>
      <c r="H173" s="31" t="s">
        <v>3215</v>
      </c>
      <c r="I173" s="31" t="s">
        <v>3715</v>
      </c>
      <c r="J173" s="31" t="s">
        <v>845</v>
      </c>
      <c r="K173" s="311">
        <v>12159</v>
      </c>
      <c r="L173"/>
      <c r="M173"/>
    </row>
    <row r="174" spans="1:13">
      <c r="A174" s="31" t="s">
        <v>3496</v>
      </c>
      <c r="B174" s="31" t="s">
        <v>3640</v>
      </c>
      <c r="C174" s="31">
        <v>2153383</v>
      </c>
      <c r="D174" s="31"/>
      <c r="E174" s="311">
        <v>12619</v>
      </c>
      <c r="F174" s="311"/>
      <c r="G174" s="311">
        <v>12877</v>
      </c>
      <c r="H174" s="31" t="s">
        <v>3215</v>
      </c>
      <c r="I174" s="31" t="s">
        <v>3764</v>
      </c>
      <c r="J174" s="31" t="s">
        <v>845</v>
      </c>
      <c r="K174" s="311">
        <v>12283</v>
      </c>
      <c r="L174"/>
      <c r="M174"/>
    </row>
    <row r="175" spans="1:13">
      <c r="A175" s="31" t="s">
        <v>3496</v>
      </c>
      <c r="B175" s="31" t="s">
        <v>3640</v>
      </c>
      <c r="C175" s="31">
        <v>2153400</v>
      </c>
      <c r="D175" s="31"/>
      <c r="E175" s="311">
        <v>12418</v>
      </c>
      <c r="F175" s="311"/>
      <c r="G175" s="311">
        <v>12877</v>
      </c>
      <c r="H175" s="31" t="s">
        <v>3215</v>
      </c>
      <c r="I175" s="31" t="s">
        <v>3622</v>
      </c>
      <c r="J175" s="31" t="s">
        <v>702</v>
      </c>
      <c r="K175" s="311">
        <v>12036</v>
      </c>
      <c r="L175"/>
      <c r="M175"/>
    </row>
    <row r="176" spans="1:13">
      <c r="A176" s="31" t="s">
        <v>3496</v>
      </c>
      <c r="B176" s="31" t="s">
        <v>3640</v>
      </c>
      <c r="C176" s="31">
        <v>2155263</v>
      </c>
      <c r="D176" s="31"/>
      <c r="E176" s="311">
        <v>10603</v>
      </c>
      <c r="F176" s="311"/>
      <c r="G176" s="311">
        <v>12891</v>
      </c>
      <c r="H176" s="31" t="s">
        <v>3215</v>
      </c>
      <c r="I176" s="31" t="s">
        <v>3623</v>
      </c>
      <c r="J176" s="31" t="s">
        <v>702</v>
      </c>
      <c r="K176" s="311">
        <v>12429</v>
      </c>
      <c r="L176"/>
      <c r="M176"/>
    </row>
    <row r="177" spans="1:13">
      <c r="A177" s="31" t="s">
        <v>3496</v>
      </c>
      <c r="B177" s="31" t="s">
        <v>3640</v>
      </c>
      <c r="C177" s="31">
        <v>2155276</v>
      </c>
      <c r="D177" s="31"/>
      <c r="E177" s="311">
        <v>12449</v>
      </c>
      <c r="F177" s="311"/>
      <c r="G177" s="311">
        <v>12891</v>
      </c>
      <c r="H177" s="31" t="s">
        <v>3215</v>
      </c>
      <c r="I177" s="31" t="s">
        <v>3476</v>
      </c>
      <c r="J177" s="31" t="s">
        <v>845</v>
      </c>
      <c r="K177" s="311">
        <v>11836</v>
      </c>
      <c r="L177"/>
      <c r="M177"/>
    </row>
    <row r="178" spans="1:13">
      <c r="A178" s="31" t="s">
        <v>3496</v>
      </c>
      <c r="B178" s="31" t="s">
        <v>3640</v>
      </c>
      <c r="C178" s="31">
        <v>2156058</v>
      </c>
      <c r="D178" s="31"/>
      <c r="E178" s="311">
        <v>12512</v>
      </c>
      <c r="F178" s="311"/>
      <c r="G178" s="311">
        <v>12898</v>
      </c>
      <c r="H178" s="31" t="s">
        <v>3215</v>
      </c>
      <c r="I178" s="31" t="s">
        <v>3477</v>
      </c>
      <c r="J178" s="31" t="s">
        <v>845</v>
      </c>
      <c r="K178" s="311">
        <v>12153</v>
      </c>
      <c r="L178"/>
      <c r="M178"/>
    </row>
    <row r="179" spans="1:13">
      <c r="A179" s="31" t="s">
        <v>3496</v>
      </c>
      <c r="B179" s="31" t="s">
        <v>3640</v>
      </c>
      <c r="C179" s="31">
        <v>2157006</v>
      </c>
      <c r="D179" s="31"/>
      <c r="E179" s="311">
        <v>12405</v>
      </c>
      <c r="F179" s="311"/>
      <c r="G179" s="311">
        <v>12905</v>
      </c>
      <c r="H179" s="31" t="s">
        <v>3215</v>
      </c>
      <c r="I179" s="31" t="s">
        <v>3478</v>
      </c>
      <c r="J179" s="31" t="s">
        <v>845</v>
      </c>
      <c r="K179" s="311">
        <v>12060</v>
      </c>
      <c r="L179"/>
      <c r="M179"/>
    </row>
    <row r="180" spans="1:13">
      <c r="A180" s="31" t="s">
        <v>3496</v>
      </c>
      <c r="B180" s="31" t="s">
        <v>3640</v>
      </c>
      <c r="C180" s="31">
        <v>2157814</v>
      </c>
      <c r="D180" s="31"/>
      <c r="E180" s="311">
        <v>12092</v>
      </c>
      <c r="F180" s="311"/>
      <c r="G180" s="311">
        <v>12912</v>
      </c>
      <c r="H180" s="31" t="s">
        <v>3215</v>
      </c>
      <c r="I180" s="31" t="s">
        <v>3479</v>
      </c>
      <c r="J180" s="31" t="s">
        <v>845</v>
      </c>
      <c r="K180" s="311">
        <v>11731</v>
      </c>
      <c r="L180"/>
      <c r="M180"/>
    </row>
    <row r="181" spans="1:13">
      <c r="A181" s="31" t="s">
        <v>3496</v>
      </c>
      <c r="B181" s="31" t="s">
        <v>3640</v>
      </c>
      <c r="C181" s="31">
        <v>2157823</v>
      </c>
      <c r="D181" s="31"/>
      <c r="E181" s="311">
        <v>12457</v>
      </c>
      <c r="F181" s="311"/>
      <c r="G181" s="311">
        <v>12912</v>
      </c>
      <c r="H181" s="31" t="s">
        <v>3215</v>
      </c>
      <c r="I181" s="31" t="s">
        <v>3480</v>
      </c>
      <c r="J181" s="31" t="s">
        <v>845</v>
      </c>
      <c r="K181" s="311">
        <v>12101</v>
      </c>
      <c r="L181"/>
      <c r="M181"/>
    </row>
    <row r="182" spans="1:13">
      <c r="A182" s="31" t="s">
        <v>3496</v>
      </c>
      <c r="B182" s="31" t="s">
        <v>3640</v>
      </c>
      <c r="C182" s="31">
        <v>2157827</v>
      </c>
      <c r="D182" s="31"/>
      <c r="E182" s="311">
        <v>12473</v>
      </c>
      <c r="F182" s="311"/>
      <c r="G182" s="311">
        <v>12912</v>
      </c>
      <c r="H182" s="31" t="s">
        <v>3215</v>
      </c>
      <c r="I182" s="31" t="s">
        <v>3481</v>
      </c>
      <c r="J182" s="31" t="s">
        <v>845</v>
      </c>
      <c r="K182" s="311">
        <v>12185</v>
      </c>
      <c r="L182"/>
      <c r="M182"/>
    </row>
    <row r="183" spans="1:13">
      <c r="A183" s="31" t="s">
        <v>3496</v>
      </c>
      <c r="B183" s="31" t="s">
        <v>3640</v>
      </c>
      <c r="C183" s="31">
        <v>2157832</v>
      </c>
      <c r="D183" s="31"/>
      <c r="E183" s="311">
        <v>12367</v>
      </c>
      <c r="F183" s="311"/>
      <c r="G183" s="311">
        <v>12912</v>
      </c>
      <c r="H183" s="31" t="s">
        <v>3215</v>
      </c>
      <c r="I183" s="31" t="s">
        <v>3628</v>
      </c>
      <c r="J183" s="31" t="s">
        <v>845</v>
      </c>
      <c r="K183" s="311">
        <v>12002</v>
      </c>
      <c r="L183"/>
      <c r="M183"/>
    </row>
    <row r="184" spans="1:13">
      <c r="A184" s="31" t="s">
        <v>3496</v>
      </c>
      <c r="B184" s="31" t="s">
        <v>3640</v>
      </c>
      <c r="C184" s="31">
        <v>2157851</v>
      </c>
      <c r="D184" s="31"/>
      <c r="E184" s="311">
        <v>11886</v>
      </c>
      <c r="F184" s="311"/>
      <c r="G184" s="311">
        <v>12912</v>
      </c>
      <c r="H184" s="31" t="s">
        <v>3215</v>
      </c>
      <c r="I184" s="31" t="s">
        <v>3629</v>
      </c>
      <c r="J184" s="31" t="s">
        <v>845</v>
      </c>
      <c r="K184" s="311">
        <v>11530</v>
      </c>
      <c r="L184"/>
      <c r="M184"/>
    </row>
    <row r="185" spans="1:13">
      <c r="A185" s="31" t="s">
        <v>3496</v>
      </c>
      <c r="B185" s="31" t="s">
        <v>3640</v>
      </c>
      <c r="C185" s="31">
        <v>2157883</v>
      </c>
      <c r="D185" s="31"/>
      <c r="E185" s="311">
        <v>12515</v>
      </c>
      <c r="F185" s="311"/>
      <c r="G185" s="311">
        <v>12912</v>
      </c>
      <c r="H185" s="31" t="s">
        <v>3215</v>
      </c>
      <c r="I185" s="31" t="s">
        <v>3631</v>
      </c>
      <c r="J185" s="31" t="s">
        <v>845</v>
      </c>
      <c r="K185" s="311">
        <v>12150</v>
      </c>
      <c r="L185"/>
      <c r="M185"/>
    </row>
    <row r="186" spans="1:13">
      <c r="A186" s="31" t="s">
        <v>3496</v>
      </c>
      <c r="B186" s="31" t="s">
        <v>3640</v>
      </c>
      <c r="C186" s="31">
        <v>2157906</v>
      </c>
      <c r="D186" s="31"/>
      <c r="E186" s="311">
        <v>11861</v>
      </c>
      <c r="F186" s="311" t="s">
        <v>3632</v>
      </c>
      <c r="G186" s="311">
        <v>12912</v>
      </c>
      <c r="H186" s="31" t="s">
        <v>3215</v>
      </c>
      <c r="I186" s="31" t="s">
        <v>3633</v>
      </c>
      <c r="J186" s="31" t="s">
        <v>845</v>
      </c>
      <c r="K186" s="311">
        <v>11497</v>
      </c>
      <c r="L186"/>
      <c r="M186"/>
    </row>
    <row r="187" spans="1:13">
      <c r="A187" s="31" t="s">
        <v>3496</v>
      </c>
      <c r="B187" s="31" t="s">
        <v>3640</v>
      </c>
      <c r="C187" s="31">
        <v>2157907</v>
      </c>
      <c r="D187" s="31"/>
      <c r="E187" s="311">
        <v>11652</v>
      </c>
      <c r="F187" s="311"/>
      <c r="G187" s="311">
        <v>12912</v>
      </c>
      <c r="H187" s="31" t="s">
        <v>3215</v>
      </c>
      <c r="I187" s="31" t="s">
        <v>3633</v>
      </c>
      <c r="J187" s="31" t="s">
        <v>845</v>
      </c>
      <c r="K187" s="311">
        <v>11302</v>
      </c>
      <c r="L187"/>
      <c r="M187"/>
    </row>
    <row r="188" spans="1:13">
      <c r="A188" s="31" t="s">
        <v>3496</v>
      </c>
      <c r="B188" s="31" t="s">
        <v>3640</v>
      </c>
      <c r="C188" s="31">
        <v>2157929</v>
      </c>
      <c r="D188" s="31"/>
      <c r="E188" s="311">
        <v>12366</v>
      </c>
      <c r="F188" s="311"/>
      <c r="G188" s="311">
        <v>12912</v>
      </c>
      <c r="H188" s="31" t="s">
        <v>3215</v>
      </c>
      <c r="I188" s="31" t="s">
        <v>3653</v>
      </c>
      <c r="J188" s="31" t="s">
        <v>845</v>
      </c>
      <c r="K188" s="311">
        <v>12017</v>
      </c>
      <c r="L188"/>
      <c r="M188"/>
    </row>
    <row r="189" spans="1:13">
      <c r="A189" s="31" t="s">
        <v>3496</v>
      </c>
      <c r="B189" s="31" t="s">
        <v>3640</v>
      </c>
      <c r="C189" s="31">
        <v>2158846</v>
      </c>
      <c r="D189" s="31"/>
      <c r="E189" s="311">
        <v>12088</v>
      </c>
      <c r="F189" s="311"/>
      <c r="G189" s="311">
        <v>12919</v>
      </c>
      <c r="H189" s="31" t="s">
        <v>3215</v>
      </c>
      <c r="I189" s="31" t="s">
        <v>3703</v>
      </c>
      <c r="J189" s="31" t="s">
        <v>2781</v>
      </c>
      <c r="K189" s="311">
        <v>11745</v>
      </c>
      <c r="L189"/>
      <c r="M189"/>
    </row>
    <row r="190" spans="1:13">
      <c r="A190" s="31" t="s">
        <v>3496</v>
      </c>
      <c r="B190" s="31" t="s">
        <v>3640</v>
      </c>
      <c r="C190" s="31">
        <v>2158859</v>
      </c>
      <c r="D190" s="31"/>
      <c r="E190" s="311">
        <v>12381</v>
      </c>
      <c r="F190" s="311"/>
      <c r="G190" s="311">
        <v>12919</v>
      </c>
      <c r="H190" s="31" t="s">
        <v>3215</v>
      </c>
      <c r="I190" s="31" t="s">
        <v>3779</v>
      </c>
      <c r="J190" s="31" t="s">
        <v>3133</v>
      </c>
      <c r="K190" s="311">
        <v>12020</v>
      </c>
      <c r="L190"/>
      <c r="M190"/>
    </row>
    <row r="191" spans="1:13">
      <c r="A191" s="31" t="s">
        <v>3496</v>
      </c>
      <c r="B191" s="31" t="s">
        <v>3640</v>
      </c>
      <c r="C191" s="31">
        <v>2158880</v>
      </c>
      <c r="D191" s="31"/>
      <c r="E191" s="311">
        <v>12440</v>
      </c>
      <c r="F191" s="311"/>
      <c r="G191" s="311">
        <v>12919</v>
      </c>
      <c r="H191" s="31" t="s">
        <v>3215</v>
      </c>
      <c r="I191" s="31" t="s">
        <v>3780</v>
      </c>
      <c r="J191" s="31" t="s">
        <v>702</v>
      </c>
      <c r="K191" s="311">
        <v>12270</v>
      </c>
      <c r="L191"/>
      <c r="M191"/>
    </row>
    <row r="192" spans="1:13">
      <c r="A192" s="31" t="s">
        <v>3496</v>
      </c>
      <c r="B192" s="31" t="s">
        <v>3640</v>
      </c>
      <c r="C192" s="31">
        <v>2159742</v>
      </c>
      <c r="D192" s="31"/>
      <c r="E192" s="311">
        <v>11701</v>
      </c>
      <c r="F192" s="311"/>
      <c r="G192" s="311">
        <v>12926</v>
      </c>
      <c r="H192" s="31" t="s">
        <v>3215</v>
      </c>
      <c r="I192" s="31" t="s">
        <v>3610</v>
      </c>
      <c r="J192" s="31" t="s">
        <v>845</v>
      </c>
      <c r="K192" s="311">
        <v>11341</v>
      </c>
      <c r="L192"/>
      <c r="M192"/>
    </row>
    <row r="193" spans="1:13">
      <c r="A193" s="31" t="s">
        <v>3496</v>
      </c>
      <c r="B193" s="31" t="s">
        <v>3640</v>
      </c>
      <c r="C193" s="31">
        <v>2160587</v>
      </c>
      <c r="D193" s="31"/>
      <c r="E193" s="311">
        <v>12145</v>
      </c>
      <c r="F193" s="311"/>
      <c r="G193" s="311">
        <v>12933</v>
      </c>
      <c r="H193" s="31" t="s">
        <v>3215</v>
      </c>
      <c r="I193" s="31" t="s">
        <v>3781</v>
      </c>
      <c r="J193" s="31" t="s">
        <v>845</v>
      </c>
      <c r="K193" s="311">
        <v>11893</v>
      </c>
      <c r="L193"/>
      <c r="M193"/>
    </row>
    <row r="194" spans="1:13">
      <c r="A194" s="31" t="s">
        <v>3496</v>
      </c>
      <c r="B194" s="31" t="s">
        <v>3640</v>
      </c>
      <c r="C194" s="31">
        <v>2160635</v>
      </c>
      <c r="D194" s="31"/>
      <c r="E194" s="311">
        <v>12428</v>
      </c>
      <c r="F194" s="311"/>
      <c r="G194" s="311">
        <v>12933</v>
      </c>
      <c r="H194" s="31" t="s">
        <v>3215</v>
      </c>
      <c r="I194" s="31" t="s">
        <v>3782</v>
      </c>
      <c r="J194" s="31" t="s">
        <v>845</v>
      </c>
      <c r="K194" s="311">
        <v>12067</v>
      </c>
      <c r="L194"/>
      <c r="M194"/>
    </row>
    <row r="195" spans="1:13">
      <c r="A195" s="31" t="s">
        <v>3496</v>
      </c>
      <c r="B195" s="31" t="s">
        <v>3640</v>
      </c>
      <c r="C195" s="31">
        <v>2160687</v>
      </c>
      <c r="D195" s="31"/>
      <c r="E195" s="311">
        <v>12361</v>
      </c>
      <c r="F195" s="311"/>
      <c r="G195" s="311">
        <v>12933</v>
      </c>
      <c r="H195" s="31" t="s">
        <v>3215</v>
      </c>
      <c r="I195" s="31" t="s">
        <v>3783</v>
      </c>
      <c r="J195" s="31" t="s">
        <v>702</v>
      </c>
      <c r="K195" s="311">
        <v>11994</v>
      </c>
      <c r="L195"/>
      <c r="M195"/>
    </row>
    <row r="196" spans="1:13">
      <c r="A196" s="31" t="s">
        <v>3496</v>
      </c>
      <c r="B196" s="31" t="s">
        <v>3640</v>
      </c>
      <c r="C196" s="31">
        <v>2162569</v>
      </c>
      <c r="D196" s="31"/>
      <c r="E196" s="311">
        <v>11987</v>
      </c>
      <c r="F196" s="311"/>
      <c r="G196" s="311">
        <v>12947</v>
      </c>
      <c r="H196" s="31" t="s">
        <v>3215</v>
      </c>
      <c r="I196" s="31" t="s">
        <v>3638</v>
      </c>
      <c r="J196" s="31" t="s">
        <v>845</v>
      </c>
      <c r="K196" s="311">
        <v>11633</v>
      </c>
      <c r="L196"/>
      <c r="M196"/>
    </row>
    <row r="197" spans="1:13">
      <c r="A197" s="31" t="s">
        <v>3496</v>
      </c>
      <c r="B197" s="31" t="s">
        <v>3640</v>
      </c>
      <c r="C197" s="31">
        <v>2163393</v>
      </c>
      <c r="D197" s="31"/>
      <c r="E197" s="311">
        <v>12212</v>
      </c>
      <c r="F197" s="311"/>
      <c r="G197" s="311">
        <v>12954</v>
      </c>
      <c r="H197" s="31" t="s">
        <v>3215</v>
      </c>
      <c r="I197" s="31" t="s">
        <v>3639</v>
      </c>
      <c r="J197" s="31" t="s">
        <v>845</v>
      </c>
      <c r="K197" s="311">
        <v>11852</v>
      </c>
      <c r="L197"/>
      <c r="M197"/>
    </row>
    <row r="198" spans="1:13">
      <c r="A198" s="31" t="s">
        <v>3496</v>
      </c>
      <c r="B198" s="31" t="s">
        <v>3640</v>
      </c>
      <c r="C198" s="31">
        <v>2165119</v>
      </c>
      <c r="D198" s="31"/>
      <c r="E198" s="311">
        <v>12547</v>
      </c>
      <c r="F198" s="311"/>
      <c r="G198" s="311">
        <v>12968</v>
      </c>
      <c r="H198" s="31" t="s">
        <v>3215</v>
      </c>
      <c r="I198" s="31" t="s">
        <v>3689</v>
      </c>
      <c r="J198" s="31" t="s">
        <v>845</v>
      </c>
      <c r="K198" s="311">
        <v>12186</v>
      </c>
      <c r="L198"/>
      <c r="M198"/>
    </row>
    <row r="199" spans="1:13">
      <c r="A199" s="31" t="s">
        <v>3496</v>
      </c>
      <c r="B199" s="31" t="s">
        <v>3640</v>
      </c>
      <c r="C199" s="31">
        <v>2165976</v>
      </c>
      <c r="D199" s="31"/>
      <c r="E199" s="311">
        <v>12078</v>
      </c>
      <c r="F199" s="311"/>
      <c r="G199" s="311">
        <v>12975</v>
      </c>
      <c r="H199" s="31" t="s">
        <v>3215</v>
      </c>
      <c r="I199" s="31" t="s">
        <v>3923</v>
      </c>
      <c r="J199" s="31" t="s">
        <v>845</v>
      </c>
      <c r="K199" s="311">
        <v>11735</v>
      </c>
      <c r="L199"/>
      <c r="M199"/>
    </row>
    <row r="200" spans="1:13">
      <c r="A200" s="31" t="s">
        <v>3496</v>
      </c>
      <c r="B200" s="31" t="s">
        <v>3640</v>
      </c>
      <c r="C200" s="31">
        <v>2165982</v>
      </c>
      <c r="D200" s="31"/>
      <c r="E200" s="311">
        <v>12494</v>
      </c>
      <c r="F200" s="311"/>
      <c r="G200" s="311">
        <v>12975</v>
      </c>
      <c r="H200" s="31" t="s">
        <v>3215</v>
      </c>
      <c r="I200" s="31" t="s">
        <v>3863</v>
      </c>
      <c r="J200" s="31" t="s">
        <v>845</v>
      </c>
      <c r="K200" s="311">
        <v>12128</v>
      </c>
      <c r="L200"/>
      <c r="M200"/>
    </row>
    <row r="201" spans="1:13">
      <c r="A201" s="31" t="s">
        <v>3496</v>
      </c>
      <c r="B201" s="31" t="s">
        <v>3640</v>
      </c>
      <c r="C201" s="31">
        <v>2165983</v>
      </c>
      <c r="D201" s="31"/>
      <c r="E201" s="311">
        <v>12711</v>
      </c>
      <c r="F201" s="311"/>
      <c r="G201" s="311">
        <v>12975</v>
      </c>
      <c r="H201" s="31" t="s">
        <v>3215</v>
      </c>
      <c r="I201" s="31" t="s">
        <v>3863</v>
      </c>
      <c r="J201" s="31" t="s">
        <v>845</v>
      </c>
      <c r="K201" s="311">
        <v>12358</v>
      </c>
      <c r="L201"/>
      <c r="M201"/>
    </row>
    <row r="202" spans="1:13">
      <c r="A202" s="31" t="s">
        <v>3496</v>
      </c>
      <c r="B202" s="31" t="s">
        <v>3640</v>
      </c>
      <c r="C202" s="31">
        <v>2166785</v>
      </c>
      <c r="D202" s="31"/>
      <c r="E202" s="311">
        <v>12185</v>
      </c>
      <c r="F202" s="311"/>
      <c r="G202" s="311">
        <v>12982</v>
      </c>
      <c r="H202" s="31" t="s">
        <v>3215</v>
      </c>
      <c r="I202" s="31" t="s">
        <v>3924</v>
      </c>
      <c r="J202" s="31" t="s">
        <v>845</v>
      </c>
      <c r="K202" s="311">
        <v>11833</v>
      </c>
      <c r="L202"/>
      <c r="M202"/>
    </row>
    <row r="203" spans="1:13">
      <c r="A203" s="31" t="s">
        <v>3496</v>
      </c>
      <c r="B203" s="31" t="s">
        <v>3640</v>
      </c>
      <c r="C203" s="31">
        <v>2166823</v>
      </c>
      <c r="D203" s="31"/>
      <c r="E203" s="311">
        <v>12662</v>
      </c>
      <c r="F203" s="311"/>
      <c r="G203" s="311">
        <v>12982</v>
      </c>
      <c r="H203" s="31" t="s">
        <v>3215</v>
      </c>
      <c r="I203" s="31" t="s">
        <v>3925</v>
      </c>
      <c r="J203" s="31" t="s">
        <v>845</v>
      </c>
      <c r="K203" s="311">
        <v>12345</v>
      </c>
      <c r="L203"/>
      <c r="M203"/>
    </row>
    <row r="204" spans="1:13">
      <c r="A204" s="31" t="s">
        <v>3496</v>
      </c>
      <c r="B204" s="31" t="s">
        <v>3640</v>
      </c>
      <c r="C204" s="31">
        <v>2166833</v>
      </c>
      <c r="D204" s="31"/>
      <c r="E204" s="311">
        <v>12110</v>
      </c>
      <c r="F204" s="311"/>
      <c r="G204" s="311">
        <v>12982</v>
      </c>
      <c r="H204" s="31" t="s">
        <v>3215</v>
      </c>
      <c r="I204" s="31" t="s">
        <v>3926</v>
      </c>
      <c r="J204" s="31" t="s">
        <v>2781</v>
      </c>
      <c r="K204" s="311">
        <v>11758</v>
      </c>
      <c r="L204"/>
      <c r="M204"/>
    </row>
    <row r="205" spans="1:13">
      <c r="A205" s="31" t="s">
        <v>3496</v>
      </c>
      <c r="B205" s="31" t="s">
        <v>3640</v>
      </c>
      <c r="C205" s="31">
        <v>2167471</v>
      </c>
      <c r="D205" s="31"/>
      <c r="E205" s="311">
        <v>11590</v>
      </c>
      <c r="F205" s="311"/>
      <c r="G205" s="311">
        <v>12989</v>
      </c>
      <c r="H205" s="31" t="s">
        <v>3215</v>
      </c>
      <c r="I205" s="31" t="s">
        <v>3927</v>
      </c>
      <c r="J205" s="31" t="s">
        <v>845</v>
      </c>
      <c r="K205" s="311">
        <v>11225</v>
      </c>
      <c r="L205"/>
      <c r="M205"/>
    </row>
    <row r="206" spans="1:13">
      <c r="A206" s="31" t="s">
        <v>3496</v>
      </c>
      <c r="B206" s="31" t="s">
        <v>3640</v>
      </c>
      <c r="C206" s="31">
        <v>2167481</v>
      </c>
      <c r="D206" s="31"/>
      <c r="E206" s="311">
        <v>12780</v>
      </c>
      <c r="F206" s="311"/>
      <c r="G206" s="311">
        <v>12989</v>
      </c>
      <c r="H206" s="31" t="s">
        <v>3215</v>
      </c>
      <c r="I206" s="31" t="s">
        <v>3928</v>
      </c>
      <c r="J206" s="31" t="s">
        <v>702</v>
      </c>
      <c r="K206" s="311">
        <v>12437</v>
      </c>
      <c r="L206"/>
      <c r="M206"/>
    </row>
    <row r="207" spans="1:13">
      <c r="A207" s="31" t="s">
        <v>3496</v>
      </c>
      <c r="B207" s="31" t="s">
        <v>3640</v>
      </c>
      <c r="C207" s="31">
        <v>2167494</v>
      </c>
      <c r="D207" s="31"/>
      <c r="E207" s="311">
        <v>12100</v>
      </c>
      <c r="F207" s="311"/>
      <c r="G207" s="311">
        <v>12989</v>
      </c>
      <c r="H207" s="31" t="s">
        <v>3215</v>
      </c>
      <c r="I207" s="31" t="s">
        <v>3929</v>
      </c>
      <c r="J207" s="31" t="s">
        <v>702</v>
      </c>
      <c r="K207" s="311">
        <v>11746</v>
      </c>
      <c r="L207"/>
      <c r="M207"/>
    </row>
    <row r="208" spans="1:13">
      <c r="A208" s="31" t="s">
        <v>3496</v>
      </c>
      <c r="B208" s="31" t="s">
        <v>3640</v>
      </c>
      <c r="C208" s="31">
        <v>2167537</v>
      </c>
      <c r="D208" s="31"/>
      <c r="E208" s="311">
        <v>12284</v>
      </c>
      <c r="F208" s="311"/>
      <c r="G208" s="311">
        <v>12989</v>
      </c>
      <c r="H208" s="31" t="s">
        <v>3215</v>
      </c>
      <c r="I208" s="31" t="s">
        <v>3930</v>
      </c>
      <c r="J208" s="31" t="s">
        <v>845</v>
      </c>
      <c r="K208" s="311">
        <v>11985</v>
      </c>
      <c r="L208"/>
      <c r="M208"/>
    </row>
    <row r="209" spans="1:13">
      <c r="A209" s="31" t="s">
        <v>3496</v>
      </c>
      <c r="B209" s="31" t="s">
        <v>3640</v>
      </c>
      <c r="C209" s="31">
        <v>2167538</v>
      </c>
      <c r="D209" s="31"/>
      <c r="E209" s="311">
        <v>11991</v>
      </c>
      <c r="F209" s="311"/>
      <c r="G209" s="311">
        <v>12989</v>
      </c>
      <c r="H209" s="31" t="s">
        <v>3215</v>
      </c>
      <c r="I209" s="31" t="s">
        <v>3801</v>
      </c>
      <c r="J209" s="31" t="s">
        <v>845</v>
      </c>
      <c r="K209" s="311">
        <v>11696</v>
      </c>
      <c r="L209"/>
      <c r="M209"/>
    </row>
    <row r="210" spans="1:13">
      <c r="A210" s="31" t="s">
        <v>3496</v>
      </c>
      <c r="B210" s="31" t="s">
        <v>3640</v>
      </c>
      <c r="C210" s="31">
        <v>2168149</v>
      </c>
      <c r="D210" s="31"/>
      <c r="E210" s="311">
        <v>12234</v>
      </c>
      <c r="F210" s="311"/>
      <c r="G210" s="311">
        <v>12996</v>
      </c>
      <c r="H210" s="31" t="s">
        <v>3215</v>
      </c>
      <c r="I210" s="31" t="s">
        <v>3802</v>
      </c>
      <c r="J210" s="31" t="s">
        <v>845</v>
      </c>
      <c r="K210" s="311">
        <v>11983</v>
      </c>
      <c r="L210"/>
      <c r="M210"/>
    </row>
    <row r="211" spans="1:13">
      <c r="A211" s="31" t="s">
        <v>3496</v>
      </c>
      <c r="B211" s="31" t="s">
        <v>3640</v>
      </c>
      <c r="C211" s="31">
        <v>2169109</v>
      </c>
      <c r="D211" s="31"/>
      <c r="E211" s="311">
        <v>11877</v>
      </c>
      <c r="F211" s="311"/>
      <c r="G211" s="311">
        <v>12996</v>
      </c>
      <c r="H211" s="31" t="s">
        <v>3215</v>
      </c>
      <c r="I211" s="31" t="s">
        <v>3803</v>
      </c>
      <c r="J211" s="31" t="s">
        <v>845</v>
      </c>
      <c r="K211" s="311">
        <v>11536</v>
      </c>
      <c r="L211"/>
      <c r="M211"/>
    </row>
    <row r="212" spans="1:13">
      <c r="A212" s="31" t="s">
        <v>3496</v>
      </c>
      <c r="B212" s="31" t="s">
        <v>3640</v>
      </c>
      <c r="C212" s="31">
        <v>2169871</v>
      </c>
      <c r="D212" s="31"/>
      <c r="E212" s="311">
        <v>12178</v>
      </c>
      <c r="F212" s="311"/>
      <c r="G212" s="311">
        <v>13010</v>
      </c>
      <c r="H212" s="31" t="s">
        <v>3215</v>
      </c>
      <c r="I212" s="31" t="s">
        <v>3530</v>
      </c>
      <c r="J212" s="31" t="s">
        <v>845</v>
      </c>
      <c r="K212" s="311">
        <v>11859</v>
      </c>
      <c r="L212"/>
      <c r="M212"/>
    </row>
    <row r="213" spans="1:13">
      <c r="A213" s="31" t="s">
        <v>3496</v>
      </c>
      <c r="B213" s="31" t="s">
        <v>3640</v>
      </c>
      <c r="C213" s="31">
        <v>2169884</v>
      </c>
      <c r="D213" s="31"/>
      <c r="E213" s="311">
        <v>12477</v>
      </c>
      <c r="F213" s="311"/>
      <c r="G213" s="311">
        <v>13010</v>
      </c>
      <c r="H213" s="31" t="s">
        <v>3215</v>
      </c>
      <c r="I213" s="31" t="s">
        <v>3804</v>
      </c>
      <c r="J213" s="31" t="s">
        <v>845</v>
      </c>
      <c r="K213" s="311">
        <v>12130</v>
      </c>
      <c r="L213"/>
      <c r="M213"/>
    </row>
    <row r="214" spans="1:13">
      <c r="A214" s="31" t="s">
        <v>3496</v>
      </c>
      <c r="B214" s="31" t="s">
        <v>3640</v>
      </c>
      <c r="C214" s="31">
        <v>2171346</v>
      </c>
      <c r="D214" s="31"/>
      <c r="E214" s="311">
        <v>12565</v>
      </c>
      <c r="F214" s="311"/>
      <c r="G214" s="311">
        <v>13024</v>
      </c>
      <c r="H214" s="31" t="s">
        <v>3215</v>
      </c>
      <c r="I214" s="31" t="s">
        <v>3866</v>
      </c>
      <c r="J214" s="31" t="s">
        <v>845</v>
      </c>
      <c r="K214" s="311">
        <v>12292</v>
      </c>
      <c r="L214"/>
      <c r="M214"/>
    </row>
    <row r="215" spans="1:13">
      <c r="A215" s="31" t="s">
        <v>3496</v>
      </c>
      <c r="B215" s="31" t="s">
        <v>3640</v>
      </c>
      <c r="C215" s="31">
        <v>2172166</v>
      </c>
      <c r="D215" s="31"/>
      <c r="E215" s="311">
        <v>12485</v>
      </c>
      <c r="F215" s="311"/>
      <c r="G215" s="311">
        <v>13031</v>
      </c>
      <c r="H215" s="31" t="s">
        <v>3215</v>
      </c>
      <c r="I215" s="31" t="s">
        <v>3805</v>
      </c>
      <c r="J215" s="31" t="s">
        <v>845</v>
      </c>
      <c r="K215" s="311">
        <v>12131</v>
      </c>
      <c r="L215"/>
      <c r="M215"/>
    </row>
    <row r="216" spans="1:13">
      <c r="A216" s="31" t="s">
        <v>3496</v>
      </c>
      <c r="B216" s="31" t="s">
        <v>3640</v>
      </c>
      <c r="C216" s="31">
        <v>2172186</v>
      </c>
      <c r="D216" s="31"/>
      <c r="E216" s="311">
        <v>12410</v>
      </c>
      <c r="F216" s="311"/>
      <c r="G216" s="311">
        <v>13031</v>
      </c>
      <c r="H216" s="31" t="s">
        <v>3215</v>
      </c>
      <c r="I216" s="31" t="s">
        <v>3806</v>
      </c>
      <c r="J216" s="31" t="s">
        <v>845</v>
      </c>
      <c r="K216" s="311">
        <v>11745</v>
      </c>
      <c r="L216"/>
      <c r="M216"/>
    </row>
    <row r="217" spans="1:13">
      <c r="A217" s="31" t="s">
        <v>3496</v>
      </c>
      <c r="B217" s="31" t="s">
        <v>3640</v>
      </c>
      <c r="C217" s="31">
        <v>2173706</v>
      </c>
      <c r="D217" s="31"/>
      <c r="E217" s="311">
        <v>12444</v>
      </c>
      <c r="F217" s="311"/>
      <c r="G217" s="311">
        <v>13045</v>
      </c>
      <c r="H217" s="31" t="s">
        <v>3215</v>
      </c>
      <c r="I217" s="31" t="s">
        <v>3794</v>
      </c>
      <c r="J217" s="31" t="s">
        <v>845</v>
      </c>
      <c r="K217" s="311">
        <v>12086</v>
      </c>
      <c r="L217"/>
      <c r="M217"/>
    </row>
    <row r="218" spans="1:13">
      <c r="A218" s="31" t="s">
        <v>3496</v>
      </c>
      <c r="B218" s="31" t="s">
        <v>3640</v>
      </c>
      <c r="C218" s="31">
        <v>2174392</v>
      </c>
      <c r="D218" s="31"/>
      <c r="E218" s="311">
        <v>12150</v>
      </c>
      <c r="F218" s="311"/>
      <c r="G218" s="311">
        <v>13052</v>
      </c>
      <c r="H218" s="31" t="s">
        <v>3215</v>
      </c>
      <c r="I218" s="31" t="s">
        <v>3800</v>
      </c>
      <c r="J218" s="31" t="s">
        <v>845</v>
      </c>
      <c r="K218" s="311">
        <v>11800</v>
      </c>
      <c r="L218"/>
      <c r="M218"/>
    </row>
    <row r="219" spans="1:13">
      <c r="A219" s="31" t="s">
        <v>3496</v>
      </c>
      <c r="B219" s="31" t="s">
        <v>3640</v>
      </c>
      <c r="C219" s="31">
        <v>2175008</v>
      </c>
      <c r="D219" s="31"/>
      <c r="E219" s="311">
        <v>12835</v>
      </c>
      <c r="F219" s="311"/>
      <c r="G219" s="311">
        <v>13059</v>
      </c>
      <c r="H219" s="31" t="s">
        <v>3215</v>
      </c>
      <c r="I219" s="31" t="s">
        <v>3515</v>
      </c>
      <c r="J219" s="31" t="s">
        <v>845</v>
      </c>
      <c r="K219" s="311">
        <v>12580</v>
      </c>
      <c r="L219"/>
      <c r="M219"/>
    </row>
    <row r="220" spans="1:13">
      <c r="A220" s="31" t="s">
        <v>3496</v>
      </c>
      <c r="B220" s="31" t="s">
        <v>3640</v>
      </c>
      <c r="C220" s="31">
        <v>2175016</v>
      </c>
      <c r="D220" s="31"/>
      <c r="E220" s="311">
        <v>12207</v>
      </c>
      <c r="F220" s="311"/>
      <c r="G220" s="311">
        <v>13059</v>
      </c>
      <c r="H220" s="31" t="s">
        <v>3215</v>
      </c>
      <c r="I220" s="31" t="s">
        <v>3598</v>
      </c>
      <c r="J220" s="31" t="s">
        <v>845</v>
      </c>
      <c r="K220" s="311">
        <v>11859</v>
      </c>
      <c r="L220"/>
      <c r="M220"/>
    </row>
    <row r="221" spans="1:13">
      <c r="A221" s="31" t="s">
        <v>3496</v>
      </c>
      <c r="B221" s="31" t="s">
        <v>3640</v>
      </c>
      <c r="C221" s="31">
        <v>2175020</v>
      </c>
      <c r="D221" s="31"/>
      <c r="E221" s="311">
        <v>11886</v>
      </c>
      <c r="F221" s="311"/>
      <c r="G221" s="311">
        <v>13059</v>
      </c>
      <c r="H221" s="31" t="s">
        <v>3215</v>
      </c>
      <c r="I221" s="31" t="s">
        <v>3629</v>
      </c>
      <c r="J221" s="31" t="s">
        <v>845</v>
      </c>
      <c r="K221" s="311">
        <v>11530</v>
      </c>
      <c r="L221"/>
      <c r="M221"/>
    </row>
    <row r="222" spans="1:13">
      <c r="A222" s="31" t="s">
        <v>3496</v>
      </c>
      <c r="B222" s="31" t="s">
        <v>3640</v>
      </c>
      <c r="C222" s="31">
        <v>2175026</v>
      </c>
      <c r="D222" s="31"/>
      <c r="E222" s="311">
        <v>12582</v>
      </c>
      <c r="F222" s="311"/>
      <c r="G222" s="311">
        <v>13059</v>
      </c>
      <c r="H222" s="31" t="s">
        <v>3215</v>
      </c>
      <c r="I222" s="31" t="s">
        <v>3516</v>
      </c>
      <c r="J222" s="31" t="s">
        <v>702</v>
      </c>
      <c r="K222" s="311">
        <v>12221</v>
      </c>
      <c r="L222"/>
      <c r="M222"/>
    </row>
    <row r="223" spans="1:13">
      <c r="A223" s="31" t="s">
        <v>3496</v>
      </c>
      <c r="B223" s="31" t="s">
        <v>3640</v>
      </c>
      <c r="C223" s="31">
        <v>2175042</v>
      </c>
      <c r="D223" s="31"/>
      <c r="E223" s="311">
        <v>12787</v>
      </c>
      <c r="F223" s="311"/>
      <c r="G223" s="311">
        <v>13059</v>
      </c>
      <c r="H223" s="31" t="s">
        <v>3215</v>
      </c>
      <c r="I223" s="31" t="s">
        <v>3517</v>
      </c>
      <c r="J223" s="31" t="s">
        <v>845</v>
      </c>
      <c r="K223" s="311">
        <v>12500</v>
      </c>
      <c r="L223"/>
      <c r="M223"/>
    </row>
    <row r="224" spans="1:13">
      <c r="A224" s="31" t="s">
        <v>3496</v>
      </c>
      <c r="B224" s="31" t="s">
        <v>3640</v>
      </c>
      <c r="C224" s="31">
        <v>2175873</v>
      </c>
      <c r="D224" s="31"/>
      <c r="E224" s="311">
        <v>12719</v>
      </c>
      <c r="F224" s="311"/>
      <c r="G224" s="311">
        <v>13066</v>
      </c>
      <c r="H224" s="31" t="s">
        <v>3215</v>
      </c>
      <c r="I224" s="31" t="s">
        <v>3639</v>
      </c>
      <c r="J224" s="31" t="s">
        <v>845</v>
      </c>
      <c r="K224" s="311">
        <v>12369</v>
      </c>
      <c r="L224"/>
      <c r="M224"/>
    </row>
    <row r="225" spans="1:13">
      <c r="A225" s="31" t="s">
        <v>3496</v>
      </c>
      <c r="B225" s="31" t="s">
        <v>3640</v>
      </c>
      <c r="C225" s="31">
        <v>2175890</v>
      </c>
      <c r="D225" s="31"/>
      <c r="E225" s="311">
        <v>11638</v>
      </c>
      <c r="F225" s="311"/>
      <c r="G225" s="311">
        <v>13066</v>
      </c>
      <c r="H225" s="31" t="s">
        <v>3215</v>
      </c>
      <c r="I225" s="31" t="s">
        <v>3518</v>
      </c>
      <c r="J225" s="31" t="s">
        <v>845</v>
      </c>
      <c r="K225" s="311">
        <v>11309</v>
      </c>
      <c r="L225"/>
      <c r="M225"/>
    </row>
    <row r="226" spans="1:13">
      <c r="A226" s="31" t="s">
        <v>3496</v>
      </c>
      <c r="B226" s="31" t="s">
        <v>3640</v>
      </c>
      <c r="C226" s="31">
        <v>2175900</v>
      </c>
      <c r="D226" s="31"/>
      <c r="E226" s="311">
        <v>12440</v>
      </c>
      <c r="F226" s="311"/>
      <c r="G226" s="311">
        <v>13066</v>
      </c>
      <c r="H226" s="31" t="s">
        <v>3215</v>
      </c>
      <c r="I226" s="31" t="s">
        <v>3519</v>
      </c>
      <c r="J226" s="31" t="s">
        <v>702</v>
      </c>
      <c r="K226" s="311">
        <v>12099</v>
      </c>
      <c r="L226"/>
      <c r="M226"/>
    </row>
    <row r="227" spans="1:13">
      <c r="A227" s="31" t="s">
        <v>3496</v>
      </c>
      <c r="B227" s="31" t="s">
        <v>3640</v>
      </c>
      <c r="C227" s="31">
        <v>2175902</v>
      </c>
      <c r="D227" s="31"/>
      <c r="E227" s="311">
        <v>12838</v>
      </c>
      <c r="F227" s="311"/>
      <c r="G227" s="311">
        <v>13066</v>
      </c>
      <c r="H227" s="31" t="s">
        <v>3215</v>
      </c>
      <c r="I227" s="31" t="s">
        <v>3476</v>
      </c>
      <c r="J227" s="31" t="s">
        <v>845</v>
      </c>
      <c r="K227" s="311">
        <v>12875</v>
      </c>
      <c r="L227"/>
      <c r="M227"/>
    </row>
    <row r="228" spans="1:13">
      <c r="A228" s="31" t="s">
        <v>3496</v>
      </c>
      <c r="B228" s="31" t="s">
        <v>3640</v>
      </c>
      <c r="C228" s="31">
        <v>2176728</v>
      </c>
      <c r="D228" s="31"/>
      <c r="E228" s="311">
        <v>12572</v>
      </c>
      <c r="F228" s="311"/>
      <c r="G228" s="311">
        <v>13073</v>
      </c>
      <c r="H228" s="31" t="s">
        <v>3215</v>
      </c>
      <c r="I228" s="31" t="s">
        <v>3520</v>
      </c>
      <c r="J228" s="31" t="s">
        <v>702</v>
      </c>
      <c r="K228" s="311">
        <v>12215</v>
      </c>
      <c r="L228"/>
      <c r="M228"/>
    </row>
    <row r="229" spans="1:13">
      <c r="A229" s="31" t="s">
        <v>3496</v>
      </c>
      <c r="B229" s="31" t="s">
        <v>3640</v>
      </c>
      <c r="C229" s="31">
        <v>2177500</v>
      </c>
      <c r="D229" s="31"/>
      <c r="E229" s="311">
        <v>12481</v>
      </c>
      <c r="F229" s="311"/>
      <c r="G229" s="311">
        <v>13080</v>
      </c>
      <c r="H229" s="31" t="s">
        <v>3215</v>
      </c>
      <c r="I229" s="31" t="s">
        <v>3521</v>
      </c>
      <c r="J229" s="31" t="s">
        <v>845</v>
      </c>
      <c r="K229" s="311">
        <v>12118</v>
      </c>
      <c r="L229"/>
      <c r="M229"/>
    </row>
    <row r="230" spans="1:13">
      <c r="A230" s="31" t="s">
        <v>3496</v>
      </c>
      <c r="B230" s="31" t="s">
        <v>3640</v>
      </c>
      <c r="C230" s="31">
        <v>2178432</v>
      </c>
      <c r="D230" s="31"/>
      <c r="E230" s="311">
        <v>12642</v>
      </c>
      <c r="F230" s="311"/>
      <c r="G230" s="311">
        <v>13087</v>
      </c>
      <c r="H230" s="31" t="s">
        <v>3215</v>
      </c>
      <c r="I230" s="31" t="s">
        <v>3513</v>
      </c>
      <c r="J230" s="31" t="s">
        <v>845</v>
      </c>
      <c r="K230" s="311">
        <v>12205</v>
      </c>
      <c r="L230"/>
      <c r="M230"/>
    </row>
    <row r="231" spans="1:13">
      <c r="A231" s="31" t="s">
        <v>3496</v>
      </c>
      <c r="B231" s="31" t="s">
        <v>3640</v>
      </c>
      <c r="C231" s="31">
        <v>2178433</v>
      </c>
      <c r="D231" s="31"/>
      <c r="E231" s="311">
        <v>12642</v>
      </c>
      <c r="F231" s="311"/>
      <c r="G231" s="311">
        <v>13087</v>
      </c>
      <c r="H231" s="31" t="s">
        <v>3215</v>
      </c>
      <c r="I231" s="31" t="s">
        <v>3513</v>
      </c>
      <c r="J231" s="31" t="s">
        <v>845</v>
      </c>
      <c r="K231" s="311">
        <v>12226</v>
      </c>
      <c r="L231"/>
      <c r="M231"/>
    </row>
    <row r="232" spans="1:13">
      <c r="A232" s="31" t="s">
        <v>3496</v>
      </c>
      <c r="B232" s="31" t="s">
        <v>3640</v>
      </c>
      <c r="C232" s="31">
        <v>2179342</v>
      </c>
      <c r="D232" s="31"/>
      <c r="E232" s="311">
        <v>11659</v>
      </c>
      <c r="F232" s="311"/>
      <c r="G232" s="311">
        <v>13094</v>
      </c>
      <c r="H232" s="31" t="s">
        <v>3215</v>
      </c>
      <c r="I232" s="31" t="s">
        <v>3803</v>
      </c>
      <c r="J232" s="31" t="s">
        <v>845</v>
      </c>
      <c r="K232" s="311">
        <v>11311</v>
      </c>
      <c r="L232"/>
      <c r="M232"/>
    </row>
    <row r="233" spans="1:13">
      <c r="A233" s="31" t="s">
        <v>3496</v>
      </c>
      <c r="B233" s="31" t="s">
        <v>3640</v>
      </c>
      <c r="C233" s="31">
        <v>2180144</v>
      </c>
      <c r="D233" s="31"/>
      <c r="E233" s="311">
        <v>12165</v>
      </c>
      <c r="F233" s="311"/>
      <c r="G233" s="311">
        <v>13101</v>
      </c>
      <c r="H233" s="31" t="s">
        <v>3215</v>
      </c>
      <c r="I233" s="31" t="s">
        <v>3781</v>
      </c>
      <c r="J233" s="31" t="s">
        <v>845</v>
      </c>
      <c r="K233" s="311">
        <v>11820</v>
      </c>
      <c r="L233"/>
      <c r="M233"/>
    </row>
    <row r="234" spans="1:13">
      <c r="A234" s="31" t="s">
        <v>3496</v>
      </c>
      <c r="B234" s="31" t="s">
        <v>3640</v>
      </c>
      <c r="C234" s="31">
        <v>2180147</v>
      </c>
      <c r="D234" s="31"/>
      <c r="E234" s="311">
        <v>12207</v>
      </c>
      <c r="F234" s="311"/>
      <c r="G234" s="311">
        <v>13101</v>
      </c>
      <c r="H234" s="31" t="s">
        <v>3215</v>
      </c>
      <c r="I234" s="31" t="s">
        <v>3377</v>
      </c>
      <c r="J234" s="31" t="s">
        <v>845</v>
      </c>
      <c r="K234" s="311">
        <v>11890</v>
      </c>
      <c r="L234"/>
      <c r="M234"/>
    </row>
    <row r="235" spans="1:13">
      <c r="A235" s="31" t="s">
        <v>3496</v>
      </c>
      <c r="B235" s="31" t="s">
        <v>3640</v>
      </c>
      <c r="C235" s="31">
        <v>2180155</v>
      </c>
      <c r="D235" s="31"/>
      <c r="E235" s="311">
        <v>12500</v>
      </c>
      <c r="F235" s="311"/>
      <c r="G235" s="311">
        <v>13101</v>
      </c>
      <c r="H235" s="31" t="s">
        <v>3215</v>
      </c>
      <c r="I235" s="31" t="s">
        <v>3523</v>
      </c>
      <c r="J235" s="31" t="s">
        <v>845</v>
      </c>
      <c r="K235" s="311">
        <v>12188</v>
      </c>
      <c r="L235"/>
      <c r="M235"/>
    </row>
    <row r="236" spans="1:13">
      <c r="A236" s="31" t="s">
        <v>3496</v>
      </c>
      <c r="B236" s="31" t="s">
        <v>3640</v>
      </c>
      <c r="C236" s="31">
        <v>2180192</v>
      </c>
      <c r="D236" s="31"/>
      <c r="E236" s="311">
        <v>12829</v>
      </c>
      <c r="F236" s="311"/>
      <c r="G236" s="311">
        <v>13101</v>
      </c>
      <c r="H236" s="31" t="s">
        <v>3215</v>
      </c>
      <c r="I236" s="31" t="s">
        <v>3794</v>
      </c>
      <c r="J236" s="31" t="s">
        <v>845</v>
      </c>
      <c r="K236" s="311">
        <v>12548</v>
      </c>
      <c r="L236"/>
      <c r="M236"/>
    </row>
    <row r="237" spans="1:13">
      <c r="A237" s="31" t="s">
        <v>3496</v>
      </c>
      <c r="B237" s="31" t="s">
        <v>3640</v>
      </c>
      <c r="C237" s="31">
        <v>2180991</v>
      </c>
      <c r="D237" s="31"/>
      <c r="E237" s="311">
        <v>12731</v>
      </c>
      <c r="F237" s="311"/>
      <c r="G237" s="311">
        <v>13108</v>
      </c>
      <c r="H237" s="31" t="s">
        <v>3215</v>
      </c>
      <c r="I237" s="31" t="s">
        <v>3524</v>
      </c>
      <c r="J237" s="31" t="s">
        <v>3133</v>
      </c>
      <c r="K237" s="311">
        <v>12407</v>
      </c>
      <c r="L237"/>
      <c r="M237"/>
    </row>
    <row r="238" spans="1:13">
      <c r="A238" s="31" t="s">
        <v>3496</v>
      </c>
      <c r="B238" s="31" t="s">
        <v>3640</v>
      </c>
      <c r="C238" s="31">
        <v>2181741</v>
      </c>
      <c r="D238" s="31"/>
      <c r="E238" s="311">
        <v>13034</v>
      </c>
      <c r="F238" s="311"/>
      <c r="G238" s="311">
        <v>13115</v>
      </c>
      <c r="H238" s="31" t="s">
        <v>3215</v>
      </c>
      <c r="I238" s="31" t="s">
        <v>3866</v>
      </c>
      <c r="J238" s="31" t="s">
        <v>845</v>
      </c>
      <c r="K238" s="311">
        <v>12330</v>
      </c>
      <c r="L238"/>
      <c r="M238"/>
    </row>
    <row r="239" spans="1:13">
      <c r="A239" s="31" t="s">
        <v>3496</v>
      </c>
      <c r="B239" s="31" t="s">
        <v>3640</v>
      </c>
      <c r="C239" s="31">
        <v>2183397</v>
      </c>
      <c r="D239" s="31"/>
      <c r="E239" s="311">
        <v>12536</v>
      </c>
      <c r="F239" s="311"/>
      <c r="G239" s="311">
        <v>13129</v>
      </c>
      <c r="H239" s="31" t="s">
        <v>3215</v>
      </c>
      <c r="I239" s="31" t="s">
        <v>3665</v>
      </c>
      <c r="J239" s="31" t="s">
        <v>845</v>
      </c>
      <c r="K239" s="311">
        <v>12194</v>
      </c>
      <c r="L239"/>
      <c r="M239"/>
    </row>
    <row r="240" spans="1:13">
      <c r="A240" s="31" t="s">
        <v>3496</v>
      </c>
      <c r="B240" s="31" t="s">
        <v>3640</v>
      </c>
      <c r="C240" s="31">
        <v>2183409</v>
      </c>
      <c r="D240" s="31"/>
      <c r="E240" s="311">
        <v>12454</v>
      </c>
      <c r="F240" s="311"/>
      <c r="G240" s="311">
        <v>13129</v>
      </c>
      <c r="H240" s="31" t="s">
        <v>3215</v>
      </c>
      <c r="I240" s="31" t="s">
        <v>3666</v>
      </c>
      <c r="J240" s="31" t="s">
        <v>845</v>
      </c>
      <c r="K240" s="311">
        <v>12099</v>
      </c>
      <c r="L240"/>
      <c r="M240"/>
    </row>
    <row r="241" spans="1:13">
      <c r="A241" s="31" t="s">
        <v>3496</v>
      </c>
      <c r="B241" s="31" t="s">
        <v>3640</v>
      </c>
      <c r="C241" s="31">
        <v>2185043</v>
      </c>
      <c r="D241" s="31"/>
      <c r="E241" s="311">
        <v>12383</v>
      </c>
      <c r="F241" s="311"/>
      <c r="G241" s="311">
        <v>13143</v>
      </c>
      <c r="H241" s="31" t="s">
        <v>3215</v>
      </c>
      <c r="I241" s="31" t="s">
        <v>3667</v>
      </c>
      <c r="J241" s="31" t="s">
        <v>702</v>
      </c>
      <c r="K241" s="311">
        <v>12029</v>
      </c>
      <c r="L241"/>
      <c r="M241"/>
    </row>
    <row r="242" spans="1:13">
      <c r="A242" s="31" t="s">
        <v>3496</v>
      </c>
      <c r="B242" s="31" t="s">
        <v>3640</v>
      </c>
      <c r="C242" s="31">
        <v>2185109</v>
      </c>
      <c r="D242" s="31"/>
      <c r="E242" s="311">
        <v>12303</v>
      </c>
      <c r="F242" s="311"/>
      <c r="G242" s="311">
        <v>13143</v>
      </c>
      <c r="H242" s="31" t="s">
        <v>3215</v>
      </c>
      <c r="I242" s="31" t="s">
        <v>3668</v>
      </c>
      <c r="J242" s="31" t="s">
        <v>702</v>
      </c>
      <c r="K242" s="311">
        <v>11949</v>
      </c>
      <c r="L242"/>
      <c r="M242"/>
    </row>
    <row r="243" spans="1:13">
      <c r="A243" s="31" t="s">
        <v>3496</v>
      </c>
      <c r="B243" s="31" t="s">
        <v>3640</v>
      </c>
      <c r="C243" s="31">
        <v>2186473</v>
      </c>
      <c r="D243" s="31"/>
      <c r="E243" s="311">
        <v>12801</v>
      </c>
      <c r="F243" s="311"/>
      <c r="G243" s="311">
        <v>13157</v>
      </c>
      <c r="H243" s="31" t="s">
        <v>3215</v>
      </c>
      <c r="I243" s="31" t="s">
        <v>3533</v>
      </c>
      <c r="J243" s="31" t="s">
        <v>845</v>
      </c>
      <c r="K243" s="311">
        <v>12430</v>
      </c>
      <c r="L243"/>
      <c r="M243"/>
    </row>
    <row r="244" spans="1:13">
      <c r="A244" s="31" t="s">
        <v>3496</v>
      </c>
      <c r="B244" s="31" t="s">
        <v>3640</v>
      </c>
      <c r="C244" s="31">
        <v>2186847</v>
      </c>
      <c r="D244" s="31"/>
      <c r="E244" s="311">
        <v>12206</v>
      </c>
      <c r="F244" s="311"/>
      <c r="G244" s="311">
        <v>13157</v>
      </c>
      <c r="H244" s="31" t="s">
        <v>3215</v>
      </c>
      <c r="I244" s="31" t="s">
        <v>3653</v>
      </c>
      <c r="J244" s="31" t="s">
        <v>845</v>
      </c>
      <c r="K244" s="311">
        <v>11850</v>
      </c>
      <c r="L244"/>
      <c r="M244"/>
    </row>
    <row r="245" spans="1:13">
      <c r="A245" s="31" t="s">
        <v>3496</v>
      </c>
      <c r="B245" s="31" t="s">
        <v>3640</v>
      </c>
      <c r="C245" s="31">
        <v>2188804</v>
      </c>
      <c r="D245" s="31"/>
      <c r="E245" s="311">
        <v>12796</v>
      </c>
      <c r="F245" s="311"/>
      <c r="G245" s="311">
        <v>13178</v>
      </c>
      <c r="H245" s="31" t="s">
        <v>3215</v>
      </c>
      <c r="I245" s="31" t="s">
        <v>3532</v>
      </c>
      <c r="J245" s="31" t="s">
        <v>845</v>
      </c>
      <c r="K245" s="311">
        <v>12431</v>
      </c>
      <c r="L245"/>
      <c r="M245"/>
    </row>
    <row r="246" spans="1:13">
      <c r="A246" s="31" t="s">
        <v>3496</v>
      </c>
      <c r="B246" s="31" t="s">
        <v>3640</v>
      </c>
      <c r="C246" s="31">
        <v>2188806</v>
      </c>
      <c r="D246" s="31"/>
      <c r="E246" s="311">
        <v>12135</v>
      </c>
      <c r="F246" s="311"/>
      <c r="G246" s="311">
        <v>13178</v>
      </c>
      <c r="H246" s="31" t="s">
        <v>3215</v>
      </c>
      <c r="I246" s="31" t="s">
        <v>3530</v>
      </c>
      <c r="J246" s="31" t="s">
        <v>845</v>
      </c>
      <c r="K246" s="311">
        <v>11778</v>
      </c>
      <c r="L246"/>
      <c r="M246"/>
    </row>
    <row r="247" spans="1:13">
      <c r="A247" s="31" t="s">
        <v>3496</v>
      </c>
      <c r="B247" s="31" t="s">
        <v>3640</v>
      </c>
      <c r="C247" s="31">
        <v>2189576</v>
      </c>
      <c r="D247" s="31"/>
      <c r="E247" s="311">
        <v>12214</v>
      </c>
      <c r="F247" s="311"/>
      <c r="G247" s="311">
        <v>13185</v>
      </c>
      <c r="H247" s="31" t="s">
        <v>3215</v>
      </c>
      <c r="I247" s="31" t="s">
        <v>3598</v>
      </c>
      <c r="J247" s="31" t="s">
        <v>845</v>
      </c>
      <c r="K247" s="311">
        <v>11861</v>
      </c>
      <c r="L247"/>
      <c r="M247"/>
    </row>
    <row r="248" spans="1:13">
      <c r="A248" s="31" t="s">
        <v>3496</v>
      </c>
      <c r="B248" s="31" t="s">
        <v>3640</v>
      </c>
      <c r="C248" s="31">
        <v>2189579</v>
      </c>
      <c r="D248" s="31"/>
      <c r="E248" s="311">
        <v>12729</v>
      </c>
      <c r="F248" s="311"/>
      <c r="G248" s="311">
        <v>13185</v>
      </c>
      <c r="H248" s="31" t="s">
        <v>3215</v>
      </c>
      <c r="I248" s="31" t="s">
        <v>3527</v>
      </c>
      <c r="J248" s="31" t="s">
        <v>845</v>
      </c>
      <c r="K248" s="311">
        <v>12401</v>
      </c>
      <c r="L248"/>
      <c r="M248"/>
    </row>
    <row r="249" spans="1:13">
      <c r="A249" s="31" t="s">
        <v>3496</v>
      </c>
      <c r="B249" s="31" t="s">
        <v>3640</v>
      </c>
      <c r="C249" s="31">
        <v>2190523</v>
      </c>
      <c r="D249" s="31"/>
      <c r="E249" s="311">
        <v>12647</v>
      </c>
      <c r="F249" s="311"/>
      <c r="G249" s="311">
        <v>13192</v>
      </c>
      <c r="H249" s="31" t="s">
        <v>3215</v>
      </c>
      <c r="I249" s="31" t="s">
        <v>3534</v>
      </c>
      <c r="J249" s="31" t="s">
        <v>702</v>
      </c>
      <c r="K249" s="311">
        <v>12283</v>
      </c>
      <c r="L249"/>
      <c r="M249"/>
    </row>
    <row r="250" spans="1:13">
      <c r="A250" s="31" t="s">
        <v>3496</v>
      </c>
      <c r="B250" s="31" t="s">
        <v>3640</v>
      </c>
      <c r="C250" s="31">
        <v>2190524</v>
      </c>
      <c r="D250" s="31"/>
      <c r="E250" s="311">
        <v>12787</v>
      </c>
      <c r="F250" s="311"/>
      <c r="G250" s="311">
        <v>13192</v>
      </c>
      <c r="H250" s="31" t="s">
        <v>3215</v>
      </c>
      <c r="I250" s="31" t="s">
        <v>3535</v>
      </c>
      <c r="J250" s="31" t="s">
        <v>3133</v>
      </c>
      <c r="K250" s="311">
        <v>12439</v>
      </c>
      <c r="L250"/>
      <c r="M250"/>
    </row>
    <row r="251" spans="1:13">
      <c r="A251" s="31" t="s">
        <v>3496</v>
      </c>
      <c r="B251" s="31" t="s">
        <v>3640</v>
      </c>
      <c r="C251" s="31">
        <v>2190527</v>
      </c>
      <c r="D251" s="31"/>
      <c r="E251" s="311">
        <v>12885</v>
      </c>
      <c r="F251" s="311"/>
      <c r="G251" s="311">
        <v>13192</v>
      </c>
      <c r="H251" s="31" t="s">
        <v>3215</v>
      </c>
      <c r="I251" s="31" t="s">
        <v>3536</v>
      </c>
      <c r="J251" s="31" t="s">
        <v>702</v>
      </c>
      <c r="K251" s="311">
        <v>12579</v>
      </c>
      <c r="L251"/>
      <c r="M251"/>
    </row>
    <row r="252" spans="1:13">
      <c r="A252" s="31" t="s">
        <v>3496</v>
      </c>
      <c r="B252" s="31" t="s">
        <v>3640</v>
      </c>
      <c r="C252" s="31">
        <v>2191334</v>
      </c>
      <c r="D252" s="31"/>
      <c r="E252" s="311">
        <v>12473</v>
      </c>
      <c r="F252" s="311"/>
      <c r="G252" s="311">
        <v>13199</v>
      </c>
      <c r="H252" s="31" t="s">
        <v>3215</v>
      </c>
      <c r="I252" s="31" t="s">
        <v>3802</v>
      </c>
      <c r="J252" s="31" t="s">
        <v>845</v>
      </c>
      <c r="K252" s="311">
        <v>12115</v>
      </c>
      <c r="L252"/>
      <c r="M252"/>
    </row>
    <row r="253" spans="1:13">
      <c r="A253" s="31" t="s">
        <v>3496</v>
      </c>
      <c r="B253" s="31" t="s">
        <v>3640</v>
      </c>
      <c r="C253" s="31">
        <v>2191580</v>
      </c>
      <c r="D253" s="31"/>
      <c r="E253" s="311">
        <v>12284</v>
      </c>
      <c r="F253" s="311"/>
      <c r="G253" s="311">
        <v>13206</v>
      </c>
      <c r="H253" s="31" t="s">
        <v>3215</v>
      </c>
      <c r="I253" s="31" t="s">
        <v>3537</v>
      </c>
      <c r="J253" s="31" t="s">
        <v>845</v>
      </c>
      <c r="K253" s="311">
        <v>11928</v>
      </c>
      <c r="L253"/>
      <c r="M253"/>
    </row>
    <row r="254" spans="1:13">
      <c r="A254" s="31" t="s">
        <v>3496</v>
      </c>
      <c r="B254" s="31" t="s">
        <v>3640</v>
      </c>
      <c r="C254" s="31">
        <v>2191581</v>
      </c>
      <c r="D254" s="31"/>
      <c r="E254" s="311">
        <v>12948</v>
      </c>
      <c r="F254" s="311"/>
      <c r="G254" s="311">
        <v>13206</v>
      </c>
      <c r="H254" s="31" t="s">
        <v>3215</v>
      </c>
      <c r="I254" s="31" t="s">
        <v>3674</v>
      </c>
      <c r="J254" s="31" t="s">
        <v>845</v>
      </c>
      <c r="K254" s="311">
        <v>12587</v>
      </c>
      <c r="L254"/>
      <c r="M254"/>
    </row>
    <row r="255" spans="1:13">
      <c r="A255" s="31" t="s">
        <v>3496</v>
      </c>
      <c r="B255" s="31" t="s">
        <v>3640</v>
      </c>
      <c r="C255" s="31">
        <v>2191584</v>
      </c>
      <c r="D255" s="31"/>
      <c r="E255" s="311">
        <v>12284</v>
      </c>
      <c r="F255" s="311"/>
      <c r="G255" s="311">
        <v>13206</v>
      </c>
      <c r="H255" s="31" t="s">
        <v>3215</v>
      </c>
      <c r="I255" s="31" t="s">
        <v>3675</v>
      </c>
      <c r="J255" s="31" t="s">
        <v>845</v>
      </c>
      <c r="K255" s="311">
        <v>11928</v>
      </c>
      <c r="L255"/>
      <c r="M255"/>
    </row>
    <row r="256" spans="1:13">
      <c r="A256" s="31" t="s">
        <v>3496</v>
      </c>
      <c r="B256" s="31" t="s">
        <v>3640</v>
      </c>
      <c r="C256" s="31">
        <v>2192042</v>
      </c>
      <c r="D256" s="31"/>
      <c r="E256" s="311">
        <v>12253</v>
      </c>
      <c r="F256" s="311"/>
      <c r="G256" s="311">
        <v>13206</v>
      </c>
      <c r="H256" s="31" t="s">
        <v>3215</v>
      </c>
      <c r="I256" s="31" t="s">
        <v>3526</v>
      </c>
      <c r="J256" s="31" t="s">
        <v>845</v>
      </c>
      <c r="K256" s="311">
        <v>11956</v>
      </c>
      <c r="L256"/>
      <c r="M256"/>
    </row>
    <row r="257" spans="1:13">
      <c r="A257" s="31" t="s">
        <v>3496</v>
      </c>
      <c r="B257" s="31" t="s">
        <v>3640</v>
      </c>
      <c r="C257" s="31">
        <v>2193623</v>
      </c>
      <c r="D257" s="31"/>
      <c r="E257" s="311">
        <v>12530</v>
      </c>
      <c r="F257" s="311"/>
      <c r="G257" s="311">
        <v>13220</v>
      </c>
      <c r="H257" s="31" t="s">
        <v>3215</v>
      </c>
      <c r="I257" s="31" t="s">
        <v>3527</v>
      </c>
      <c r="J257" s="31" t="s">
        <v>845</v>
      </c>
      <c r="K257" s="311">
        <v>12172</v>
      </c>
      <c r="L257"/>
      <c r="M257"/>
    </row>
    <row r="258" spans="1:13">
      <c r="A258" s="31" t="s">
        <v>3496</v>
      </c>
      <c r="B258" s="31" t="s">
        <v>3640</v>
      </c>
      <c r="C258" s="31">
        <v>2194308</v>
      </c>
      <c r="D258" s="31"/>
      <c r="E258" s="311">
        <v>12403</v>
      </c>
      <c r="F258" s="311"/>
      <c r="G258" s="311">
        <v>13227</v>
      </c>
      <c r="H258" s="31" t="s">
        <v>3215</v>
      </c>
      <c r="I258" s="31" t="s">
        <v>3758</v>
      </c>
      <c r="J258" s="31" t="s">
        <v>845</v>
      </c>
      <c r="K258" s="311">
        <v>12057</v>
      </c>
      <c r="L258"/>
      <c r="M258"/>
    </row>
    <row r="259" spans="1:13">
      <c r="A259" s="31" t="s">
        <v>3496</v>
      </c>
      <c r="B259" s="31" t="s">
        <v>3640</v>
      </c>
      <c r="C259" s="31">
        <v>2195116</v>
      </c>
      <c r="D259" s="31"/>
      <c r="E259" s="311">
        <v>12571</v>
      </c>
      <c r="F259" s="311"/>
      <c r="G259" s="311">
        <v>13234</v>
      </c>
      <c r="H259" s="31" t="s">
        <v>3215</v>
      </c>
      <c r="I259" s="31" t="s">
        <v>3676</v>
      </c>
      <c r="J259" s="31" t="s">
        <v>845</v>
      </c>
      <c r="K259" s="311">
        <v>12218</v>
      </c>
      <c r="L259"/>
      <c r="M259"/>
    </row>
    <row r="260" spans="1:13">
      <c r="A260" s="31" t="s">
        <v>3496</v>
      </c>
      <c r="B260" s="31" t="s">
        <v>3640</v>
      </c>
      <c r="C260" s="31">
        <v>2195245</v>
      </c>
      <c r="D260" s="31"/>
      <c r="E260" s="311">
        <v>12079</v>
      </c>
      <c r="F260" s="311" t="s">
        <v>3677</v>
      </c>
      <c r="G260" s="311">
        <v>13234</v>
      </c>
      <c r="H260" s="31" t="s">
        <v>3215</v>
      </c>
      <c r="I260" s="31" t="s">
        <v>3680</v>
      </c>
      <c r="J260" s="31" t="s">
        <v>845</v>
      </c>
      <c r="K260" s="311">
        <v>11722</v>
      </c>
      <c r="L260"/>
      <c r="M260"/>
    </row>
    <row r="261" spans="1:13">
      <c r="A261" s="31" t="s">
        <v>3496</v>
      </c>
      <c r="B261" s="31" t="s">
        <v>3640</v>
      </c>
      <c r="C261" s="31">
        <v>2196034</v>
      </c>
      <c r="D261" s="31"/>
      <c r="E261" s="311">
        <v>12851</v>
      </c>
      <c r="F261" s="311"/>
      <c r="G261" s="311">
        <v>13241</v>
      </c>
      <c r="H261" s="31" t="s">
        <v>3215</v>
      </c>
      <c r="I261" s="31" t="s">
        <v>3681</v>
      </c>
      <c r="J261" s="31" t="s">
        <v>845</v>
      </c>
      <c r="K261" s="311">
        <v>12501</v>
      </c>
      <c r="L261"/>
      <c r="M261"/>
    </row>
    <row r="262" spans="1:13">
      <c r="A262" s="31" t="s">
        <v>3496</v>
      </c>
      <c r="B262" s="31" t="s">
        <v>3640</v>
      </c>
      <c r="C262" s="31">
        <v>2196820</v>
      </c>
      <c r="D262" s="31"/>
      <c r="E262" s="311">
        <v>12849</v>
      </c>
      <c r="F262" s="311"/>
      <c r="G262" s="311">
        <v>13248</v>
      </c>
      <c r="H262" s="31" t="s">
        <v>3215</v>
      </c>
      <c r="I262" s="31" t="s">
        <v>3759</v>
      </c>
      <c r="J262" s="285" t="s">
        <v>845</v>
      </c>
      <c r="K262" s="311">
        <v>12129</v>
      </c>
      <c r="L262"/>
      <c r="M262"/>
    </row>
    <row r="263" spans="1:13">
      <c r="A263" s="31" t="s">
        <v>3496</v>
      </c>
      <c r="B263" s="31" t="s">
        <v>3640</v>
      </c>
      <c r="C263" s="31">
        <v>2196824</v>
      </c>
      <c r="D263" s="31"/>
      <c r="E263" s="311">
        <v>11910</v>
      </c>
      <c r="F263" s="311"/>
      <c r="G263" s="311">
        <v>13248</v>
      </c>
      <c r="H263" s="31" t="s">
        <v>3215</v>
      </c>
      <c r="I263" s="31" t="s">
        <v>3682</v>
      </c>
      <c r="J263" s="31" t="s">
        <v>845</v>
      </c>
      <c r="K263" s="311">
        <v>11546</v>
      </c>
      <c r="L263"/>
      <c r="M263"/>
    </row>
    <row r="264" spans="1:13">
      <c r="A264" s="31" t="s">
        <v>3496</v>
      </c>
      <c r="B264" s="31" t="s">
        <v>3640</v>
      </c>
      <c r="C264" s="31">
        <v>2196855</v>
      </c>
      <c r="D264" s="31"/>
      <c r="E264" s="311">
        <v>11548</v>
      </c>
      <c r="F264" s="311"/>
      <c r="G264" s="311">
        <v>13248</v>
      </c>
      <c r="H264" s="31" t="s">
        <v>3215</v>
      </c>
      <c r="I264" s="31" t="s">
        <v>3830</v>
      </c>
      <c r="J264" s="31" t="s">
        <v>845</v>
      </c>
      <c r="K264" s="311">
        <v>11247</v>
      </c>
      <c r="L264"/>
      <c r="M264"/>
    </row>
    <row r="265" spans="1:13">
      <c r="A265" s="31" t="s">
        <v>3496</v>
      </c>
      <c r="B265" s="31" t="s">
        <v>3640</v>
      </c>
      <c r="C265" s="31">
        <v>2196868</v>
      </c>
      <c r="D265" s="31"/>
      <c r="E265" s="311">
        <v>12566</v>
      </c>
      <c r="F265" s="311"/>
      <c r="G265" s="311">
        <v>13248</v>
      </c>
      <c r="H265" s="31" t="s">
        <v>3215</v>
      </c>
      <c r="I265" s="31" t="s">
        <v>3715</v>
      </c>
      <c r="J265" s="31" t="s">
        <v>845</v>
      </c>
      <c r="K265" s="311">
        <v>12249</v>
      </c>
      <c r="L265"/>
      <c r="M265"/>
    </row>
    <row r="266" spans="1:13">
      <c r="A266" s="31" t="s">
        <v>3496</v>
      </c>
      <c r="B266" s="31" t="s">
        <v>3640</v>
      </c>
      <c r="C266" s="31">
        <v>2197635</v>
      </c>
      <c r="D266" s="31"/>
      <c r="E266" s="311">
        <v>12366</v>
      </c>
      <c r="F266" s="311"/>
      <c r="G266" s="311">
        <v>13255</v>
      </c>
      <c r="H266" s="31" t="s">
        <v>3215</v>
      </c>
      <c r="I266" s="31" t="s">
        <v>3387</v>
      </c>
      <c r="J266" s="31" t="s">
        <v>845</v>
      </c>
      <c r="K266" s="311">
        <v>12008</v>
      </c>
      <c r="L266"/>
      <c r="M266"/>
    </row>
    <row r="267" spans="1:13">
      <c r="A267" s="31" t="s">
        <v>3496</v>
      </c>
      <c r="B267" s="31" t="s">
        <v>3640</v>
      </c>
      <c r="C267" s="31">
        <v>2197651</v>
      </c>
      <c r="D267" s="31"/>
      <c r="E267" s="311">
        <v>13002</v>
      </c>
      <c r="F267" s="311"/>
      <c r="G267" s="311">
        <v>13255</v>
      </c>
      <c r="H267" s="31" t="s">
        <v>3215</v>
      </c>
      <c r="I267" s="31" t="s">
        <v>3866</v>
      </c>
      <c r="J267" s="31" t="s">
        <v>845</v>
      </c>
      <c r="K267" s="311">
        <v>12739</v>
      </c>
      <c r="L267"/>
      <c r="M267"/>
    </row>
    <row r="268" spans="1:13">
      <c r="A268" s="31" t="s">
        <v>3496</v>
      </c>
      <c r="B268" s="31" t="s">
        <v>3640</v>
      </c>
      <c r="C268" s="31">
        <v>2201829</v>
      </c>
      <c r="D268" s="31"/>
      <c r="E268" s="311">
        <v>12759</v>
      </c>
      <c r="F268" s="311"/>
      <c r="G268" s="311">
        <v>13290</v>
      </c>
      <c r="H268" s="31" t="s">
        <v>3215</v>
      </c>
      <c r="I268" s="31" t="s">
        <v>3831</v>
      </c>
      <c r="J268" s="31" t="s">
        <v>845</v>
      </c>
      <c r="K268" s="311">
        <v>12408</v>
      </c>
      <c r="L268"/>
      <c r="M268"/>
    </row>
    <row r="269" spans="1:13">
      <c r="A269" s="31" t="s">
        <v>3496</v>
      </c>
      <c r="B269" s="31" t="s">
        <v>3640</v>
      </c>
      <c r="C269" s="31">
        <v>2201864</v>
      </c>
      <c r="D269" s="31"/>
      <c r="E269" s="311">
        <v>12024</v>
      </c>
      <c r="F269" s="311"/>
      <c r="G269" s="311">
        <v>13290</v>
      </c>
      <c r="H269" s="31" t="s">
        <v>3215</v>
      </c>
      <c r="I269" s="31" t="s">
        <v>3832</v>
      </c>
      <c r="J269" s="31" t="s">
        <v>845</v>
      </c>
      <c r="K269" s="311">
        <v>11666</v>
      </c>
      <c r="L269"/>
      <c r="M269"/>
    </row>
    <row r="270" spans="1:13">
      <c r="A270" s="31" t="s">
        <v>3496</v>
      </c>
      <c r="B270" s="31" t="s">
        <v>3640</v>
      </c>
      <c r="C270" s="31">
        <v>2201873</v>
      </c>
      <c r="D270" s="31"/>
      <c r="E270" s="311">
        <v>10758</v>
      </c>
      <c r="F270" s="311"/>
      <c r="G270" s="311">
        <v>13290</v>
      </c>
      <c r="H270" s="31" t="s">
        <v>3215</v>
      </c>
      <c r="I270" s="31" t="s">
        <v>3759</v>
      </c>
      <c r="J270" s="31" t="s">
        <v>845</v>
      </c>
      <c r="K270" s="311">
        <v>12225</v>
      </c>
      <c r="L270"/>
      <c r="M270"/>
    </row>
    <row r="271" spans="1:13">
      <c r="A271" s="31" t="s">
        <v>3496</v>
      </c>
      <c r="B271" s="31" t="s">
        <v>3640</v>
      </c>
      <c r="C271" s="31">
        <v>2202719</v>
      </c>
      <c r="D271" s="31"/>
      <c r="E271" s="311">
        <v>12776</v>
      </c>
      <c r="F271" s="311"/>
      <c r="G271" s="311">
        <v>13297</v>
      </c>
      <c r="H271" s="31" t="s">
        <v>3215</v>
      </c>
      <c r="I271" s="31" t="s">
        <v>3833</v>
      </c>
      <c r="J271" s="31" t="s">
        <v>845</v>
      </c>
      <c r="K271" s="311">
        <v>12111</v>
      </c>
      <c r="L271"/>
      <c r="M271"/>
    </row>
    <row r="272" spans="1:13">
      <c r="A272" s="31" t="s">
        <v>3496</v>
      </c>
      <c r="B272" s="31" t="s">
        <v>3640</v>
      </c>
      <c r="C272" s="31">
        <v>2202720</v>
      </c>
      <c r="D272" s="31"/>
      <c r="E272" s="311">
        <v>12597</v>
      </c>
      <c r="F272" s="311"/>
      <c r="G272" s="311">
        <v>13297</v>
      </c>
      <c r="H272" s="31" t="s">
        <v>3215</v>
      </c>
      <c r="I272" s="31" t="s">
        <v>3834</v>
      </c>
      <c r="J272" s="31" t="s">
        <v>845</v>
      </c>
      <c r="K272" s="311">
        <v>12243</v>
      </c>
      <c r="L272"/>
      <c r="M272"/>
    </row>
    <row r="273" spans="1:13">
      <c r="A273" s="31" t="s">
        <v>3496</v>
      </c>
      <c r="B273" s="31" t="s">
        <v>3640</v>
      </c>
      <c r="C273" s="31">
        <v>2203527</v>
      </c>
      <c r="D273" s="31"/>
      <c r="E273" s="311">
        <v>12766</v>
      </c>
      <c r="F273" s="311"/>
      <c r="G273" s="311">
        <v>13304</v>
      </c>
      <c r="H273" s="31" t="s">
        <v>3215</v>
      </c>
      <c r="I273" s="31" t="s">
        <v>3835</v>
      </c>
      <c r="J273" s="31" t="s">
        <v>702</v>
      </c>
      <c r="K273" s="311">
        <v>12417</v>
      </c>
      <c r="L273"/>
      <c r="M273"/>
    </row>
    <row r="274" spans="1:13">
      <c r="A274" s="31" t="s">
        <v>3496</v>
      </c>
      <c r="B274" s="31" t="s">
        <v>3640</v>
      </c>
      <c r="C274" s="31">
        <v>2203548</v>
      </c>
      <c r="D274" s="31"/>
      <c r="E274" s="311">
        <v>12695</v>
      </c>
      <c r="F274" s="311"/>
      <c r="G274" s="311">
        <v>13304</v>
      </c>
      <c r="H274" s="31" t="s">
        <v>3215</v>
      </c>
      <c r="I274" s="31" t="s">
        <v>3836</v>
      </c>
      <c r="J274" s="31" t="s">
        <v>702</v>
      </c>
      <c r="K274" s="311">
        <v>12339</v>
      </c>
      <c r="L274"/>
      <c r="M274"/>
    </row>
    <row r="275" spans="1:13">
      <c r="A275" s="31" t="s">
        <v>3496</v>
      </c>
      <c r="B275" s="31" t="s">
        <v>3640</v>
      </c>
      <c r="C275" s="31">
        <v>2205321</v>
      </c>
      <c r="D275" s="31"/>
      <c r="E275" s="311">
        <v>12907</v>
      </c>
      <c r="F275" s="311"/>
      <c r="G275" s="311">
        <v>13318</v>
      </c>
      <c r="H275" s="31" t="s">
        <v>3215</v>
      </c>
      <c r="I275" s="31" t="s">
        <v>3837</v>
      </c>
      <c r="J275" s="31" t="s">
        <v>845</v>
      </c>
      <c r="K275" s="311">
        <v>12557</v>
      </c>
      <c r="L275"/>
      <c r="M275"/>
    </row>
    <row r="276" spans="1:13">
      <c r="A276" s="31" t="s">
        <v>3496</v>
      </c>
      <c r="B276" s="31" t="s">
        <v>3640</v>
      </c>
      <c r="C276" s="31">
        <v>2205897</v>
      </c>
      <c r="D276" s="31"/>
      <c r="E276" s="311">
        <v>12212</v>
      </c>
      <c r="F276" s="311"/>
      <c r="G276" s="311">
        <v>13325</v>
      </c>
      <c r="H276" s="31" t="s">
        <v>3215</v>
      </c>
      <c r="I276" s="31" t="s">
        <v>3598</v>
      </c>
      <c r="J276" s="31" t="s">
        <v>845</v>
      </c>
      <c r="K276" s="311">
        <v>11852</v>
      </c>
      <c r="L276"/>
      <c r="M276"/>
    </row>
    <row r="277" spans="1:13">
      <c r="A277" s="31" t="s">
        <v>3496</v>
      </c>
      <c r="B277" s="31" t="s">
        <v>3640</v>
      </c>
      <c r="C277" s="31">
        <v>2206715</v>
      </c>
      <c r="D277" s="31"/>
      <c r="E277" s="311">
        <v>12431</v>
      </c>
      <c r="F277" s="311"/>
      <c r="G277" s="311">
        <v>13332</v>
      </c>
      <c r="H277" s="31" t="s">
        <v>3215</v>
      </c>
      <c r="I277" s="31" t="s">
        <v>3690</v>
      </c>
      <c r="J277" s="31" t="s">
        <v>845</v>
      </c>
      <c r="K277" s="311">
        <v>12075</v>
      </c>
      <c r="L277"/>
      <c r="M277"/>
    </row>
    <row r="278" spans="1:13">
      <c r="A278" s="31" t="s">
        <v>3496</v>
      </c>
      <c r="B278" s="31" t="s">
        <v>3640</v>
      </c>
      <c r="C278" s="31">
        <v>2207579</v>
      </c>
      <c r="D278" s="31"/>
      <c r="E278" s="311">
        <v>12800</v>
      </c>
      <c r="F278" s="311"/>
      <c r="G278" s="311">
        <v>13339</v>
      </c>
      <c r="H278" s="31" t="s">
        <v>3215</v>
      </c>
      <c r="I278" s="31" t="s">
        <v>3691</v>
      </c>
      <c r="J278" s="31" t="s">
        <v>845</v>
      </c>
      <c r="K278" s="311">
        <v>12430</v>
      </c>
      <c r="L278"/>
      <c r="M278"/>
    </row>
    <row r="279" spans="1:13">
      <c r="A279" s="31" t="s">
        <v>3496</v>
      </c>
      <c r="B279" s="31" t="s">
        <v>3640</v>
      </c>
      <c r="C279" s="31">
        <v>2207592</v>
      </c>
      <c r="D279" s="31"/>
      <c r="E279" s="311">
        <v>12800</v>
      </c>
      <c r="F279" s="311"/>
      <c r="G279" s="311">
        <v>13339</v>
      </c>
      <c r="H279" s="31" t="s">
        <v>3215</v>
      </c>
      <c r="I279" s="31" t="s">
        <v>3691</v>
      </c>
      <c r="J279" s="31" t="s">
        <v>845</v>
      </c>
      <c r="K279" s="311">
        <v>12430</v>
      </c>
      <c r="L279"/>
      <c r="M279"/>
    </row>
    <row r="280" spans="1:13">
      <c r="A280" s="31" t="s">
        <v>3496</v>
      </c>
      <c r="B280" s="31" t="s">
        <v>3640</v>
      </c>
      <c r="C280" s="31">
        <v>2208455</v>
      </c>
      <c r="D280" s="31"/>
      <c r="E280" s="311">
        <v>13100</v>
      </c>
      <c r="F280" s="311"/>
      <c r="G280" s="311">
        <v>13346</v>
      </c>
      <c r="H280" s="31" t="s">
        <v>3215</v>
      </c>
      <c r="I280" s="31" t="s">
        <v>3555</v>
      </c>
      <c r="J280" s="31" t="s">
        <v>845</v>
      </c>
      <c r="K280" s="311">
        <v>12737</v>
      </c>
      <c r="L280"/>
      <c r="M280"/>
    </row>
    <row r="281" spans="1:13">
      <c r="A281" s="31" t="s">
        <v>3496</v>
      </c>
      <c r="B281" s="31" t="s">
        <v>3640</v>
      </c>
      <c r="C281" s="31">
        <v>2209241</v>
      </c>
      <c r="D281" s="31"/>
      <c r="E281" s="311">
        <v>10731</v>
      </c>
      <c r="F281" s="311"/>
      <c r="G281" s="311">
        <v>13353</v>
      </c>
      <c r="H281" s="31" t="s">
        <v>3215</v>
      </c>
      <c r="I281" s="31" t="s">
        <v>3556</v>
      </c>
      <c r="J281" s="31" t="s">
        <v>845</v>
      </c>
      <c r="K281" s="311">
        <v>12229</v>
      </c>
      <c r="L281"/>
      <c r="M281"/>
    </row>
    <row r="282" spans="1:13">
      <c r="A282" s="31" t="s">
        <v>3496</v>
      </c>
      <c r="B282" s="31" t="s">
        <v>3640</v>
      </c>
      <c r="C282" s="31">
        <v>2209818</v>
      </c>
      <c r="D282" s="31"/>
      <c r="E282" s="311">
        <v>12912</v>
      </c>
      <c r="F282" s="311"/>
      <c r="G282" s="311">
        <v>13360</v>
      </c>
      <c r="H282" s="31" t="s">
        <v>3215</v>
      </c>
      <c r="I282" s="31" t="s">
        <v>3557</v>
      </c>
      <c r="J282" s="31" t="s">
        <v>845</v>
      </c>
      <c r="K282" s="311">
        <v>12565</v>
      </c>
      <c r="L282"/>
      <c r="M282"/>
    </row>
    <row r="283" spans="1:13">
      <c r="A283" s="31" t="s">
        <v>3496</v>
      </c>
      <c r="B283" s="31" t="s">
        <v>3640</v>
      </c>
      <c r="C283" s="31">
        <v>2209823</v>
      </c>
      <c r="D283" s="31"/>
      <c r="E283" s="311">
        <v>12394</v>
      </c>
      <c r="F283" s="311"/>
      <c r="G283" s="311">
        <v>13360</v>
      </c>
      <c r="H283" s="31" t="s">
        <v>3215</v>
      </c>
      <c r="I283" s="31" t="s">
        <v>3477</v>
      </c>
      <c r="J283" s="31" t="s">
        <v>845</v>
      </c>
      <c r="K283" s="311">
        <v>12038</v>
      </c>
      <c r="L283"/>
      <c r="M283"/>
    </row>
    <row r="284" spans="1:13">
      <c r="A284" s="31" t="s">
        <v>3496</v>
      </c>
      <c r="B284" s="31" t="s">
        <v>3640</v>
      </c>
      <c r="C284" s="31">
        <v>2209928</v>
      </c>
      <c r="D284" s="31"/>
      <c r="E284" s="311">
        <v>12373</v>
      </c>
      <c r="F284" s="311"/>
      <c r="G284" s="311">
        <v>13360</v>
      </c>
      <c r="H284" s="31" t="s">
        <v>3215</v>
      </c>
      <c r="I284" s="31" t="s">
        <v>3552</v>
      </c>
      <c r="J284" s="31" t="s">
        <v>845</v>
      </c>
      <c r="K284" s="311">
        <v>12032</v>
      </c>
      <c r="L284"/>
      <c r="M284"/>
    </row>
    <row r="285" spans="1:13">
      <c r="A285" s="31" t="s">
        <v>3496</v>
      </c>
      <c r="B285" s="31" t="s">
        <v>3640</v>
      </c>
      <c r="C285" s="31">
        <v>2209932</v>
      </c>
      <c r="D285" s="31"/>
      <c r="E285" s="311">
        <v>12764</v>
      </c>
      <c r="F285" s="311"/>
      <c r="G285" s="311">
        <v>13360</v>
      </c>
      <c r="H285" s="31" t="s">
        <v>3215</v>
      </c>
      <c r="I285" s="31" t="s">
        <v>3654</v>
      </c>
      <c r="J285" s="31" t="s">
        <v>845</v>
      </c>
      <c r="K285" s="311">
        <v>12411</v>
      </c>
      <c r="L285"/>
      <c r="M285"/>
    </row>
    <row r="286" spans="1:13">
      <c r="A286" s="31" t="s">
        <v>3496</v>
      </c>
      <c r="B286" s="31" t="s">
        <v>3640</v>
      </c>
      <c r="C286" s="31">
        <v>2210785</v>
      </c>
      <c r="D286" s="31"/>
      <c r="E286" s="311">
        <v>13083</v>
      </c>
      <c r="F286" s="311"/>
      <c r="G286" s="311">
        <v>13367</v>
      </c>
      <c r="H286" s="31" t="s">
        <v>3215</v>
      </c>
      <c r="I286" s="31" t="s">
        <v>3653</v>
      </c>
      <c r="J286" s="31" t="s">
        <v>845</v>
      </c>
      <c r="K286" s="311">
        <v>12720</v>
      </c>
      <c r="L286"/>
      <c r="M286"/>
    </row>
    <row r="287" spans="1:13">
      <c r="A287" s="31" t="s">
        <v>3496</v>
      </c>
      <c r="B287" s="31" t="s">
        <v>3640</v>
      </c>
      <c r="C287" s="31">
        <v>2210786</v>
      </c>
      <c r="D287" s="31"/>
      <c r="E287" s="311">
        <v>12842</v>
      </c>
      <c r="F287" s="311"/>
      <c r="G287" s="311">
        <v>13367</v>
      </c>
      <c r="H287" s="31" t="s">
        <v>3215</v>
      </c>
      <c r="I287" s="31" t="s">
        <v>3558</v>
      </c>
      <c r="J287" s="31" t="s">
        <v>845</v>
      </c>
      <c r="K287" s="311">
        <v>12479</v>
      </c>
      <c r="L287"/>
      <c r="M287"/>
    </row>
    <row r="288" spans="1:13">
      <c r="A288" s="31" t="s">
        <v>3496</v>
      </c>
      <c r="B288" s="31" t="s">
        <v>3640</v>
      </c>
      <c r="C288" s="31">
        <v>2212399</v>
      </c>
      <c r="D288" s="31"/>
      <c r="E288" s="311">
        <v>13265</v>
      </c>
      <c r="F288" s="311"/>
      <c r="G288" s="311">
        <v>13381</v>
      </c>
      <c r="H288" s="31" t="s">
        <v>3215</v>
      </c>
      <c r="I288" s="31" t="s">
        <v>3559</v>
      </c>
      <c r="J288" s="31" t="s">
        <v>845</v>
      </c>
      <c r="K288" s="311">
        <v>12803</v>
      </c>
      <c r="L288"/>
      <c r="M288"/>
    </row>
    <row r="289" spans="1:13">
      <c r="A289" s="31" t="s">
        <v>3496</v>
      </c>
      <c r="B289" s="31" t="s">
        <v>3640</v>
      </c>
      <c r="C289" s="31">
        <v>2212404</v>
      </c>
      <c r="D289" s="31"/>
      <c r="E289" s="311">
        <v>12734</v>
      </c>
      <c r="F289" s="311"/>
      <c r="G289" s="311">
        <v>13381</v>
      </c>
      <c r="H289" s="31" t="s">
        <v>3215</v>
      </c>
      <c r="I289" s="31" t="s">
        <v>3694</v>
      </c>
      <c r="J289" s="31" t="s">
        <v>702</v>
      </c>
      <c r="K289" s="311">
        <v>12368</v>
      </c>
      <c r="L289"/>
      <c r="M289"/>
    </row>
    <row r="290" spans="1:13">
      <c r="A290" s="31" t="s">
        <v>3496</v>
      </c>
      <c r="B290" s="31" t="s">
        <v>3640</v>
      </c>
      <c r="C290" s="31">
        <v>2213080</v>
      </c>
      <c r="D290" s="31"/>
      <c r="E290" s="311">
        <v>12619</v>
      </c>
      <c r="F290" s="311"/>
      <c r="G290" s="311">
        <v>13388</v>
      </c>
      <c r="H290" s="31" t="s">
        <v>3215</v>
      </c>
      <c r="I290" s="31" t="s">
        <v>3695</v>
      </c>
      <c r="J290" s="31" t="s">
        <v>845</v>
      </c>
      <c r="K290" s="311">
        <v>12298</v>
      </c>
      <c r="L290"/>
      <c r="M290"/>
    </row>
    <row r="291" spans="1:13">
      <c r="A291" s="31" t="s">
        <v>3496</v>
      </c>
      <c r="B291" s="31" t="s">
        <v>3640</v>
      </c>
      <c r="C291" s="31">
        <v>2213086</v>
      </c>
      <c r="D291" s="31"/>
      <c r="E291" s="311">
        <v>12395</v>
      </c>
      <c r="F291" s="311"/>
      <c r="G291" s="311">
        <v>13388</v>
      </c>
      <c r="H291" s="31" t="s">
        <v>3215</v>
      </c>
      <c r="I291" s="31" t="s">
        <v>3696</v>
      </c>
      <c r="J291" s="31" t="s">
        <v>845</v>
      </c>
      <c r="K291" s="311">
        <v>12036</v>
      </c>
      <c r="L291"/>
      <c r="M291"/>
    </row>
    <row r="292" spans="1:13">
      <c r="A292" s="31" t="s">
        <v>3496</v>
      </c>
      <c r="B292" s="31" t="s">
        <v>3640</v>
      </c>
      <c r="C292" s="31">
        <v>2213093</v>
      </c>
      <c r="D292" s="31"/>
      <c r="E292" s="311">
        <v>12487</v>
      </c>
      <c r="F292" s="311"/>
      <c r="G292" s="311">
        <v>13388</v>
      </c>
      <c r="H292" s="31" t="s">
        <v>3215</v>
      </c>
      <c r="I292" s="31" t="s">
        <v>3697</v>
      </c>
      <c r="J292" s="31" t="s">
        <v>845</v>
      </c>
      <c r="K292" s="311">
        <v>12137</v>
      </c>
      <c r="L292"/>
      <c r="M292"/>
    </row>
    <row r="293" spans="1:13">
      <c r="A293" s="31" t="s">
        <v>3496</v>
      </c>
      <c r="B293" s="31" t="s">
        <v>3640</v>
      </c>
      <c r="C293" s="31">
        <v>2213882</v>
      </c>
      <c r="D293" s="31"/>
      <c r="E293" s="311">
        <v>12710</v>
      </c>
      <c r="F293" s="311"/>
      <c r="G293" s="311">
        <v>13395</v>
      </c>
      <c r="H293" s="31" t="s">
        <v>3215</v>
      </c>
      <c r="I293" s="31" t="s">
        <v>3698</v>
      </c>
      <c r="J293" s="31" t="s">
        <v>702</v>
      </c>
      <c r="K293" s="311">
        <v>12565</v>
      </c>
      <c r="L293"/>
      <c r="M293"/>
    </row>
    <row r="294" spans="1:13">
      <c r="A294" s="31" t="s">
        <v>3496</v>
      </c>
      <c r="B294" s="31" t="s">
        <v>3640</v>
      </c>
      <c r="C294" s="31">
        <v>2214853</v>
      </c>
      <c r="D294" s="31"/>
      <c r="E294" s="311">
        <v>12631</v>
      </c>
      <c r="F294" s="311"/>
      <c r="G294" s="311">
        <v>13409</v>
      </c>
      <c r="H294" s="31" t="s">
        <v>3215</v>
      </c>
      <c r="I294" s="31" t="s">
        <v>3460</v>
      </c>
      <c r="J294" s="31" t="s">
        <v>845</v>
      </c>
      <c r="K294" s="311">
        <v>12278</v>
      </c>
      <c r="L294"/>
      <c r="M294"/>
    </row>
    <row r="295" spans="1:13">
      <c r="A295" s="31" t="s">
        <v>3496</v>
      </c>
      <c r="B295" s="31" t="s">
        <v>3640</v>
      </c>
      <c r="C295" s="31">
        <v>2214856</v>
      </c>
      <c r="D295" s="31"/>
      <c r="E295" s="311">
        <v>12612</v>
      </c>
      <c r="F295" s="311"/>
      <c r="G295" s="311">
        <v>13409</v>
      </c>
      <c r="H295" s="31" t="s">
        <v>3215</v>
      </c>
      <c r="I295" s="31" t="s">
        <v>3699</v>
      </c>
      <c r="J295" s="31" t="s">
        <v>845</v>
      </c>
      <c r="K295" s="311">
        <v>12255</v>
      </c>
      <c r="L295"/>
      <c r="M295"/>
    </row>
    <row r="296" spans="1:13">
      <c r="A296" s="31" t="s">
        <v>3496</v>
      </c>
      <c r="B296" s="31" t="s">
        <v>3640</v>
      </c>
      <c r="C296" s="31">
        <v>2215317</v>
      </c>
      <c r="D296" s="31"/>
      <c r="E296" s="311">
        <v>12885</v>
      </c>
      <c r="F296" s="311"/>
      <c r="G296" s="311">
        <v>13409</v>
      </c>
      <c r="H296" s="31" t="s">
        <v>3215</v>
      </c>
      <c r="I296" s="31" t="s">
        <v>3700</v>
      </c>
      <c r="J296" s="31" t="s">
        <v>845</v>
      </c>
      <c r="K296" s="311">
        <v>12579</v>
      </c>
      <c r="L296"/>
      <c r="M296"/>
    </row>
    <row r="297" spans="1:13">
      <c r="A297" s="31" t="s">
        <v>3496</v>
      </c>
      <c r="B297" s="31" t="s">
        <v>3640</v>
      </c>
      <c r="C297" s="31">
        <v>2215999</v>
      </c>
      <c r="D297" s="31"/>
      <c r="E297" s="311">
        <v>12199</v>
      </c>
      <c r="F297" s="311"/>
      <c r="G297" s="311">
        <v>13416</v>
      </c>
      <c r="H297" s="31" t="s">
        <v>3215</v>
      </c>
      <c r="I297" s="31" t="s">
        <v>3598</v>
      </c>
      <c r="J297" s="31" t="s">
        <v>845</v>
      </c>
      <c r="K297" s="311">
        <v>11852</v>
      </c>
      <c r="L297"/>
      <c r="M297"/>
    </row>
    <row r="298" spans="1:13">
      <c r="A298" s="31" t="s">
        <v>3496</v>
      </c>
      <c r="B298" s="31" t="s">
        <v>3640</v>
      </c>
      <c r="C298" s="31">
        <v>2216583</v>
      </c>
      <c r="D298" s="31"/>
      <c r="E298" s="311">
        <v>13150</v>
      </c>
      <c r="F298" s="311"/>
      <c r="G298" s="311">
        <v>13423</v>
      </c>
      <c r="H298" s="31" t="s">
        <v>3215</v>
      </c>
      <c r="I298" s="31" t="s">
        <v>3701</v>
      </c>
      <c r="J298" s="31" t="s">
        <v>845</v>
      </c>
      <c r="K298" s="311">
        <v>12793</v>
      </c>
      <c r="L298"/>
      <c r="M298"/>
    </row>
    <row r="299" spans="1:13">
      <c r="A299" s="31" t="s">
        <v>3496</v>
      </c>
      <c r="B299" s="31" t="s">
        <v>3640</v>
      </c>
      <c r="C299" s="31">
        <v>2217443</v>
      </c>
      <c r="D299" s="31"/>
      <c r="E299" s="311">
        <v>12550</v>
      </c>
      <c r="F299" s="311"/>
      <c r="G299" s="311">
        <v>13430</v>
      </c>
      <c r="H299" s="31" t="s">
        <v>3215</v>
      </c>
      <c r="I299" s="31" t="s">
        <v>3702</v>
      </c>
      <c r="J299" s="31" t="s">
        <v>845</v>
      </c>
      <c r="K299" s="311">
        <v>12206</v>
      </c>
      <c r="L299"/>
      <c r="M299"/>
    </row>
    <row r="300" spans="1:13">
      <c r="A300" s="31" t="s">
        <v>3496</v>
      </c>
      <c r="B300" s="31" t="s">
        <v>3640</v>
      </c>
      <c r="C300" s="31">
        <v>2218385</v>
      </c>
      <c r="D300" s="31"/>
      <c r="E300" s="311">
        <v>11736</v>
      </c>
      <c r="F300" s="311"/>
      <c r="G300" s="311">
        <v>13437</v>
      </c>
      <c r="H300" s="31" t="s">
        <v>3215</v>
      </c>
      <c r="I300" s="31" t="s">
        <v>3847</v>
      </c>
      <c r="J300" s="31" t="s">
        <v>845</v>
      </c>
      <c r="K300" s="311">
        <v>11373</v>
      </c>
      <c r="L300"/>
      <c r="M300"/>
    </row>
    <row r="301" spans="1:13">
      <c r="A301" s="31" t="s">
        <v>3496</v>
      </c>
      <c r="B301" s="31" t="s">
        <v>3640</v>
      </c>
      <c r="C301" s="31">
        <v>2218433</v>
      </c>
      <c r="D301" s="31"/>
      <c r="E301" s="311">
        <v>13268</v>
      </c>
      <c r="F301" s="311"/>
      <c r="G301" s="311">
        <v>13437</v>
      </c>
      <c r="H301" s="31" t="s">
        <v>3215</v>
      </c>
      <c r="I301" s="31" t="s">
        <v>3848</v>
      </c>
      <c r="J301" s="31" t="s">
        <v>845</v>
      </c>
      <c r="K301" s="311">
        <v>12866</v>
      </c>
      <c r="L301"/>
      <c r="M301"/>
    </row>
    <row r="302" spans="1:13">
      <c r="A302" s="31" t="s">
        <v>3496</v>
      </c>
      <c r="B302" s="31" t="s">
        <v>3640</v>
      </c>
      <c r="C302" s="31">
        <v>2219171</v>
      </c>
      <c r="D302" s="31"/>
      <c r="E302" s="311">
        <v>12974</v>
      </c>
      <c r="F302" s="311"/>
      <c r="G302" s="311">
        <v>13444</v>
      </c>
      <c r="H302" s="31" t="s">
        <v>3215</v>
      </c>
      <c r="I302" s="31" t="s">
        <v>3703</v>
      </c>
      <c r="J302" s="31" t="s">
        <v>2781</v>
      </c>
      <c r="K302" s="311">
        <v>12624</v>
      </c>
      <c r="L302"/>
      <c r="M302"/>
    </row>
    <row r="303" spans="1:13">
      <c r="A303" s="31" t="s">
        <v>3496</v>
      </c>
      <c r="B303" s="31" t="s">
        <v>3640</v>
      </c>
      <c r="C303" s="31">
        <v>2219200</v>
      </c>
      <c r="D303" s="31"/>
      <c r="E303" s="311">
        <v>12941</v>
      </c>
      <c r="F303" s="311"/>
      <c r="G303" s="311">
        <v>13444</v>
      </c>
      <c r="H303" s="31" t="s">
        <v>3215</v>
      </c>
      <c r="I303" s="31" t="s">
        <v>3849</v>
      </c>
      <c r="J303" s="31" t="s">
        <v>845</v>
      </c>
      <c r="K303" s="311">
        <v>12592</v>
      </c>
      <c r="L303"/>
      <c r="M303"/>
    </row>
    <row r="304" spans="1:13">
      <c r="A304" s="31" t="s">
        <v>3496</v>
      </c>
      <c r="B304" s="31" t="s">
        <v>3640</v>
      </c>
      <c r="C304" s="31">
        <v>2219924</v>
      </c>
      <c r="D304" s="31"/>
      <c r="E304" s="311">
        <v>12548</v>
      </c>
      <c r="F304" s="311"/>
      <c r="G304" s="311">
        <v>13451</v>
      </c>
      <c r="H304" s="31" t="s">
        <v>3215</v>
      </c>
      <c r="I304" s="31" t="s">
        <v>3850</v>
      </c>
      <c r="J304" s="31" t="s">
        <v>845</v>
      </c>
      <c r="K304" s="311">
        <v>12236</v>
      </c>
      <c r="L304"/>
      <c r="M304"/>
    </row>
    <row r="305" spans="1:13">
      <c r="A305" s="31" t="s">
        <v>3496</v>
      </c>
      <c r="B305" s="31" t="s">
        <v>3640</v>
      </c>
      <c r="C305" s="31">
        <v>2220765</v>
      </c>
      <c r="D305" s="31"/>
      <c r="E305" s="311">
        <v>12456</v>
      </c>
      <c r="F305" s="311"/>
      <c r="G305" s="311">
        <v>13458</v>
      </c>
      <c r="H305" s="31" t="s">
        <v>3215</v>
      </c>
      <c r="I305" s="31" t="s">
        <v>3851</v>
      </c>
      <c r="J305" s="31" t="s">
        <v>3133</v>
      </c>
      <c r="K305" s="311">
        <v>12090</v>
      </c>
      <c r="L305"/>
      <c r="M305"/>
    </row>
    <row r="306" spans="1:13">
      <c r="A306" s="31" t="s">
        <v>3496</v>
      </c>
      <c r="B306" s="31" t="s">
        <v>3640</v>
      </c>
      <c r="C306" s="31">
        <v>2221509</v>
      </c>
      <c r="D306" s="31"/>
      <c r="E306" s="311">
        <v>13105</v>
      </c>
      <c r="F306" s="311"/>
      <c r="G306" s="311">
        <v>13465</v>
      </c>
      <c r="H306" s="31" t="s">
        <v>3215</v>
      </c>
      <c r="I306" s="31" t="s">
        <v>3852</v>
      </c>
      <c r="J306" s="31" t="s">
        <v>702</v>
      </c>
      <c r="K306" s="311">
        <v>12934</v>
      </c>
      <c r="L306"/>
      <c r="M306"/>
    </row>
    <row r="307" spans="1:13">
      <c r="A307" s="31" t="s">
        <v>3496</v>
      </c>
      <c r="B307" s="31" t="s">
        <v>3640</v>
      </c>
      <c r="C307" s="31">
        <v>2221517</v>
      </c>
      <c r="D307" s="31"/>
      <c r="E307" s="311">
        <v>12759</v>
      </c>
      <c r="F307" s="311"/>
      <c r="G307" s="311">
        <v>13465</v>
      </c>
      <c r="H307" s="31" t="s">
        <v>3215</v>
      </c>
      <c r="I307" s="31" t="s">
        <v>3710</v>
      </c>
      <c r="J307" s="31" t="s">
        <v>845</v>
      </c>
      <c r="K307" s="311">
        <v>12416</v>
      </c>
      <c r="L307"/>
      <c r="M307"/>
    </row>
    <row r="308" spans="1:13">
      <c r="A308" s="31" t="s">
        <v>3496</v>
      </c>
      <c r="B308" s="31" t="s">
        <v>3640</v>
      </c>
      <c r="C308" s="31">
        <v>2221521</v>
      </c>
      <c r="D308" s="31"/>
      <c r="E308" s="311">
        <v>13074</v>
      </c>
      <c r="F308" s="311"/>
      <c r="G308" s="311">
        <v>13465</v>
      </c>
      <c r="H308" s="31" t="s">
        <v>3215</v>
      </c>
      <c r="I308" s="31" t="s">
        <v>3711</v>
      </c>
      <c r="J308" s="31" t="s">
        <v>702</v>
      </c>
      <c r="K308" s="311">
        <v>12709</v>
      </c>
      <c r="L308"/>
      <c r="M308"/>
    </row>
    <row r="309" spans="1:13">
      <c r="A309" s="31" t="s">
        <v>3496</v>
      </c>
      <c r="B309" s="31" t="s">
        <v>3640</v>
      </c>
      <c r="C309" s="31">
        <v>2221524</v>
      </c>
      <c r="D309" s="31"/>
      <c r="E309" s="311">
        <v>12757</v>
      </c>
      <c r="F309" s="311"/>
      <c r="G309" s="311">
        <v>13465</v>
      </c>
      <c r="H309" s="31" t="s">
        <v>3215</v>
      </c>
      <c r="I309" s="31" t="s">
        <v>3712</v>
      </c>
      <c r="J309" s="31" t="s">
        <v>702</v>
      </c>
      <c r="K309" s="311">
        <v>12393</v>
      </c>
      <c r="L309"/>
      <c r="M309"/>
    </row>
    <row r="310" spans="1:13">
      <c r="A310" s="31" t="s">
        <v>3496</v>
      </c>
      <c r="B310" s="31" t="s">
        <v>3640</v>
      </c>
      <c r="C310" s="31">
        <v>2222714</v>
      </c>
      <c r="D310" s="31"/>
      <c r="E310" s="311">
        <v>12207</v>
      </c>
      <c r="F310" s="311"/>
      <c r="G310" s="311">
        <v>13479</v>
      </c>
      <c r="H310" s="31" t="s">
        <v>3215</v>
      </c>
      <c r="I310" s="31" t="s">
        <v>3715</v>
      </c>
      <c r="J310" s="31" t="s">
        <v>845</v>
      </c>
      <c r="K310" s="311">
        <v>11859</v>
      </c>
      <c r="L310"/>
      <c r="M310"/>
    </row>
    <row r="311" spans="1:13">
      <c r="A311" s="31" t="s">
        <v>3496</v>
      </c>
      <c r="B311" s="31" t="s">
        <v>3640</v>
      </c>
      <c r="C311" s="31">
        <v>2222720</v>
      </c>
      <c r="D311" s="31"/>
      <c r="E311" s="311">
        <v>12859</v>
      </c>
      <c r="F311" s="311"/>
      <c r="G311" s="311">
        <v>13479</v>
      </c>
      <c r="H311" s="31" t="s">
        <v>3215</v>
      </c>
      <c r="I311" s="31" t="s">
        <v>3889</v>
      </c>
      <c r="J311" s="31" t="s">
        <v>845</v>
      </c>
      <c r="K311" s="311">
        <v>12514</v>
      </c>
      <c r="L311"/>
      <c r="M311"/>
    </row>
    <row r="312" spans="1:13">
      <c r="A312" s="31" t="s">
        <v>3496</v>
      </c>
      <c r="B312" s="31" t="s">
        <v>3640</v>
      </c>
      <c r="C312" s="31">
        <v>2223163</v>
      </c>
      <c r="D312" s="31"/>
      <c r="E312" s="311">
        <v>12985</v>
      </c>
      <c r="F312" s="311"/>
      <c r="G312" s="311">
        <v>13479</v>
      </c>
      <c r="H312" s="31" t="s">
        <v>3215</v>
      </c>
      <c r="I312" s="31" t="s">
        <v>3532</v>
      </c>
      <c r="J312" s="31" t="s">
        <v>845</v>
      </c>
      <c r="K312" s="311">
        <v>12628</v>
      </c>
      <c r="L312"/>
      <c r="M312"/>
    </row>
    <row r="313" spans="1:13">
      <c r="A313" s="31" t="s">
        <v>3496</v>
      </c>
      <c r="B313" s="31" t="s">
        <v>3640</v>
      </c>
      <c r="C313" s="31">
        <v>2223185</v>
      </c>
      <c r="D313" s="31"/>
      <c r="E313" s="311">
        <v>12859</v>
      </c>
      <c r="F313" s="311"/>
      <c r="G313" s="311">
        <v>13479</v>
      </c>
      <c r="H313" s="31" t="s">
        <v>3215</v>
      </c>
      <c r="I313" s="31" t="s">
        <v>3889</v>
      </c>
      <c r="J313" s="31" t="s">
        <v>845</v>
      </c>
      <c r="K313" s="311">
        <v>12508</v>
      </c>
      <c r="L313"/>
      <c r="M313"/>
    </row>
    <row r="314" spans="1:13">
      <c r="A314" s="31" t="s">
        <v>3496</v>
      </c>
      <c r="B314" s="31" t="s">
        <v>3640</v>
      </c>
      <c r="C314" s="31">
        <v>2223203</v>
      </c>
      <c r="D314" s="31"/>
      <c r="E314" s="311">
        <v>13033</v>
      </c>
      <c r="F314" s="311"/>
      <c r="G314" s="311">
        <v>13479</v>
      </c>
      <c r="H314" s="31" t="s">
        <v>3215</v>
      </c>
      <c r="I314" s="31" t="s">
        <v>3598</v>
      </c>
      <c r="J314" s="31" t="s">
        <v>845</v>
      </c>
      <c r="K314" s="311">
        <v>12670</v>
      </c>
      <c r="L314"/>
      <c r="M314"/>
    </row>
    <row r="315" spans="1:13">
      <c r="A315" s="31" t="s">
        <v>3496</v>
      </c>
      <c r="B315" s="31" t="s">
        <v>3640</v>
      </c>
      <c r="C315" s="31">
        <v>2223230</v>
      </c>
      <c r="D315" s="31"/>
      <c r="E315" s="311">
        <v>12594</v>
      </c>
      <c r="F315" s="311"/>
      <c r="G315" s="311">
        <v>13479</v>
      </c>
      <c r="H315" s="31" t="s">
        <v>3215</v>
      </c>
      <c r="I315" s="31" t="s">
        <v>3890</v>
      </c>
      <c r="J315" s="31" t="s">
        <v>702</v>
      </c>
      <c r="K315" s="311">
        <v>12247</v>
      </c>
      <c r="L315"/>
      <c r="M315"/>
    </row>
    <row r="316" spans="1:13">
      <c r="A316" s="31" t="s">
        <v>3496</v>
      </c>
      <c r="B316" s="31" t="s">
        <v>3640</v>
      </c>
      <c r="C316" s="31">
        <v>2223959</v>
      </c>
      <c r="D316" s="31"/>
      <c r="E316" s="311">
        <v>12540</v>
      </c>
      <c r="F316" s="311"/>
      <c r="G316" s="311">
        <v>13486</v>
      </c>
      <c r="H316" s="31" t="s">
        <v>3215</v>
      </c>
      <c r="I316" s="31" t="s">
        <v>3477</v>
      </c>
      <c r="J316" s="31" t="s">
        <v>845</v>
      </c>
      <c r="K316" s="311">
        <v>12177</v>
      </c>
      <c r="L316"/>
      <c r="M316"/>
    </row>
    <row r="317" spans="1:13">
      <c r="A317" s="31" t="s">
        <v>3496</v>
      </c>
      <c r="B317" s="31" t="s">
        <v>3640</v>
      </c>
      <c r="C317" s="31">
        <v>2224596</v>
      </c>
      <c r="D317" s="31"/>
      <c r="E317" s="311">
        <v>12747</v>
      </c>
      <c r="F317" s="311"/>
      <c r="G317" s="311">
        <v>13493</v>
      </c>
      <c r="H317" s="31" t="s">
        <v>3215</v>
      </c>
      <c r="I317" s="31" t="s">
        <v>3891</v>
      </c>
      <c r="J317" s="31" t="s">
        <v>2781</v>
      </c>
      <c r="K317" s="311">
        <v>12387</v>
      </c>
      <c r="L317"/>
      <c r="M317"/>
    </row>
    <row r="318" spans="1:13">
      <c r="A318" s="31" t="s">
        <v>3496</v>
      </c>
      <c r="B318" s="31" t="s">
        <v>3640</v>
      </c>
      <c r="C318" s="31">
        <v>2224602</v>
      </c>
      <c r="D318" s="31"/>
      <c r="E318" s="311">
        <v>12870</v>
      </c>
      <c r="F318" s="311"/>
      <c r="G318" s="311">
        <v>13493</v>
      </c>
      <c r="H318" s="31" t="s">
        <v>3215</v>
      </c>
      <c r="I318" s="31" t="s">
        <v>3892</v>
      </c>
      <c r="J318" s="31" t="s">
        <v>845</v>
      </c>
      <c r="K318" s="311">
        <v>12618</v>
      </c>
      <c r="L318"/>
      <c r="M318"/>
    </row>
    <row r="319" spans="1:13">
      <c r="A319" s="31" t="s">
        <v>3496</v>
      </c>
      <c r="B319" s="31" t="s">
        <v>3640</v>
      </c>
      <c r="C319" s="31">
        <v>2225338</v>
      </c>
      <c r="D319" s="31"/>
      <c r="E319" s="311">
        <v>12534</v>
      </c>
      <c r="F319" s="311"/>
      <c r="G319" s="311">
        <v>13500</v>
      </c>
      <c r="H319" s="31" t="s">
        <v>3215</v>
      </c>
      <c r="I319" s="31" t="s">
        <v>3893</v>
      </c>
      <c r="J319" s="31" t="s">
        <v>845</v>
      </c>
      <c r="K319" s="311">
        <v>12186</v>
      </c>
      <c r="L319"/>
      <c r="M319"/>
    </row>
    <row r="320" spans="1:13">
      <c r="A320" s="31" t="s">
        <v>3496</v>
      </c>
      <c r="B320" s="31" t="s">
        <v>3640</v>
      </c>
      <c r="C320" s="31">
        <v>2225363</v>
      </c>
      <c r="D320" s="31"/>
      <c r="E320" s="311">
        <v>12712</v>
      </c>
      <c r="F320" s="311"/>
      <c r="G320" s="311">
        <v>13500</v>
      </c>
      <c r="H320" s="31" t="s">
        <v>3215</v>
      </c>
      <c r="I320" s="31" t="s">
        <v>3894</v>
      </c>
      <c r="J320" s="31" t="s">
        <v>845</v>
      </c>
      <c r="K320" s="311">
        <v>10178</v>
      </c>
      <c r="L320"/>
      <c r="M320"/>
    </row>
    <row r="321" spans="1:13">
      <c r="A321" s="31" t="s">
        <v>3496</v>
      </c>
      <c r="B321" s="31" t="s">
        <v>3640</v>
      </c>
      <c r="C321" s="31">
        <v>2226288</v>
      </c>
      <c r="D321" s="31"/>
      <c r="E321" s="311">
        <v>12199</v>
      </c>
      <c r="F321" s="311"/>
      <c r="G321" s="311">
        <v>13507</v>
      </c>
      <c r="H321" s="31" t="s">
        <v>3215</v>
      </c>
      <c r="I321" s="31" t="s">
        <v>3895</v>
      </c>
      <c r="J321" s="31" t="s">
        <v>845</v>
      </c>
      <c r="K321" s="311">
        <v>11884</v>
      </c>
      <c r="L321"/>
      <c r="M321"/>
    </row>
    <row r="322" spans="1:13">
      <c r="A322" s="31" t="s">
        <v>3496</v>
      </c>
      <c r="B322" s="31" t="s">
        <v>3640</v>
      </c>
      <c r="C322" s="31">
        <v>2227134</v>
      </c>
      <c r="D322" s="31"/>
      <c r="E322" s="311">
        <v>12772</v>
      </c>
      <c r="F322" s="311"/>
      <c r="G322" s="311">
        <v>13514</v>
      </c>
      <c r="H322" s="31" t="s">
        <v>3215</v>
      </c>
      <c r="I322" s="31" t="s">
        <v>3896</v>
      </c>
      <c r="J322" s="31" t="s">
        <v>3133</v>
      </c>
      <c r="K322" s="311">
        <v>12475</v>
      </c>
      <c r="L322"/>
      <c r="M322"/>
    </row>
    <row r="323" spans="1:13">
      <c r="A323" s="31" t="s">
        <v>3496</v>
      </c>
      <c r="B323" s="31" t="s">
        <v>3640</v>
      </c>
      <c r="C323" s="288">
        <v>2227380</v>
      </c>
      <c r="D323" s="31"/>
      <c r="E323" s="311"/>
      <c r="F323" s="311"/>
      <c r="G323" s="311">
        <v>13521</v>
      </c>
      <c r="H323" s="31"/>
      <c r="I323" s="31"/>
      <c r="J323" s="31"/>
      <c r="K323" s="311"/>
      <c r="L323" s="383" t="s">
        <v>3897</v>
      </c>
      <c r="M323" s="383"/>
    </row>
    <row r="324" spans="1:13">
      <c r="A324" s="31" t="s">
        <v>3496</v>
      </c>
      <c r="B324" s="31" t="s">
        <v>3640</v>
      </c>
      <c r="C324" s="31">
        <v>2227972</v>
      </c>
      <c r="D324" s="31"/>
      <c r="E324" s="311">
        <v>12790</v>
      </c>
      <c r="F324" s="311"/>
      <c r="G324" s="311">
        <v>13521</v>
      </c>
      <c r="H324" s="31" t="s">
        <v>3215</v>
      </c>
      <c r="I324" s="31" t="s">
        <v>3898</v>
      </c>
      <c r="J324" s="31" t="s">
        <v>702</v>
      </c>
      <c r="K324" s="311">
        <v>12547</v>
      </c>
      <c r="L324"/>
      <c r="M324"/>
    </row>
    <row r="325" spans="1:13">
      <c r="A325" s="31" t="s">
        <v>3496</v>
      </c>
      <c r="B325" s="31" t="s">
        <v>3640</v>
      </c>
      <c r="C325" s="31">
        <v>2229952</v>
      </c>
      <c r="D325" s="31"/>
      <c r="E325" s="311">
        <v>12710</v>
      </c>
      <c r="F325" s="311"/>
      <c r="G325" s="311">
        <v>13542</v>
      </c>
      <c r="H325" s="31" t="s">
        <v>3215</v>
      </c>
      <c r="I325" s="31" t="s">
        <v>3899</v>
      </c>
      <c r="J325" s="31" t="s">
        <v>702</v>
      </c>
      <c r="K325" s="311">
        <v>12578</v>
      </c>
      <c r="L325"/>
      <c r="M325"/>
    </row>
    <row r="326" spans="1:13">
      <c r="A326" s="31" t="s">
        <v>3496</v>
      </c>
      <c r="B326" s="31" t="s">
        <v>3640</v>
      </c>
      <c r="C326" s="31">
        <v>2229981</v>
      </c>
      <c r="D326" s="31"/>
      <c r="E326" s="311">
        <v>12454</v>
      </c>
      <c r="F326" s="311"/>
      <c r="G326" s="311">
        <v>13542</v>
      </c>
      <c r="H326" s="31" t="s">
        <v>3215</v>
      </c>
      <c r="I326" s="31" t="s">
        <v>3726</v>
      </c>
      <c r="J326" s="31" t="s">
        <v>845</v>
      </c>
      <c r="K326" s="311">
        <v>12096</v>
      </c>
      <c r="L326"/>
      <c r="M326"/>
    </row>
    <row r="327" spans="1:13">
      <c r="A327" s="31" t="s">
        <v>3496</v>
      </c>
      <c r="B327" s="31" t="s">
        <v>3640</v>
      </c>
      <c r="C327" s="31">
        <v>2229985</v>
      </c>
      <c r="D327" s="31"/>
      <c r="E327" s="311">
        <v>12373</v>
      </c>
      <c r="F327" s="311"/>
      <c r="G327" s="311">
        <v>13542</v>
      </c>
      <c r="H327" s="31" t="s">
        <v>3215</v>
      </c>
      <c r="I327" s="31" t="s">
        <v>3727</v>
      </c>
      <c r="J327" s="31" t="s">
        <v>845</v>
      </c>
      <c r="K327" s="311">
        <v>12013</v>
      </c>
      <c r="L327"/>
      <c r="M327"/>
    </row>
    <row r="328" spans="1:13">
      <c r="A328" s="31" t="s">
        <v>3496</v>
      </c>
      <c r="B328" s="31" t="s">
        <v>3640</v>
      </c>
      <c r="C328" s="31">
        <v>2230731</v>
      </c>
      <c r="D328" s="31"/>
      <c r="E328" s="311">
        <v>13296</v>
      </c>
      <c r="F328" s="311"/>
      <c r="G328" s="311">
        <v>13549</v>
      </c>
      <c r="H328" s="31" t="s">
        <v>3215</v>
      </c>
      <c r="I328" s="31" t="s">
        <v>3389</v>
      </c>
      <c r="J328" s="31" t="s">
        <v>845</v>
      </c>
      <c r="K328" s="311">
        <v>12979</v>
      </c>
      <c r="L328"/>
      <c r="M328"/>
    </row>
    <row r="329" spans="1:13">
      <c r="A329" s="31" t="s">
        <v>3496</v>
      </c>
      <c r="B329" s="31" t="s">
        <v>3640</v>
      </c>
      <c r="C329" s="31">
        <v>2230735</v>
      </c>
      <c r="D329" s="31"/>
      <c r="E329" s="311">
        <v>12729</v>
      </c>
      <c r="F329" s="311"/>
      <c r="G329" s="311">
        <v>13549</v>
      </c>
      <c r="H329" s="31" t="s">
        <v>3215</v>
      </c>
      <c r="I329" s="31" t="s">
        <v>3588</v>
      </c>
      <c r="J329" s="31" t="s">
        <v>845</v>
      </c>
      <c r="K329" s="311">
        <v>12410</v>
      </c>
      <c r="L329"/>
      <c r="M329"/>
    </row>
    <row r="330" spans="1:13">
      <c r="A330" s="31" t="s">
        <v>3496</v>
      </c>
      <c r="B330" s="31" t="s">
        <v>3640</v>
      </c>
      <c r="C330" s="31">
        <v>2230945</v>
      </c>
      <c r="D330" s="31"/>
      <c r="E330" s="311">
        <v>12726</v>
      </c>
      <c r="F330" s="311"/>
      <c r="G330" s="311">
        <v>13549</v>
      </c>
      <c r="H330" s="31" t="s">
        <v>3215</v>
      </c>
      <c r="I330" s="31" t="s">
        <v>3589</v>
      </c>
      <c r="J330" s="31" t="s">
        <v>702</v>
      </c>
      <c r="K330" s="311">
        <v>12374</v>
      </c>
      <c r="L330"/>
      <c r="M330"/>
    </row>
    <row r="331" spans="1:13">
      <c r="A331" s="31" t="s">
        <v>3496</v>
      </c>
      <c r="B331" s="31" t="s">
        <v>3640</v>
      </c>
      <c r="C331" s="31">
        <v>2230946</v>
      </c>
      <c r="D331" s="31" t="s">
        <v>3590</v>
      </c>
      <c r="E331" s="311">
        <v>12726</v>
      </c>
      <c r="F331" s="311">
        <v>12982</v>
      </c>
      <c r="G331" s="311">
        <v>13549</v>
      </c>
      <c r="H331" s="31" t="s">
        <v>3215</v>
      </c>
      <c r="I331" s="31" t="s">
        <v>3589</v>
      </c>
      <c r="J331" s="31" t="s">
        <v>702</v>
      </c>
      <c r="K331" s="311">
        <v>12374</v>
      </c>
      <c r="L331"/>
      <c r="M331"/>
    </row>
    <row r="332" spans="1:13">
      <c r="A332" s="31" t="s">
        <v>3496</v>
      </c>
      <c r="B332" s="31" t="s">
        <v>3640</v>
      </c>
      <c r="C332" s="31">
        <v>2231576</v>
      </c>
      <c r="D332" s="31"/>
      <c r="E332" s="311">
        <v>12809</v>
      </c>
      <c r="F332" s="311"/>
      <c r="G332" s="311">
        <v>13556</v>
      </c>
      <c r="H332" s="31" t="s">
        <v>3215</v>
      </c>
      <c r="I332" s="31" t="s">
        <v>3460</v>
      </c>
      <c r="J332" s="31" t="s">
        <v>845</v>
      </c>
      <c r="K332" s="311">
        <v>12454</v>
      </c>
      <c r="L332"/>
      <c r="M332"/>
    </row>
    <row r="333" spans="1:13">
      <c r="A333" s="31" t="s">
        <v>3496</v>
      </c>
      <c r="B333" s="31" t="s">
        <v>3640</v>
      </c>
      <c r="C333" s="31">
        <v>2231582</v>
      </c>
      <c r="D333" s="31"/>
      <c r="E333" s="311">
        <v>12500</v>
      </c>
      <c r="F333" s="311"/>
      <c r="G333" s="311">
        <v>13556</v>
      </c>
      <c r="H333" s="31" t="s">
        <v>3215</v>
      </c>
      <c r="I333" s="31" t="s">
        <v>3591</v>
      </c>
      <c r="J333" s="31" t="s">
        <v>702</v>
      </c>
      <c r="K333" s="311">
        <v>12149</v>
      </c>
      <c r="L333"/>
      <c r="M333"/>
    </row>
    <row r="334" spans="1:13">
      <c r="A334" s="31" t="s">
        <v>3496</v>
      </c>
      <c r="B334" s="31" t="s">
        <v>3640</v>
      </c>
      <c r="C334" s="31">
        <v>2233180</v>
      </c>
      <c r="D334" s="31"/>
      <c r="E334" s="311">
        <v>12965</v>
      </c>
      <c r="F334" s="311"/>
      <c r="G334" s="311">
        <v>13570</v>
      </c>
      <c r="H334" s="31" t="s">
        <v>3215</v>
      </c>
      <c r="I334" s="31" t="s">
        <v>3585</v>
      </c>
      <c r="J334" s="31" t="s">
        <v>845</v>
      </c>
      <c r="K334" s="311">
        <v>12662</v>
      </c>
      <c r="L334"/>
      <c r="M334"/>
    </row>
    <row r="335" spans="1:13">
      <c r="A335" s="31" t="s">
        <v>3496</v>
      </c>
      <c r="B335" s="31" t="s">
        <v>3640</v>
      </c>
      <c r="C335" s="31">
        <v>2237802</v>
      </c>
      <c r="D335" s="31"/>
      <c r="E335" s="311">
        <v>12939</v>
      </c>
      <c r="F335" s="311"/>
      <c r="G335" s="311">
        <v>13612</v>
      </c>
      <c r="H335" s="31" t="s">
        <v>3215</v>
      </c>
      <c r="I335" s="31" t="s">
        <v>3592</v>
      </c>
      <c r="J335" s="31" t="s">
        <v>845</v>
      </c>
      <c r="K335" s="311">
        <v>12583</v>
      </c>
      <c r="L335"/>
      <c r="M335"/>
    </row>
    <row r="336" spans="1:13">
      <c r="A336" s="31" t="s">
        <v>3496</v>
      </c>
      <c r="B336" s="31" t="s">
        <v>3640</v>
      </c>
      <c r="C336" s="31">
        <v>2238577</v>
      </c>
      <c r="D336" s="31"/>
      <c r="E336" s="311">
        <v>13234</v>
      </c>
      <c r="F336" s="311"/>
      <c r="G336" s="311">
        <v>13619</v>
      </c>
      <c r="H336" s="31" t="s">
        <v>3215</v>
      </c>
      <c r="I336" s="31" t="s">
        <v>3593</v>
      </c>
      <c r="J336" s="31" t="s">
        <v>845</v>
      </c>
      <c r="K336" s="311">
        <v>12834</v>
      </c>
      <c r="L336"/>
      <c r="M336"/>
    </row>
    <row r="337" spans="1:13">
      <c r="A337" s="31" t="s">
        <v>3496</v>
      </c>
      <c r="B337" s="31" t="s">
        <v>3640</v>
      </c>
      <c r="C337" s="31">
        <v>2241973</v>
      </c>
      <c r="D337" s="31"/>
      <c r="E337" s="311">
        <v>13284</v>
      </c>
      <c r="F337" s="311"/>
      <c r="G337" s="311">
        <v>13647</v>
      </c>
      <c r="H337" s="31" t="s">
        <v>3215</v>
      </c>
      <c r="I337" s="31" t="s">
        <v>3449</v>
      </c>
      <c r="J337" s="31" t="s">
        <v>845</v>
      </c>
      <c r="K337" s="311">
        <v>12848</v>
      </c>
      <c r="L337"/>
      <c r="M337"/>
    </row>
    <row r="338" spans="1:13">
      <c r="A338" s="31" t="s">
        <v>3496</v>
      </c>
      <c r="B338" s="31" t="s">
        <v>3640</v>
      </c>
      <c r="C338" s="31">
        <v>2241998</v>
      </c>
      <c r="D338" s="31"/>
      <c r="E338" s="311">
        <v>12529</v>
      </c>
      <c r="F338" s="311"/>
      <c r="G338" s="311">
        <v>13647</v>
      </c>
      <c r="H338" s="31" t="s">
        <v>3215</v>
      </c>
      <c r="I338" s="31" t="s">
        <v>3595</v>
      </c>
      <c r="J338" s="31" t="s">
        <v>3133</v>
      </c>
      <c r="K338" s="311">
        <v>11837</v>
      </c>
      <c r="L338"/>
      <c r="M338"/>
    </row>
    <row r="339" spans="1:13">
      <c r="A339" s="31" t="s">
        <v>3496</v>
      </c>
      <c r="B339" s="31" t="s">
        <v>3640</v>
      </c>
      <c r="C339" s="31">
        <v>2243475</v>
      </c>
      <c r="D339" s="31"/>
      <c r="E339" s="311">
        <v>11885</v>
      </c>
      <c r="F339" s="311"/>
      <c r="G339" s="311">
        <v>13661</v>
      </c>
      <c r="H339" s="31" t="s">
        <v>3215</v>
      </c>
      <c r="I339" s="31" t="s">
        <v>3596</v>
      </c>
      <c r="J339" s="31" t="s">
        <v>845</v>
      </c>
      <c r="K339" s="311">
        <v>11616</v>
      </c>
      <c r="L339"/>
      <c r="M339"/>
    </row>
    <row r="340" spans="1:13">
      <c r="A340" s="31" t="s">
        <v>3496</v>
      </c>
      <c r="B340" s="31" t="s">
        <v>3640</v>
      </c>
      <c r="C340" s="31">
        <v>2243575</v>
      </c>
      <c r="D340" s="31"/>
      <c r="E340" s="311">
        <v>12743</v>
      </c>
      <c r="F340" s="311"/>
      <c r="G340" s="311">
        <v>13661</v>
      </c>
      <c r="H340" s="31" t="s">
        <v>3215</v>
      </c>
      <c r="I340" s="31" t="s">
        <v>3738</v>
      </c>
      <c r="J340" s="31" t="s">
        <v>3133</v>
      </c>
      <c r="K340" s="311">
        <v>12386</v>
      </c>
      <c r="L340"/>
      <c r="M340"/>
    </row>
    <row r="341" spans="1:13">
      <c r="A341" s="31" t="s">
        <v>3496</v>
      </c>
      <c r="B341" s="31" t="s">
        <v>3640</v>
      </c>
      <c r="C341" s="31">
        <v>2243584</v>
      </c>
      <c r="D341" s="31"/>
      <c r="E341" s="311">
        <v>13342</v>
      </c>
      <c r="F341" s="311"/>
      <c r="G341" s="311">
        <v>13661</v>
      </c>
      <c r="H341" s="31" t="s">
        <v>3215</v>
      </c>
      <c r="I341" s="31" t="s">
        <v>3535</v>
      </c>
      <c r="J341" s="31" t="s">
        <v>3133</v>
      </c>
      <c r="K341" s="311">
        <v>13030</v>
      </c>
      <c r="L341"/>
      <c r="M341"/>
    </row>
    <row r="342" spans="1:13">
      <c r="A342" s="31" t="s">
        <v>3496</v>
      </c>
      <c r="B342" s="31" t="s">
        <v>3640</v>
      </c>
      <c r="C342" s="31">
        <v>2243827</v>
      </c>
      <c r="D342" s="31"/>
      <c r="E342" s="311">
        <v>13384</v>
      </c>
      <c r="F342" s="311"/>
      <c r="G342" s="311">
        <v>13661</v>
      </c>
      <c r="H342" s="31" t="s">
        <v>3215</v>
      </c>
      <c r="I342" s="31" t="s">
        <v>3681</v>
      </c>
      <c r="J342" s="31" t="s">
        <v>845</v>
      </c>
      <c r="K342" s="311">
        <v>13090</v>
      </c>
      <c r="L342"/>
      <c r="M342"/>
    </row>
    <row r="343" spans="1:13">
      <c r="A343" s="31" t="s">
        <v>3496</v>
      </c>
      <c r="B343" s="31" t="s">
        <v>3640</v>
      </c>
      <c r="C343" s="31">
        <v>2244384</v>
      </c>
      <c r="D343" s="31"/>
      <c r="E343" s="311">
        <v>13107</v>
      </c>
      <c r="F343" s="311"/>
      <c r="G343" s="311">
        <v>13668</v>
      </c>
      <c r="H343" s="31" t="s">
        <v>3215</v>
      </c>
      <c r="I343" s="31" t="s">
        <v>3739</v>
      </c>
      <c r="J343" s="31" t="s">
        <v>845</v>
      </c>
      <c r="K343" s="311">
        <v>12723</v>
      </c>
      <c r="L343"/>
      <c r="M343"/>
    </row>
    <row r="344" spans="1:13">
      <c r="A344" s="31" t="s">
        <v>3496</v>
      </c>
      <c r="B344" s="31" t="s">
        <v>3640</v>
      </c>
      <c r="C344" s="31">
        <v>2244395</v>
      </c>
      <c r="D344" s="31"/>
      <c r="E344" s="311">
        <v>12352</v>
      </c>
      <c r="F344" s="311"/>
      <c r="G344" s="311">
        <v>13668</v>
      </c>
      <c r="H344" s="31" t="s">
        <v>3215</v>
      </c>
      <c r="I344" s="31" t="s">
        <v>3740</v>
      </c>
      <c r="J344" s="31" t="s">
        <v>845</v>
      </c>
      <c r="K344" s="311">
        <v>11999</v>
      </c>
      <c r="L344"/>
      <c r="M344"/>
    </row>
    <row r="345" spans="1:13">
      <c r="A345" s="31" t="s">
        <v>3496</v>
      </c>
      <c r="B345" s="31" t="s">
        <v>3640</v>
      </c>
      <c r="C345" s="31">
        <v>2245192</v>
      </c>
      <c r="D345" s="31"/>
      <c r="E345" s="311">
        <v>12705</v>
      </c>
      <c r="F345" s="311"/>
      <c r="G345" s="311">
        <v>13675</v>
      </c>
      <c r="H345" s="31" t="s">
        <v>3215</v>
      </c>
      <c r="I345" s="31" t="s">
        <v>3741</v>
      </c>
      <c r="J345" s="31" t="s">
        <v>845</v>
      </c>
      <c r="K345" s="311">
        <v>12468</v>
      </c>
      <c r="L345"/>
      <c r="M345"/>
    </row>
    <row r="346" spans="1:13">
      <c r="A346" s="31" t="s">
        <v>3496</v>
      </c>
      <c r="B346" s="31" t="s">
        <v>3640</v>
      </c>
      <c r="C346" s="31">
        <v>2246161</v>
      </c>
      <c r="D346" s="31"/>
      <c r="E346" s="311">
        <v>12939</v>
      </c>
      <c r="F346" s="311"/>
      <c r="G346" s="311">
        <v>13682</v>
      </c>
      <c r="H346" s="31" t="s">
        <v>3215</v>
      </c>
      <c r="I346" s="31" t="s">
        <v>3603</v>
      </c>
      <c r="J346" s="31" t="s">
        <v>845</v>
      </c>
      <c r="K346" s="311">
        <v>12583</v>
      </c>
      <c r="L346"/>
      <c r="M346"/>
    </row>
    <row r="347" spans="1:13">
      <c r="A347" s="31" t="s">
        <v>3496</v>
      </c>
      <c r="B347" s="31" t="s">
        <v>3640</v>
      </c>
      <c r="C347" s="31">
        <v>2246171</v>
      </c>
      <c r="D347" s="31"/>
      <c r="E347" s="311">
        <v>12787</v>
      </c>
      <c r="F347" s="311"/>
      <c r="G347" s="311">
        <v>13682</v>
      </c>
      <c r="H347" s="31" t="s">
        <v>3215</v>
      </c>
      <c r="I347" s="31" t="s">
        <v>3460</v>
      </c>
      <c r="J347" s="31" t="s">
        <v>845</v>
      </c>
      <c r="K347" s="311">
        <v>12428</v>
      </c>
      <c r="L347"/>
      <c r="M347"/>
    </row>
    <row r="348" spans="1:13">
      <c r="A348" s="31" t="s">
        <v>3496</v>
      </c>
      <c r="B348" s="31" t="s">
        <v>3640</v>
      </c>
      <c r="C348" s="31">
        <v>2247064</v>
      </c>
      <c r="D348" s="31"/>
      <c r="E348" s="311">
        <v>12724</v>
      </c>
      <c r="F348" s="311"/>
      <c r="G348" s="311">
        <v>13689</v>
      </c>
      <c r="H348" s="31" t="s">
        <v>3215</v>
      </c>
      <c r="I348" s="31" t="s">
        <v>3861</v>
      </c>
      <c r="J348" s="31" t="s">
        <v>845</v>
      </c>
      <c r="K348" s="311">
        <v>12367</v>
      </c>
      <c r="L348"/>
      <c r="M348"/>
    </row>
    <row r="349" spans="1:13">
      <c r="A349" s="31" t="s">
        <v>3496</v>
      </c>
      <c r="B349" s="31" t="s">
        <v>3640</v>
      </c>
      <c r="C349" s="31">
        <v>2247075</v>
      </c>
      <c r="D349" s="31"/>
      <c r="E349" s="311">
        <v>13091</v>
      </c>
      <c r="F349" s="311"/>
      <c r="G349" s="311">
        <v>13689</v>
      </c>
      <c r="H349" s="31" t="s">
        <v>3215</v>
      </c>
      <c r="I349" s="31" t="s">
        <v>3683</v>
      </c>
      <c r="J349" s="31" t="s">
        <v>702</v>
      </c>
      <c r="K349" s="311">
        <v>12799</v>
      </c>
      <c r="L349"/>
      <c r="M349"/>
    </row>
    <row r="350" spans="1:13">
      <c r="A350" s="31" t="s">
        <v>3496</v>
      </c>
      <c r="B350" s="31" t="s">
        <v>3640</v>
      </c>
      <c r="C350" s="31">
        <v>2247078</v>
      </c>
      <c r="D350" s="31"/>
      <c r="E350" s="311">
        <v>13184</v>
      </c>
      <c r="F350" s="311"/>
      <c r="G350" s="311">
        <v>13689</v>
      </c>
      <c r="H350" s="31" t="s">
        <v>3215</v>
      </c>
      <c r="I350" s="31" t="s">
        <v>3456</v>
      </c>
      <c r="J350" s="31" t="s">
        <v>702</v>
      </c>
      <c r="K350" s="311">
        <v>12823</v>
      </c>
      <c r="L350"/>
      <c r="M350"/>
    </row>
    <row r="351" spans="1:13">
      <c r="A351" s="31" t="s">
        <v>3496</v>
      </c>
      <c r="B351" s="31" t="s">
        <v>3640</v>
      </c>
      <c r="C351" s="31">
        <v>2247079</v>
      </c>
      <c r="D351" s="31"/>
      <c r="E351" s="311">
        <v>12974</v>
      </c>
      <c r="F351" s="311"/>
      <c r="G351" s="311">
        <v>13689</v>
      </c>
      <c r="H351" s="31" t="s">
        <v>3215</v>
      </c>
      <c r="I351" s="31" t="s">
        <v>3479</v>
      </c>
      <c r="J351" s="31" t="s">
        <v>845</v>
      </c>
      <c r="K351" s="311">
        <v>12613</v>
      </c>
      <c r="L351"/>
      <c r="M351"/>
    </row>
    <row r="352" spans="1:13">
      <c r="A352" s="31" t="s">
        <v>3496</v>
      </c>
      <c r="B352" s="31" t="s">
        <v>3640</v>
      </c>
      <c r="C352" s="31">
        <v>2247785</v>
      </c>
      <c r="D352" s="31"/>
      <c r="E352" s="311">
        <v>12902</v>
      </c>
      <c r="F352" s="311"/>
      <c r="G352" s="311">
        <v>13696</v>
      </c>
      <c r="H352" s="31" t="s">
        <v>3215</v>
      </c>
      <c r="I352" s="31" t="s">
        <v>3889</v>
      </c>
      <c r="J352" s="31" t="s">
        <v>845</v>
      </c>
      <c r="K352" s="311">
        <v>12563</v>
      </c>
      <c r="L352"/>
      <c r="M352"/>
    </row>
    <row r="353" spans="1:13">
      <c r="A353" s="31" t="s">
        <v>3496</v>
      </c>
      <c r="B353" s="31" t="s">
        <v>3640</v>
      </c>
      <c r="C353" s="31">
        <v>2247793</v>
      </c>
      <c r="D353" s="31"/>
      <c r="E353" s="311">
        <v>12955</v>
      </c>
      <c r="F353" s="311"/>
      <c r="G353" s="311">
        <v>13696</v>
      </c>
      <c r="H353" s="31" t="s">
        <v>3215</v>
      </c>
      <c r="I353" s="31" t="s">
        <v>3653</v>
      </c>
      <c r="J353" s="31" t="s">
        <v>845</v>
      </c>
      <c r="K353" s="311">
        <v>12628</v>
      </c>
      <c r="L353"/>
      <c r="M353"/>
    </row>
    <row r="354" spans="1:13">
      <c r="A354" s="31" t="s">
        <v>3496</v>
      </c>
      <c r="B354" s="31" t="s">
        <v>3640</v>
      </c>
      <c r="C354" s="31">
        <v>2247815</v>
      </c>
      <c r="D354" s="31"/>
      <c r="E354" s="311">
        <v>12729</v>
      </c>
      <c r="F354" s="311"/>
      <c r="G354" s="311">
        <v>13696</v>
      </c>
      <c r="H354" s="31" t="s">
        <v>3215</v>
      </c>
      <c r="I354" s="31" t="s">
        <v>3477</v>
      </c>
      <c r="J354" s="31" t="s">
        <v>845</v>
      </c>
      <c r="K354" s="311">
        <v>12370</v>
      </c>
      <c r="L354"/>
      <c r="M354"/>
    </row>
    <row r="355" spans="1:13">
      <c r="A355" s="31" t="s">
        <v>3496</v>
      </c>
      <c r="B355" s="31" t="s">
        <v>3640</v>
      </c>
      <c r="C355" s="31">
        <v>2248574</v>
      </c>
      <c r="D355" s="31"/>
      <c r="E355" s="311">
        <v>13214</v>
      </c>
      <c r="F355" s="311"/>
      <c r="G355" s="311">
        <v>13703</v>
      </c>
      <c r="H355" s="31" t="s">
        <v>3215</v>
      </c>
      <c r="I355" s="31" t="s">
        <v>3519</v>
      </c>
      <c r="J355" s="31" t="s">
        <v>702</v>
      </c>
      <c r="K355" s="311">
        <v>12884</v>
      </c>
      <c r="L355"/>
      <c r="M355"/>
    </row>
    <row r="356" spans="1:13">
      <c r="A356" s="31" t="s">
        <v>3496</v>
      </c>
      <c r="B356" s="31" t="s">
        <v>3640</v>
      </c>
      <c r="C356" s="31">
        <v>2248614</v>
      </c>
      <c r="D356" s="31"/>
      <c r="E356" s="311">
        <v>12475</v>
      </c>
      <c r="F356" s="311"/>
      <c r="G356" s="311">
        <v>13703</v>
      </c>
      <c r="H356" s="31" t="s">
        <v>3215</v>
      </c>
      <c r="I356" s="31" t="s">
        <v>3604</v>
      </c>
      <c r="J356" s="31" t="s">
        <v>845</v>
      </c>
      <c r="K356" s="311">
        <v>12155</v>
      </c>
      <c r="L356"/>
      <c r="M356"/>
    </row>
    <row r="357" spans="1:13">
      <c r="A357" s="31" t="s">
        <v>3496</v>
      </c>
      <c r="B357" s="31" t="s">
        <v>3640</v>
      </c>
      <c r="C357" s="31">
        <v>2249447</v>
      </c>
      <c r="D357" s="31"/>
      <c r="E357" s="311">
        <v>13572</v>
      </c>
      <c r="F357" s="311"/>
      <c r="G357" s="311">
        <v>13710</v>
      </c>
      <c r="H357" s="31" t="s">
        <v>3215</v>
      </c>
      <c r="I357" s="31" t="s">
        <v>3605</v>
      </c>
      <c r="J357" s="31" t="s">
        <v>702</v>
      </c>
      <c r="K357" s="311">
        <v>13212</v>
      </c>
      <c r="L357"/>
      <c r="M357"/>
    </row>
    <row r="358" spans="1:13">
      <c r="A358" s="31" t="s">
        <v>3496</v>
      </c>
      <c r="B358" s="31" t="s">
        <v>3640</v>
      </c>
      <c r="C358" s="31">
        <v>2249452</v>
      </c>
      <c r="D358" s="31"/>
      <c r="E358" s="311">
        <v>13195</v>
      </c>
      <c r="F358" s="311"/>
      <c r="G358" s="311">
        <v>13710</v>
      </c>
      <c r="H358" s="31" t="s">
        <v>3215</v>
      </c>
      <c r="I358" s="31" t="s">
        <v>3606</v>
      </c>
      <c r="J358" s="31" t="s">
        <v>845</v>
      </c>
      <c r="K358" s="311">
        <v>12785</v>
      </c>
      <c r="L358"/>
      <c r="M358"/>
    </row>
    <row r="359" spans="1:13">
      <c r="A359" s="31" t="s">
        <v>3496</v>
      </c>
      <c r="B359" s="31" t="s">
        <v>3640</v>
      </c>
      <c r="C359" s="31">
        <v>2249453</v>
      </c>
      <c r="D359" s="31"/>
      <c r="E359" s="311">
        <v>13268</v>
      </c>
      <c r="F359" s="311"/>
      <c r="G359" s="311">
        <v>13710</v>
      </c>
      <c r="H359" s="31" t="s">
        <v>3215</v>
      </c>
      <c r="I359" s="31" t="s">
        <v>3607</v>
      </c>
      <c r="J359" s="31" t="s">
        <v>845</v>
      </c>
      <c r="K359" s="311">
        <v>12754</v>
      </c>
      <c r="L359"/>
      <c r="M359"/>
    </row>
    <row r="360" spans="1:13">
      <c r="A360" s="31" t="s">
        <v>3496</v>
      </c>
      <c r="B360" s="31" t="s">
        <v>3640</v>
      </c>
      <c r="C360" s="31">
        <v>2249462</v>
      </c>
      <c r="D360" s="31"/>
      <c r="E360" s="311">
        <v>13324</v>
      </c>
      <c r="F360" s="311"/>
      <c r="G360" s="311">
        <v>13710</v>
      </c>
      <c r="H360" s="31" t="s">
        <v>3215</v>
      </c>
      <c r="I360" s="31" t="s">
        <v>3527</v>
      </c>
      <c r="J360" s="31" t="s">
        <v>845</v>
      </c>
      <c r="K360" s="311">
        <v>12951</v>
      </c>
      <c r="L360"/>
      <c r="M360"/>
    </row>
    <row r="361" spans="1:13">
      <c r="A361" s="31" t="s">
        <v>3496</v>
      </c>
      <c r="B361" s="31" t="s">
        <v>3640</v>
      </c>
      <c r="C361" s="31">
        <v>2249490</v>
      </c>
      <c r="D361" s="31"/>
      <c r="E361" s="311">
        <v>13114</v>
      </c>
      <c r="F361" s="311"/>
      <c r="G361" s="311">
        <v>13710</v>
      </c>
      <c r="H361" s="31" t="s">
        <v>3215</v>
      </c>
      <c r="I361" s="31" t="s">
        <v>3747</v>
      </c>
      <c r="J361" s="31" t="s">
        <v>845</v>
      </c>
      <c r="K361" s="311">
        <v>12758</v>
      </c>
      <c r="L361"/>
      <c r="M361"/>
    </row>
    <row r="362" spans="1:13">
      <c r="A362" s="31" t="s">
        <v>3496</v>
      </c>
      <c r="B362" s="31" t="s">
        <v>3640</v>
      </c>
      <c r="C362" s="31">
        <v>2249493</v>
      </c>
      <c r="D362" s="31"/>
      <c r="E362" s="311">
        <v>11861</v>
      </c>
      <c r="F362" s="311"/>
      <c r="G362" s="311">
        <v>13710</v>
      </c>
      <c r="H362" s="31" t="s">
        <v>3215</v>
      </c>
      <c r="I362" s="31" t="s">
        <v>3748</v>
      </c>
      <c r="J362" s="31" t="s">
        <v>845</v>
      </c>
      <c r="K362" s="311">
        <v>11497</v>
      </c>
      <c r="L362"/>
      <c r="M362"/>
    </row>
    <row r="363" spans="1:13">
      <c r="A363" s="31" t="s">
        <v>3496</v>
      </c>
      <c r="B363" s="31" t="s">
        <v>3640</v>
      </c>
      <c r="C363" s="31">
        <v>2249498</v>
      </c>
      <c r="D363" s="31"/>
      <c r="E363" s="311">
        <v>12837</v>
      </c>
      <c r="F363" s="311"/>
      <c r="G363" s="311">
        <v>13710</v>
      </c>
      <c r="H363" s="31" t="s">
        <v>3215</v>
      </c>
      <c r="I363" s="31" t="s">
        <v>3847</v>
      </c>
      <c r="J363" s="31" t="s">
        <v>845</v>
      </c>
      <c r="K363" s="311">
        <v>12477</v>
      </c>
      <c r="L363"/>
      <c r="M363"/>
    </row>
    <row r="364" spans="1:13">
      <c r="A364" s="31" t="s">
        <v>3496</v>
      </c>
      <c r="B364" s="31" t="s">
        <v>3640</v>
      </c>
      <c r="C364" s="31">
        <v>2249513</v>
      </c>
      <c r="D364" s="31"/>
      <c r="E364" s="311">
        <v>13290</v>
      </c>
      <c r="F364" s="311"/>
      <c r="G364" s="311">
        <v>13710</v>
      </c>
      <c r="H364" s="31" t="s">
        <v>3215</v>
      </c>
      <c r="I364" s="31" t="s">
        <v>3749</v>
      </c>
      <c r="J364" s="31" t="s">
        <v>845</v>
      </c>
      <c r="K364" s="311">
        <v>12948</v>
      </c>
      <c r="L364"/>
      <c r="M364"/>
    </row>
    <row r="365" spans="1:13">
      <c r="A365" s="31" t="s">
        <v>3496</v>
      </c>
      <c r="B365" s="31" t="s">
        <v>3640</v>
      </c>
      <c r="C365" s="31">
        <v>2250202</v>
      </c>
      <c r="D365" s="31"/>
      <c r="E365" s="311">
        <v>12618</v>
      </c>
      <c r="F365" s="311"/>
      <c r="G365" s="311">
        <v>13717</v>
      </c>
      <c r="H365" s="31" t="s">
        <v>3215</v>
      </c>
      <c r="I365" s="31" t="s">
        <v>3524</v>
      </c>
      <c r="J365" s="31" t="s">
        <v>3133</v>
      </c>
      <c r="K365" s="311">
        <v>12282</v>
      </c>
      <c r="L365"/>
      <c r="M365"/>
    </row>
    <row r="366" spans="1:13">
      <c r="A366" s="31" t="s">
        <v>3496</v>
      </c>
      <c r="B366" s="31" t="s">
        <v>3640</v>
      </c>
      <c r="C366" s="31">
        <v>2250208</v>
      </c>
      <c r="D366" s="31"/>
      <c r="E366" s="311">
        <v>13298</v>
      </c>
      <c r="F366" s="311"/>
      <c r="G366" s="311">
        <v>13717</v>
      </c>
      <c r="H366" s="31" t="s">
        <v>3215</v>
      </c>
      <c r="I366" s="31" t="s">
        <v>3750</v>
      </c>
      <c r="J366" s="31" t="s">
        <v>845</v>
      </c>
      <c r="K366" s="311">
        <v>12843</v>
      </c>
      <c r="L366"/>
      <c r="M366"/>
    </row>
    <row r="367" spans="1:13">
      <c r="A367" s="31" t="s">
        <v>3496</v>
      </c>
      <c r="B367" s="31" t="s">
        <v>3640</v>
      </c>
      <c r="C367" s="31">
        <v>2250216</v>
      </c>
      <c r="D367" s="31"/>
      <c r="E367" s="311">
        <v>13311</v>
      </c>
      <c r="F367" s="311"/>
      <c r="G367" s="311">
        <v>13717</v>
      </c>
      <c r="H367" s="31" t="s">
        <v>3215</v>
      </c>
      <c r="I367" s="31" t="s">
        <v>3794</v>
      </c>
      <c r="J367" s="31" t="s">
        <v>845</v>
      </c>
      <c r="K367" s="311">
        <v>12937</v>
      </c>
      <c r="L367"/>
      <c r="M367"/>
    </row>
    <row r="368" spans="1:13">
      <c r="A368" s="31" t="s">
        <v>3496</v>
      </c>
      <c r="B368" s="31" t="s">
        <v>3640</v>
      </c>
      <c r="C368" s="31">
        <v>2250969</v>
      </c>
      <c r="D368" s="31"/>
      <c r="E368" s="311">
        <v>12109</v>
      </c>
      <c r="F368" s="311"/>
      <c r="G368" s="311">
        <v>13724</v>
      </c>
      <c r="H368" s="31" t="s">
        <v>3215</v>
      </c>
      <c r="I368" s="31" t="s">
        <v>3751</v>
      </c>
      <c r="J368" s="31" t="s">
        <v>845</v>
      </c>
      <c r="K368" s="311">
        <v>11761</v>
      </c>
      <c r="L368"/>
      <c r="M368"/>
    </row>
    <row r="369" spans="1:13">
      <c r="A369" s="31" t="s">
        <v>3496</v>
      </c>
      <c r="B369" s="31" t="s">
        <v>3640</v>
      </c>
      <c r="C369" s="31">
        <v>2252438</v>
      </c>
      <c r="D369" s="31"/>
      <c r="E369" s="311">
        <v>12990</v>
      </c>
      <c r="F369" s="311"/>
      <c r="G369" s="311">
        <v>13738</v>
      </c>
      <c r="H369" s="31" t="s">
        <v>3215</v>
      </c>
      <c r="I369" s="31" t="s">
        <v>3756</v>
      </c>
      <c r="J369" s="31" t="s">
        <v>845</v>
      </c>
      <c r="K369" s="311">
        <v>12627</v>
      </c>
      <c r="L369"/>
      <c r="M369"/>
    </row>
    <row r="370" spans="1:13">
      <c r="A370" s="31" t="s">
        <v>3496</v>
      </c>
      <c r="B370" s="31" t="s">
        <v>3640</v>
      </c>
      <c r="C370" s="31">
        <v>2253967</v>
      </c>
      <c r="D370" s="31"/>
      <c r="E370" s="311">
        <v>12985</v>
      </c>
      <c r="F370" s="311"/>
      <c r="G370" s="311">
        <v>13752</v>
      </c>
      <c r="H370" s="31" t="s">
        <v>3215</v>
      </c>
      <c r="I370" s="31" t="s">
        <v>3911</v>
      </c>
      <c r="J370" s="31" t="s">
        <v>845</v>
      </c>
      <c r="K370" s="311">
        <v>12632</v>
      </c>
      <c r="L370"/>
      <c r="M370"/>
    </row>
    <row r="371" spans="1:13">
      <c r="A371" s="31" t="s">
        <v>3496</v>
      </c>
      <c r="B371" s="31" t="s">
        <v>3640</v>
      </c>
      <c r="C371" s="31">
        <v>2254703</v>
      </c>
      <c r="D371" s="31"/>
      <c r="E371" s="311">
        <v>12806</v>
      </c>
      <c r="F371" s="311"/>
      <c r="G371" s="311">
        <v>13759</v>
      </c>
      <c r="H371" s="31" t="s">
        <v>3215</v>
      </c>
      <c r="I371" s="31" t="s">
        <v>3519</v>
      </c>
      <c r="J371" s="31" t="s">
        <v>845</v>
      </c>
      <c r="K371" s="311">
        <v>12472</v>
      </c>
      <c r="L371"/>
      <c r="M371"/>
    </row>
    <row r="372" spans="1:13">
      <c r="A372" s="31" t="s">
        <v>3496</v>
      </c>
      <c r="B372" s="31" t="s">
        <v>3640</v>
      </c>
      <c r="C372" s="31">
        <v>2254707</v>
      </c>
      <c r="D372" s="31"/>
      <c r="E372" s="311">
        <v>13403</v>
      </c>
      <c r="F372" s="311"/>
      <c r="G372" s="311">
        <v>13759</v>
      </c>
      <c r="H372" s="31" t="s">
        <v>3215</v>
      </c>
      <c r="I372" s="31" t="s">
        <v>3912</v>
      </c>
      <c r="J372" s="31" t="s">
        <v>3133</v>
      </c>
      <c r="K372" s="311">
        <v>13135</v>
      </c>
      <c r="L372"/>
      <c r="M372"/>
    </row>
    <row r="373" spans="1:13">
      <c r="A373" s="31" t="s">
        <v>3496</v>
      </c>
      <c r="B373" s="31" t="s">
        <v>3640</v>
      </c>
      <c r="C373" s="31">
        <v>2254714</v>
      </c>
      <c r="D373" s="31"/>
      <c r="E373" s="311">
        <v>12704</v>
      </c>
      <c r="F373" s="311"/>
      <c r="G373" s="311">
        <v>13759</v>
      </c>
      <c r="H373" s="31" t="s">
        <v>3215</v>
      </c>
      <c r="I373" s="31" t="s">
        <v>3389</v>
      </c>
      <c r="J373" s="31" t="s">
        <v>845</v>
      </c>
      <c r="K373" s="311">
        <v>12339</v>
      </c>
      <c r="L373"/>
      <c r="M373"/>
    </row>
    <row r="374" spans="1:13">
      <c r="A374" s="31" t="s">
        <v>3496</v>
      </c>
      <c r="B374" s="31" t="s">
        <v>3640</v>
      </c>
      <c r="C374" s="31">
        <v>2254722</v>
      </c>
      <c r="D374" s="31"/>
      <c r="E374" s="311">
        <v>13270</v>
      </c>
      <c r="F374" s="311"/>
      <c r="G374" s="311">
        <v>13759</v>
      </c>
      <c r="H374" s="31" t="s">
        <v>3215</v>
      </c>
      <c r="I374" s="31" t="s">
        <v>3913</v>
      </c>
      <c r="J374" s="31" t="s">
        <v>3133</v>
      </c>
      <c r="K374" s="311">
        <v>12998</v>
      </c>
      <c r="L374"/>
      <c r="M374"/>
    </row>
    <row r="375" spans="1:13">
      <c r="A375" s="31" t="s">
        <v>3496</v>
      </c>
      <c r="B375" s="31" t="s">
        <v>3640</v>
      </c>
      <c r="C375" s="31">
        <v>2254730</v>
      </c>
      <c r="D375" s="31"/>
      <c r="E375" s="311">
        <v>13362</v>
      </c>
      <c r="F375" s="311"/>
      <c r="G375" s="311">
        <v>13759</v>
      </c>
      <c r="H375" s="31" t="s">
        <v>3215</v>
      </c>
      <c r="I375" s="31" t="s">
        <v>3914</v>
      </c>
      <c r="J375" s="31" t="s">
        <v>702</v>
      </c>
      <c r="K375" s="311">
        <v>13005</v>
      </c>
      <c r="L375"/>
      <c r="M375"/>
    </row>
    <row r="376" spans="1:13">
      <c r="A376" s="31" t="s">
        <v>3496</v>
      </c>
      <c r="B376" s="31" t="s">
        <v>3640</v>
      </c>
      <c r="C376" s="31">
        <v>2255499</v>
      </c>
      <c r="D376" s="31"/>
      <c r="E376" s="311">
        <v>13303</v>
      </c>
      <c r="F376" s="311"/>
      <c r="G376" s="311">
        <v>13766</v>
      </c>
      <c r="H376" s="31" t="s">
        <v>3215</v>
      </c>
      <c r="I376" s="31" t="s">
        <v>3915</v>
      </c>
      <c r="J376" s="31" t="s">
        <v>845</v>
      </c>
      <c r="K376" s="311">
        <v>12983</v>
      </c>
      <c r="L376"/>
      <c r="M376"/>
    </row>
    <row r="377" spans="1:13">
      <c r="A377" s="31" t="s">
        <v>3496</v>
      </c>
      <c r="B377" s="31" t="s">
        <v>3640</v>
      </c>
      <c r="C377" s="31">
        <v>2255500</v>
      </c>
      <c r="D377" s="31"/>
      <c r="E377" s="311">
        <v>13303</v>
      </c>
      <c r="F377" s="311"/>
      <c r="G377" s="311">
        <v>13766</v>
      </c>
      <c r="H377" s="31" t="s">
        <v>3215</v>
      </c>
      <c r="I377" s="31" t="s">
        <v>3915</v>
      </c>
      <c r="J377" s="31" t="s">
        <v>845</v>
      </c>
      <c r="K377" s="311">
        <v>12983</v>
      </c>
      <c r="L377"/>
      <c r="M377"/>
    </row>
    <row r="378" spans="1:13">
      <c r="A378" s="31" t="s">
        <v>3496</v>
      </c>
      <c r="B378" s="31" t="s">
        <v>3640</v>
      </c>
      <c r="C378" s="31">
        <v>2255507</v>
      </c>
      <c r="D378" s="31"/>
      <c r="E378" s="311">
        <v>13233</v>
      </c>
      <c r="F378" s="311"/>
      <c r="G378" s="311">
        <v>13766</v>
      </c>
      <c r="H378" s="31" t="s">
        <v>3215</v>
      </c>
      <c r="I378" s="31" t="s">
        <v>3665</v>
      </c>
      <c r="J378" s="31" t="s">
        <v>845</v>
      </c>
      <c r="K378" s="311">
        <v>12815</v>
      </c>
      <c r="L378"/>
      <c r="M378"/>
    </row>
    <row r="379" spans="1:13">
      <c r="A379" s="31" t="s">
        <v>3496</v>
      </c>
      <c r="B379" s="31" t="s">
        <v>3640</v>
      </c>
      <c r="C379" s="31">
        <v>2259070</v>
      </c>
      <c r="D379" s="31"/>
      <c r="E379" s="311">
        <v>13375</v>
      </c>
      <c r="F379" s="311"/>
      <c r="G379" s="311">
        <v>13801</v>
      </c>
      <c r="H379" s="31" t="s">
        <v>3215</v>
      </c>
      <c r="I379" s="31" t="s">
        <v>3765</v>
      </c>
      <c r="J379" s="31" t="s">
        <v>845</v>
      </c>
      <c r="K379" s="311">
        <v>12950</v>
      </c>
      <c r="L379"/>
      <c r="M379"/>
    </row>
    <row r="380" spans="1:13">
      <c r="A380" s="31" t="s">
        <v>3496</v>
      </c>
      <c r="B380" s="31" t="s">
        <v>3640</v>
      </c>
      <c r="C380" s="31">
        <v>2259115</v>
      </c>
      <c r="D380" s="31"/>
      <c r="E380" s="311">
        <v>12671</v>
      </c>
      <c r="F380" s="311"/>
      <c r="G380" s="311">
        <v>13801</v>
      </c>
      <c r="H380" s="31" t="s">
        <v>3215</v>
      </c>
      <c r="I380" s="31" t="s">
        <v>3766</v>
      </c>
      <c r="J380" s="31" t="s">
        <v>702</v>
      </c>
      <c r="K380" s="311">
        <v>12389</v>
      </c>
      <c r="L380"/>
      <c r="M380"/>
    </row>
    <row r="381" spans="1:13">
      <c r="A381" s="31" t="s">
        <v>3496</v>
      </c>
      <c r="B381" s="31" t="s">
        <v>3640</v>
      </c>
      <c r="C381" s="31">
        <v>2259119</v>
      </c>
      <c r="D381" s="31"/>
      <c r="E381" s="311">
        <v>12744</v>
      </c>
      <c r="F381" s="311"/>
      <c r="G381" s="311">
        <v>13801</v>
      </c>
      <c r="H381" s="31" t="s">
        <v>3215</v>
      </c>
      <c r="I381" s="31" t="s">
        <v>3389</v>
      </c>
      <c r="J381" s="31" t="s">
        <v>845</v>
      </c>
      <c r="K381" s="311">
        <v>12405</v>
      </c>
      <c r="L381"/>
      <c r="M381"/>
    </row>
    <row r="382" spans="1:13">
      <c r="A382" s="31" t="s">
        <v>3496</v>
      </c>
      <c r="B382" s="31" t="s">
        <v>3640</v>
      </c>
      <c r="C382" s="31">
        <v>2259138</v>
      </c>
      <c r="D382" s="31"/>
      <c r="E382" s="311">
        <v>12862</v>
      </c>
      <c r="F382" s="311"/>
      <c r="G382" s="311">
        <v>13801</v>
      </c>
      <c r="H382" s="31" t="s">
        <v>3215</v>
      </c>
      <c r="I382" s="31" t="s">
        <v>3767</v>
      </c>
      <c r="J382" s="31" t="s">
        <v>3133</v>
      </c>
      <c r="K382" s="311">
        <v>12503</v>
      </c>
      <c r="L382"/>
      <c r="M382"/>
    </row>
    <row r="383" spans="1:13">
      <c r="A383" s="31" t="s">
        <v>3496</v>
      </c>
      <c r="B383" s="31" t="s">
        <v>3640</v>
      </c>
      <c r="C383" s="31">
        <v>2259139</v>
      </c>
      <c r="D383" s="31"/>
      <c r="E383" s="311">
        <v>13203</v>
      </c>
      <c r="F383" s="311"/>
      <c r="G383" s="311">
        <v>13801</v>
      </c>
      <c r="H383" s="31" t="s">
        <v>3215</v>
      </c>
      <c r="I383" s="31" t="s">
        <v>3478</v>
      </c>
      <c r="J383" s="31" t="s">
        <v>845</v>
      </c>
      <c r="K383" s="311">
        <v>12792</v>
      </c>
      <c r="L383"/>
      <c r="M383"/>
    </row>
    <row r="384" spans="1:13">
      <c r="A384" s="31" t="s">
        <v>3496</v>
      </c>
      <c r="B384" s="31" t="s">
        <v>3640</v>
      </c>
      <c r="C384" s="288">
        <v>2259394</v>
      </c>
      <c r="D384" s="31"/>
      <c r="E384" s="311">
        <v>12591</v>
      </c>
      <c r="F384" s="311"/>
      <c r="G384" s="311">
        <v>13808</v>
      </c>
      <c r="H384" s="31" t="s">
        <v>3215</v>
      </c>
      <c r="I384" s="31" t="s">
        <v>3768</v>
      </c>
      <c r="J384" s="31" t="s">
        <v>845</v>
      </c>
      <c r="K384" s="311">
        <v>12232</v>
      </c>
      <c r="L384"/>
      <c r="M384"/>
    </row>
    <row r="385" spans="1:13">
      <c r="A385" s="31" t="s">
        <v>3496</v>
      </c>
      <c r="B385" s="31" t="s">
        <v>3640</v>
      </c>
      <c r="C385" s="31">
        <v>2260034</v>
      </c>
      <c r="D385" s="31"/>
      <c r="E385" s="311">
        <v>12591</v>
      </c>
      <c r="F385" s="311"/>
      <c r="G385" s="311">
        <v>13808</v>
      </c>
      <c r="H385" s="31" t="s">
        <v>3215</v>
      </c>
      <c r="I385" s="31" t="s">
        <v>3768</v>
      </c>
      <c r="J385" s="31" t="s">
        <v>845</v>
      </c>
      <c r="K385" s="311">
        <v>12232</v>
      </c>
      <c r="L385"/>
      <c r="M385"/>
    </row>
    <row r="386" spans="1:13">
      <c r="A386" s="31" t="s">
        <v>3496</v>
      </c>
      <c r="B386" s="31" t="s">
        <v>3640</v>
      </c>
      <c r="C386" s="31">
        <v>2260035</v>
      </c>
      <c r="D386" s="31"/>
      <c r="E386" s="311">
        <v>13062</v>
      </c>
      <c r="F386" s="311"/>
      <c r="G386" s="311">
        <v>13808</v>
      </c>
      <c r="H386" s="31" t="s">
        <v>3215</v>
      </c>
      <c r="I386" s="31" t="s">
        <v>3769</v>
      </c>
      <c r="J386" s="31" t="s">
        <v>2781</v>
      </c>
      <c r="K386" s="311">
        <v>12710</v>
      </c>
      <c r="L386"/>
      <c r="M386"/>
    </row>
    <row r="387" spans="1:13">
      <c r="A387" s="31" t="s">
        <v>3496</v>
      </c>
      <c r="B387" s="31" t="s">
        <v>3640</v>
      </c>
      <c r="C387" s="31">
        <v>2260041</v>
      </c>
      <c r="D387" s="31"/>
      <c r="E387" s="311">
        <v>13412</v>
      </c>
      <c r="F387" s="311"/>
      <c r="G387" s="311">
        <v>13808</v>
      </c>
      <c r="H387" s="31" t="s">
        <v>3215</v>
      </c>
      <c r="I387" s="31" t="s">
        <v>3770</v>
      </c>
      <c r="J387" s="31" t="s">
        <v>845</v>
      </c>
      <c r="K387" s="311">
        <v>12864</v>
      </c>
      <c r="L387"/>
      <c r="M387"/>
    </row>
    <row r="388" spans="1:13">
      <c r="A388" s="31" t="s">
        <v>3496</v>
      </c>
      <c r="B388" s="31" t="s">
        <v>3640</v>
      </c>
      <c r="C388" s="31">
        <v>2266614</v>
      </c>
      <c r="D388" s="31"/>
      <c r="E388" s="311">
        <v>13278</v>
      </c>
      <c r="F388" s="311"/>
      <c r="G388" s="311">
        <v>13864</v>
      </c>
      <c r="H388" s="31" t="s">
        <v>3215</v>
      </c>
      <c r="I388" s="31" t="s">
        <v>3624</v>
      </c>
      <c r="J388" s="31" t="s">
        <v>702</v>
      </c>
      <c r="K388" s="311">
        <v>12935</v>
      </c>
      <c r="L388"/>
      <c r="M388"/>
    </row>
    <row r="389" spans="1:13">
      <c r="A389" s="31" t="s">
        <v>3496</v>
      </c>
      <c r="B389" s="31" t="s">
        <v>3640</v>
      </c>
      <c r="C389" s="31">
        <v>2269967</v>
      </c>
      <c r="D389" s="31"/>
      <c r="E389" s="311">
        <v>13153</v>
      </c>
      <c r="F389" s="311"/>
      <c r="G389" s="311">
        <v>13892</v>
      </c>
      <c r="H389" s="31" t="s">
        <v>3215</v>
      </c>
      <c r="I389" s="31" t="s">
        <v>3625</v>
      </c>
      <c r="J389" s="31" t="s">
        <v>702</v>
      </c>
      <c r="K389" s="311">
        <v>12862</v>
      </c>
      <c r="L389"/>
      <c r="M389"/>
    </row>
    <row r="390" spans="1:13">
      <c r="A390" s="31" t="s">
        <v>3496</v>
      </c>
      <c r="B390" s="31" t="s">
        <v>3640</v>
      </c>
      <c r="C390" s="31">
        <v>2271219</v>
      </c>
      <c r="D390" s="31"/>
      <c r="E390" s="311">
        <v>13017</v>
      </c>
      <c r="F390" s="311"/>
      <c r="G390" s="311">
        <v>13906</v>
      </c>
      <c r="H390" s="31" t="s">
        <v>3215</v>
      </c>
      <c r="I390" s="31" t="s">
        <v>3639</v>
      </c>
      <c r="J390" s="31" t="s">
        <v>845</v>
      </c>
      <c r="K390" s="311">
        <v>12653</v>
      </c>
      <c r="L390"/>
      <c r="M390"/>
    </row>
    <row r="391" spans="1:13">
      <c r="A391" s="31" t="s">
        <v>3496</v>
      </c>
      <c r="B391" s="31" t="s">
        <v>3640</v>
      </c>
      <c r="C391" s="31">
        <v>2271232</v>
      </c>
      <c r="D391" s="31"/>
      <c r="E391" s="311">
        <v>13314</v>
      </c>
      <c r="F391" s="311"/>
      <c r="G391" s="311">
        <v>13906</v>
      </c>
      <c r="H391" s="31" t="s">
        <v>3215</v>
      </c>
      <c r="I391" s="31" t="s">
        <v>3565</v>
      </c>
      <c r="J391" s="31" t="s">
        <v>845</v>
      </c>
      <c r="K391" s="311">
        <v>12979</v>
      </c>
      <c r="L391"/>
      <c r="M391"/>
    </row>
    <row r="392" spans="1:13">
      <c r="A392" s="31" t="s">
        <v>3496</v>
      </c>
      <c r="B392" s="31" t="s">
        <v>3640</v>
      </c>
      <c r="C392" s="31">
        <v>2271973</v>
      </c>
      <c r="D392" s="31"/>
      <c r="E392" s="311">
        <v>12974</v>
      </c>
      <c r="F392" s="311"/>
      <c r="G392" s="311">
        <v>13913</v>
      </c>
      <c r="H392" s="31" t="s">
        <v>3215</v>
      </c>
      <c r="I392" s="31" t="s">
        <v>3626</v>
      </c>
      <c r="J392" s="31" t="s">
        <v>702</v>
      </c>
      <c r="K392" s="311">
        <v>12628</v>
      </c>
      <c r="L392"/>
      <c r="M392"/>
    </row>
    <row r="393" spans="1:13">
      <c r="A393" s="31" t="s">
        <v>3496</v>
      </c>
      <c r="B393" s="31" t="s">
        <v>3640</v>
      </c>
      <c r="C393" s="31">
        <v>2272745</v>
      </c>
      <c r="D393" s="31"/>
      <c r="E393" s="311">
        <v>12999</v>
      </c>
      <c r="F393" s="311"/>
      <c r="G393" s="311">
        <v>13920</v>
      </c>
      <c r="H393" s="31" t="s">
        <v>3215</v>
      </c>
      <c r="I393" s="31" t="s">
        <v>3627</v>
      </c>
      <c r="J393" s="31" t="s">
        <v>702</v>
      </c>
      <c r="K393" s="311">
        <v>12836</v>
      </c>
      <c r="L393"/>
      <c r="M393"/>
    </row>
    <row r="394" spans="1:13">
      <c r="A394" s="31" t="s">
        <v>3496</v>
      </c>
      <c r="B394" s="31" t="s">
        <v>3640</v>
      </c>
      <c r="C394" s="31">
        <v>2272749</v>
      </c>
      <c r="D394" s="31"/>
      <c r="E394" s="311">
        <v>13422</v>
      </c>
      <c r="F394" s="311"/>
      <c r="G394" s="311">
        <v>13920</v>
      </c>
      <c r="H394" s="31" t="s">
        <v>3215</v>
      </c>
      <c r="I394" s="31" t="s">
        <v>3771</v>
      </c>
      <c r="J394" s="31" t="s">
        <v>702</v>
      </c>
      <c r="K394" s="311">
        <v>12925</v>
      </c>
      <c r="L394"/>
      <c r="M394"/>
    </row>
    <row r="395" spans="1:13">
      <c r="A395" s="31" t="s">
        <v>3496</v>
      </c>
      <c r="B395" s="31" t="s">
        <v>3640</v>
      </c>
      <c r="C395" s="31">
        <v>2275872</v>
      </c>
      <c r="D395" s="31"/>
      <c r="E395" s="311">
        <v>13319</v>
      </c>
      <c r="F395" s="311"/>
      <c r="G395" s="311">
        <v>13948</v>
      </c>
      <c r="H395" s="31" t="s">
        <v>3215</v>
      </c>
      <c r="I395" s="31" t="s">
        <v>3550</v>
      </c>
      <c r="J395" s="31" t="s">
        <v>702</v>
      </c>
      <c r="K395" s="311">
        <v>12961</v>
      </c>
      <c r="L395"/>
      <c r="M395"/>
    </row>
    <row r="396" spans="1:13">
      <c r="A396" s="31" t="s">
        <v>3496</v>
      </c>
      <c r="B396" s="31" t="s">
        <v>3640</v>
      </c>
      <c r="C396" s="31">
        <v>2275890</v>
      </c>
      <c r="D396" s="31"/>
      <c r="E396" s="311">
        <v>13257</v>
      </c>
      <c r="F396" s="311"/>
      <c r="G396" s="311">
        <v>13948</v>
      </c>
      <c r="H396" s="31" t="s">
        <v>3215</v>
      </c>
      <c r="I396" s="31" t="s">
        <v>3772</v>
      </c>
      <c r="J396" s="31" t="s">
        <v>702</v>
      </c>
      <c r="K396" s="311">
        <v>12981</v>
      </c>
      <c r="L396"/>
      <c r="M396"/>
    </row>
    <row r="397" spans="1:13">
      <c r="A397" s="31" t="s">
        <v>3496</v>
      </c>
      <c r="B397" s="31" t="s">
        <v>3640</v>
      </c>
      <c r="C397" s="31">
        <v>2275891</v>
      </c>
      <c r="D397" s="31"/>
      <c r="E397" s="311">
        <v>13124</v>
      </c>
      <c r="F397" s="311"/>
      <c r="G397" s="311">
        <v>13948</v>
      </c>
      <c r="H397" s="31" t="s">
        <v>3215</v>
      </c>
      <c r="I397" s="31" t="s">
        <v>3773</v>
      </c>
      <c r="J397" s="31" t="s">
        <v>702</v>
      </c>
      <c r="K397" s="311">
        <v>12759</v>
      </c>
      <c r="L397"/>
      <c r="M397"/>
    </row>
    <row r="398" spans="1:13">
      <c r="A398" s="31" t="s">
        <v>3496</v>
      </c>
      <c r="B398" s="31" t="s">
        <v>3640</v>
      </c>
      <c r="C398" s="31">
        <v>2276740</v>
      </c>
      <c r="D398" s="31"/>
      <c r="E398" s="311">
        <v>13501</v>
      </c>
      <c r="F398" s="311"/>
      <c r="G398" s="311">
        <v>13955</v>
      </c>
      <c r="H398" s="31" t="s">
        <v>3215</v>
      </c>
      <c r="I398" s="31" t="s">
        <v>3919</v>
      </c>
      <c r="J398" s="31" t="s">
        <v>3133</v>
      </c>
      <c r="K398" s="311">
        <v>13140</v>
      </c>
      <c r="L398"/>
      <c r="M398"/>
    </row>
    <row r="399" spans="1:13">
      <c r="A399" s="31" t="s">
        <v>3496</v>
      </c>
      <c r="B399" s="31" t="s">
        <v>3640</v>
      </c>
      <c r="C399" s="31">
        <v>2277487</v>
      </c>
      <c r="D399" s="31"/>
      <c r="E399" s="311">
        <v>12824</v>
      </c>
      <c r="F399" s="311"/>
      <c r="G399" s="311">
        <v>13962</v>
      </c>
      <c r="H399" s="31" t="s">
        <v>3215</v>
      </c>
      <c r="I399" s="31" t="s">
        <v>3688</v>
      </c>
      <c r="J399" s="31" t="s">
        <v>845</v>
      </c>
      <c r="K399" s="311">
        <v>12463</v>
      </c>
      <c r="L399"/>
      <c r="M399"/>
    </row>
    <row r="400" spans="1:13">
      <c r="A400" s="31" t="s">
        <v>3496</v>
      </c>
      <c r="B400" s="31" t="s">
        <v>3640</v>
      </c>
      <c r="C400" s="31">
        <v>2279024</v>
      </c>
      <c r="D400" s="31"/>
      <c r="E400" s="311">
        <v>13070</v>
      </c>
      <c r="F400" s="311"/>
      <c r="G400" s="311">
        <v>13976</v>
      </c>
      <c r="H400" s="31" t="s">
        <v>3215</v>
      </c>
      <c r="I400" s="31" t="s">
        <v>3476</v>
      </c>
      <c r="J400" s="31" t="s">
        <v>845</v>
      </c>
      <c r="K400" s="311">
        <v>12803</v>
      </c>
      <c r="L400"/>
      <c r="M400"/>
    </row>
    <row r="401" spans="1:13">
      <c r="A401" s="31" t="s">
        <v>3496</v>
      </c>
      <c r="B401" s="31" t="s">
        <v>3640</v>
      </c>
      <c r="C401" s="31">
        <v>2279040</v>
      </c>
      <c r="D401" s="31"/>
      <c r="E401" s="311">
        <v>12988</v>
      </c>
      <c r="F401" s="311"/>
      <c r="G401" s="311">
        <v>13976</v>
      </c>
      <c r="H401" s="31" t="s">
        <v>3215</v>
      </c>
      <c r="I401" s="31" t="s">
        <v>3460</v>
      </c>
      <c r="J401" s="31" t="s">
        <v>845</v>
      </c>
      <c r="K401" s="311">
        <v>12680</v>
      </c>
      <c r="L401"/>
      <c r="M401"/>
    </row>
    <row r="402" spans="1:13">
      <c r="A402" s="31" t="s">
        <v>3496</v>
      </c>
      <c r="B402" s="31" t="s">
        <v>3640</v>
      </c>
      <c r="C402" s="31">
        <v>2279049</v>
      </c>
      <c r="D402" s="31"/>
      <c r="E402" s="311">
        <v>13397</v>
      </c>
      <c r="F402" s="311"/>
      <c r="G402" s="311">
        <v>13976</v>
      </c>
      <c r="H402" s="31" t="s">
        <v>3215</v>
      </c>
      <c r="I402" s="31" t="s">
        <v>3920</v>
      </c>
      <c r="J402" s="31" t="s">
        <v>845</v>
      </c>
      <c r="K402" s="311">
        <v>13087</v>
      </c>
      <c r="L402"/>
      <c r="M402"/>
    </row>
    <row r="403" spans="1:13">
      <c r="A403" s="31" t="s">
        <v>3496</v>
      </c>
      <c r="B403" s="31" t="s">
        <v>3640</v>
      </c>
      <c r="C403" s="31">
        <v>2279051</v>
      </c>
      <c r="D403" s="31"/>
      <c r="E403" s="311">
        <v>13363</v>
      </c>
      <c r="F403" s="311"/>
      <c r="G403" s="311">
        <v>13976</v>
      </c>
      <c r="H403" s="31" t="s">
        <v>3215</v>
      </c>
      <c r="I403" s="31" t="s">
        <v>3921</v>
      </c>
      <c r="J403" s="31" t="s">
        <v>845</v>
      </c>
      <c r="K403" s="311">
        <v>12992</v>
      </c>
      <c r="L403"/>
      <c r="M403"/>
    </row>
    <row r="404" spans="1:13">
      <c r="A404" s="31" t="s">
        <v>3496</v>
      </c>
      <c r="B404" s="31" t="s">
        <v>3640</v>
      </c>
      <c r="C404" s="31">
        <v>2279053</v>
      </c>
      <c r="D404" s="31"/>
      <c r="E404" s="311">
        <v>12712</v>
      </c>
      <c r="F404" s="311"/>
      <c r="G404" s="311">
        <v>13976</v>
      </c>
      <c r="H404" s="31" t="s">
        <v>3215</v>
      </c>
      <c r="I404" s="31" t="s">
        <v>3676</v>
      </c>
      <c r="J404" s="31" t="s">
        <v>845</v>
      </c>
      <c r="K404" s="311">
        <v>12348</v>
      </c>
      <c r="L404"/>
      <c r="M404"/>
    </row>
    <row r="405" spans="1:13">
      <c r="A405" s="31" t="s">
        <v>3496</v>
      </c>
      <c r="B405" s="31" t="s">
        <v>3640</v>
      </c>
      <c r="C405" s="31">
        <v>2281337</v>
      </c>
      <c r="D405" s="31"/>
      <c r="E405" s="311">
        <v>12475</v>
      </c>
      <c r="F405" s="311"/>
      <c r="G405" s="311">
        <v>13997</v>
      </c>
      <c r="H405" s="31" t="s">
        <v>3215</v>
      </c>
      <c r="I405" s="31" t="s">
        <v>3922</v>
      </c>
      <c r="J405" s="31" t="s">
        <v>845</v>
      </c>
      <c r="K405" s="311">
        <v>12146</v>
      </c>
      <c r="L405"/>
      <c r="M405"/>
    </row>
    <row r="406" spans="1:13">
      <c r="A406" s="31" t="s">
        <v>3496</v>
      </c>
      <c r="B406" s="31" t="s">
        <v>3640</v>
      </c>
      <c r="C406" s="31">
        <v>2281375</v>
      </c>
      <c r="D406" s="31"/>
      <c r="E406" s="311">
        <v>13332</v>
      </c>
      <c r="F406" s="311"/>
      <c r="G406" s="311">
        <v>13997</v>
      </c>
      <c r="H406" s="31" t="s">
        <v>3215</v>
      </c>
      <c r="I406" s="31" t="s">
        <v>3861</v>
      </c>
      <c r="J406" s="31" t="s">
        <v>845</v>
      </c>
      <c r="K406" s="311">
        <v>12972</v>
      </c>
      <c r="L406"/>
      <c r="M406"/>
    </row>
    <row r="407" spans="1:13">
      <c r="A407" s="31" t="s">
        <v>3496</v>
      </c>
      <c r="B407" s="31" t="s">
        <v>3640</v>
      </c>
      <c r="C407" s="31">
        <v>2281385</v>
      </c>
      <c r="D407" s="31"/>
      <c r="E407" s="311">
        <v>13286</v>
      </c>
      <c r="F407" s="311"/>
      <c r="G407" s="311">
        <v>13997</v>
      </c>
      <c r="H407" s="31" t="s">
        <v>3215</v>
      </c>
      <c r="I407" s="31" t="s">
        <v>3784</v>
      </c>
      <c r="J407" s="31" t="s">
        <v>2781</v>
      </c>
      <c r="K407" s="311">
        <v>12956</v>
      </c>
      <c r="L407"/>
      <c r="M407"/>
    </row>
    <row r="408" spans="1:13">
      <c r="A408" s="31" t="s">
        <v>3496</v>
      </c>
      <c r="B408" s="31" t="s">
        <v>3640</v>
      </c>
      <c r="C408" s="31">
        <v>2282065</v>
      </c>
      <c r="D408" s="31"/>
      <c r="E408" s="311">
        <v>12936</v>
      </c>
      <c r="F408" s="311"/>
      <c r="G408" s="311">
        <v>14004</v>
      </c>
      <c r="H408" s="31" t="s">
        <v>3215</v>
      </c>
      <c r="I408" s="31" t="s">
        <v>3785</v>
      </c>
      <c r="J408" s="31" t="s">
        <v>845</v>
      </c>
      <c r="K408" s="311">
        <v>12572</v>
      </c>
      <c r="L408"/>
      <c r="M408"/>
    </row>
    <row r="409" spans="1:13">
      <c r="A409" s="31" t="s">
        <v>3496</v>
      </c>
      <c r="B409" s="31" t="s">
        <v>3640</v>
      </c>
      <c r="C409" s="31">
        <v>2285136</v>
      </c>
      <c r="D409" s="31"/>
      <c r="E409" s="311">
        <v>13132</v>
      </c>
      <c r="F409" s="311"/>
      <c r="G409" s="311">
        <v>14032</v>
      </c>
      <c r="H409" s="31" t="s">
        <v>3215</v>
      </c>
      <c r="I409" s="31" t="s">
        <v>3786</v>
      </c>
      <c r="J409" s="31" t="s">
        <v>845</v>
      </c>
      <c r="K409" s="311">
        <v>12810</v>
      </c>
      <c r="L409"/>
      <c r="M409"/>
    </row>
    <row r="410" spans="1:13">
      <c r="A410" s="31" t="s">
        <v>3496</v>
      </c>
      <c r="B410" s="31" t="s">
        <v>3640</v>
      </c>
      <c r="C410" s="31">
        <v>2285198</v>
      </c>
      <c r="D410" s="31"/>
      <c r="E410" s="311">
        <v>13368</v>
      </c>
      <c r="F410" s="311"/>
      <c r="G410" s="311">
        <v>14032</v>
      </c>
      <c r="H410" s="31" t="s">
        <v>3215</v>
      </c>
      <c r="I410" s="31" t="s">
        <v>3787</v>
      </c>
      <c r="J410" s="31" t="s">
        <v>845</v>
      </c>
      <c r="K410" s="311">
        <v>13068</v>
      </c>
      <c r="L410"/>
      <c r="M410"/>
    </row>
    <row r="411" spans="1:13">
      <c r="A411" s="31" t="s">
        <v>3496</v>
      </c>
      <c r="B411" s="31" t="s">
        <v>3640</v>
      </c>
      <c r="C411" s="31">
        <v>2285964</v>
      </c>
      <c r="D411" s="31"/>
      <c r="E411" s="311">
        <v>13445</v>
      </c>
      <c r="F411" s="311"/>
      <c r="G411" s="311">
        <v>14039</v>
      </c>
      <c r="H411" s="31" t="s">
        <v>3215</v>
      </c>
      <c r="I411" s="31" t="s">
        <v>3460</v>
      </c>
      <c r="J411" s="31" t="s">
        <v>845</v>
      </c>
      <c r="K411" s="311">
        <v>13096</v>
      </c>
      <c r="L411"/>
      <c r="M411"/>
    </row>
    <row r="412" spans="1:13">
      <c r="A412" s="31" t="s">
        <v>3496</v>
      </c>
      <c r="B412" s="31" t="s">
        <v>3640</v>
      </c>
      <c r="C412" s="31">
        <v>2285969</v>
      </c>
      <c r="D412" s="31"/>
      <c r="E412" s="311">
        <v>13641</v>
      </c>
      <c r="F412" s="311"/>
      <c r="G412" s="311">
        <v>14039</v>
      </c>
      <c r="H412" s="31" t="s">
        <v>3215</v>
      </c>
      <c r="I412" s="31" t="s">
        <v>3788</v>
      </c>
      <c r="J412" s="31" t="s">
        <v>845</v>
      </c>
      <c r="K412" s="311">
        <v>13185</v>
      </c>
      <c r="L412"/>
      <c r="M412"/>
    </row>
    <row r="413" spans="1:13">
      <c r="A413" s="31" t="s">
        <v>3496</v>
      </c>
      <c r="B413" s="31" t="s">
        <v>3640</v>
      </c>
      <c r="C413" s="31">
        <v>2290101</v>
      </c>
      <c r="D413" s="31"/>
      <c r="E413" s="311">
        <v>13433</v>
      </c>
      <c r="F413" s="311"/>
      <c r="G413" s="311">
        <v>14074</v>
      </c>
      <c r="H413" s="31" t="s">
        <v>3215</v>
      </c>
      <c r="I413" s="31" t="s">
        <v>3789</v>
      </c>
      <c r="J413" s="31" t="s">
        <v>845</v>
      </c>
      <c r="K413" s="311">
        <v>13136</v>
      </c>
      <c r="L413"/>
      <c r="M413"/>
    </row>
    <row r="414" spans="1:13">
      <c r="A414" s="31" t="s">
        <v>3496</v>
      </c>
      <c r="B414" s="31" t="s">
        <v>3640</v>
      </c>
      <c r="C414" s="31">
        <v>2292114</v>
      </c>
      <c r="D414" s="31"/>
      <c r="E414" s="311">
        <v>13377</v>
      </c>
      <c r="F414" s="311"/>
      <c r="G414" s="311">
        <v>14095</v>
      </c>
      <c r="H414" s="31" t="s">
        <v>3215</v>
      </c>
      <c r="I414" s="31" t="s">
        <v>3790</v>
      </c>
      <c r="J414" s="31" t="s">
        <v>845</v>
      </c>
      <c r="K414" s="311">
        <v>13055</v>
      </c>
      <c r="L414"/>
      <c r="M414"/>
    </row>
    <row r="415" spans="1:13">
      <c r="A415" s="31" t="s">
        <v>3496</v>
      </c>
      <c r="B415" s="31" t="s">
        <v>3640</v>
      </c>
      <c r="C415" s="31">
        <v>2292171</v>
      </c>
      <c r="D415" s="31"/>
      <c r="E415" s="311">
        <v>13381</v>
      </c>
      <c r="F415" s="311"/>
      <c r="G415" s="311">
        <v>14095</v>
      </c>
      <c r="H415" s="31" t="s">
        <v>3215</v>
      </c>
      <c r="I415" s="31" t="s">
        <v>3791</v>
      </c>
      <c r="J415" s="31" t="s">
        <v>845</v>
      </c>
      <c r="K415" s="311">
        <v>13006</v>
      </c>
      <c r="L415"/>
      <c r="M415"/>
    </row>
    <row r="416" spans="1:13">
      <c r="A416" s="31" t="s">
        <v>3496</v>
      </c>
      <c r="B416" s="31" t="s">
        <v>3640</v>
      </c>
      <c r="C416" s="31">
        <v>2292809</v>
      </c>
      <c r="D416" s="31"/>
      <c r="E416" s="311">
        <v>13453</v>
      </c>
      <c r="F416" s="311"/>
      <c r="G416" s="311">
        <v>14102</v>
      </c>
      <c r="H416" s="31" t="s">
        <v>3215</v>
      </c>
      <c r="I416" s="31" t="s">
        <v>3792</v>
      </c>
      <c r="J416" s="31" t="s">
        <v>702</v>
      </c>
      <c r="K416" s="311">
        <v>13207</v>
      </c>
      <c r="L416"/>
      <c r="M416"/>
    </row>
    <row r="417" spans="1:13">
      <c r="A417" s="31" t="s">
        <v>3496</v>
      </c>
      <c r="B417" s="31" t="s">
        <v>3640</v>
      </c>
      <c r="C417" s="31">
        <v>2292859</v>
      </c>
      <c r="D417" s="31"/>
      <c r="E417" s="311">
        <v>13544</v>
      </c>
      <c r="F417" s="311"/>
      <c r="G417" s="311">
        <v>14102</v>
      </c>
      <c r="H417" s="31" t="s">
        <v>3215</v>
      </c>
      <c r="I417" s="31" t="s">
        <v>3941</v>
      </c>
      <c r="J417" s="31" t="s">
        <v>702</v>
      </c>
      <c r="K417" s="311">
        <v>13089</v>
      </c>
      <c r="L417"/>
      <c r="M417"/>
    </row>
    <row r="418" spans="1:13">
      <c r="A418" s="31" t="s">
        <v>3496</v>
      </c>
      <c r="B418" s="31" t="s">
        <v>3640</v>
      </c>
      <c r="C418" s="31">
        <v>2293502</v>
      </c>
      <c r="D418" s="31"/>
      <c r="E418" s="311">
        <v>13249</v>
      </c>
      <c r="F418" s="311"/>
      <c r="G418" s="311">
        <v>14109</v>
      </c>
      <c r="H418" s="31" t="s">
        <v>3215</v>
      </c>
      <c r="I418" s="31" t="s">
        <v>3942</v>
      </c>
      <c r="J418" s="31" t="s">
        <v>845</v>
      </c>
      <c r="K418" s="311">
        <v>12886</v>
      </c>
      <c r="L418"/>
      <c r="M418"/>
    </row>
    <row r="419" spans="1:13">
      <c r="A419" s="31" t="s">
        <v>3496</v>
      </c>
      <c r="B419" s="31" t="s">
        <v>3640</v>
      </c>
      <c r="C419" s="31">
        <v>2294700</v>
      </c>
      <c r="D419" s="31"/>
      <c r="E419" s="311">
        <v>13401</v>
      </c>
      <c r="F419" s="311"/>
      <c r="G419" s="311">
        <v>14123</v>
      </c>
      <c r="H419" s="31" t="s">
        <v>3215</v>
      </c>
      <c r="I419" s="31" t="s">
        <v>3943</v>
      </c>
      <c r="J419" s="31" t="s">
        <v>845</v>
      </c>
      <c r="K419" s="311">
        <v>13069</v>
      </c>
      <c r="L419"/>
      <c r="M419"/>
    </row>
    <row r="420" spans="1:13">
      <c r="A420" s="31" t="s">
        <v>3496</v>
      </c>
      <c r="B420" s="31" t="s">
        <v>3640</v>
      </c>
      <c r="C420" s="31">
        <v>2294709</v>
      </c>
      <c r="D420" s="31"/>
      <c r="E420" s="311">
        <v>13314</v>
      </c>
      <c r="F420" s="311"/>
      <c r="G420" s="311">
        <v>14123</v>
      </c>
      <c r="H420" s="31" t="s">
        <v>3215</v>
      </c>
      <c r="I420" s="31" t="s">
        <v>3944</v>
      </c>
      <c r="J420" s="31" t="s">
        <v>845</v>
      </c>
      <c r="K420" s="311">
        <v>12972</v>
      </c>
      <c r="L420"/>
      <c r="M420"/>
    </row>
    <row r="421" spans="1:13">
      <c r="A421" s="31" t="s">
        <v>3496</v>
      </c>
      <c r="B421" s="31" t="s">
        <v>3640</v>
      </c>
      <c r="C421" s="31">
        <v>2294712</v>
      </c>
      <c r="D421" s="31"/>
      <c r="E421" s="311">
        <v>13361</v>
      </c>
      <c r="F421" s="311"/>
      <c r="G421" s="311">
        <v>14123</v>
      </c>
      <c r="H421" s="31" t="s">
        <v>3215</v>
      </c>
      <c r="I421" s="31" t="s">
        <v>3479</v>
      </c>
      <c r="J421" s="31" t="s">
        <v>845</v>
      </c>
      <c r="K421" s="311">
        <v>12999</v>
      </c>
      <c r="L421"/>
      <c r="M421"/>
    </row>
    <row r="422" spans="1:13">
      <c r="A422" s="31" t="s">
        <v>3496</v>
      </c>
      <c r="B422" s="31" t="s">
        <v>3640</v>
      </c>
      <c r="C422" s="31">
        <v>2294730</v>
      </c>
      <c r="D422" s="31"/>
      <c r="E422" s="311">
        <v>13415</v>
      </c>
      <c r="F422" s="311"/>
      <c r="G422" s="311">
        <v>14123</v>
      </c>
      <c r="H422" s="31" t="s">
        <v>3215</v>
      </c>
      <c r="I422" s="31" t="s">
        <v>3945</v>
      </c>
      <c r="J422" s="31" t="s">
        <v>845</v>
      </c>
      <c r="K422" s="311">
        <v>13031</v>
      </c>
      <c r="L422"/>
      <c r="M422"/>
    </row>
    <row r="423" spans="1:13">
      <c r="A423" s="31" t="s">
        <v>3496</v>
      </c>
      <c r="B423" s="31" t="s">
        <v>3640</v>
      </c>
      <c r="C423" s="31">
        <v>2294755</v>
      </c>
      <c r="D423" s="31"/>
      <c r="E423" s="311">
        <v>13524</v>
      </c>
      <c r="F423" s="311"/>
      <c r="G423" s="311">
        <v>14123</v>
      </c>
      <c r="H423" s="31" t="s">
        <v>3215</v>
      </c>
      <c r="I423" s="31" t="s">
        <v>3946</v>
      </c>
      <c r="J423" s="31" t="s">
        <v>3133</v>
      </c>
      <c r="K423" s="311">
        <v>13186</v>
      </c>
      <c r="L423"/>
      <c r="M423"/>
    </row>
    <row r="424" spans="1:13">
      <c r="A424" s="31" t="s">
        <v>3496</v>
      </c>
      <c r="B424" s="31" t="s">
        <v>3640</v>
      </c>
      <c r="C424" s="31">
        <v>2294756</v>
      </c>
      <c r="D424" s="31"/>
      <c r="E424" s="311">
        <v>13528</v>
      </c>
      <c r="F424" s="311"/>
      <c r="G424" s="311">
        <v>14123</v>
      </c>
      <c r="H424" s="31" t="s">
        <v>3215</v>
      </c>
      <c r="I424" s="31" t="s">
        <v>3946</v>
      </c>
      <c r="J424" s="31" t="s">
        <v>3133</v>
      </c>
      <c r="K424" s="311">
        <v>13186</v>
      </c>
      <c r="L424"/>
      <c r="M424"/>
    </row>
    <row r="425" spans="1:13">
      <c r="A425" s="31" t="s">
        <v>3496</v>
      </c>
      <c r="B425" s="31" t="s">
        <v>3640</v>
      </c>
      <c r="C425" s="31">
        <v>2295319</v>
      </c>
      <c r="D425" s="31"/>
      <c r="E425" s="311">
        <v>13887</v>
      </c>
      <c r="F425" s="311"/>
      <c r="G425" s="311">
        <v>14130</v>
      </c>
      <c r="H425" s="31" t="s">
        <v>3215</v>
      </c>
      <c r="I425" s="31" t="s">
        <v>3862</v>
      </c>
      <c r="J425" s="31" t="s">
        <v>3947</v>
      </c>
      <c r="K425" s="311">
        <v>13542</v>
      </c>
      <c r="L425"/>
      <c r="M425"/>
    </row>
    <row r="426" spans="1:13">
      <c r="A426" s="31" t="s">
        <v>3496</v>
      </c>
      <c r="B426" s="31" t="s">
        <v>3640</v>
      </c>
      <c r="C426" s="31">
        <v>2296015</v>
      </c>
      <c r="D426" s="31"/>
      <c r="E426" s="311">
        <v>13230</v>
      </c>
      <c r="F426" s="311"/>
      <c r="G426" s="311">
        <v>14137</v>
      </c>
      <c r="H426" s="31" t="s">
        <v>3215</v>
      </c>
      <c r="I426" s="31" t="s">
        <v>3948</v>
      </c>
      <c r="J426" s="31" t="s">
        <v>845</v>
      </c>
      <c r="K426" s="311">
        <v>12766</v>
      </c>
      <c r="L426"/>
      <c r="M426"/>
    </row>
    <row r="427" spans="1:13">
      <c r="A427" s="31" t="s">
        <v>3496</v>
      </c>
      <c r="B427" s="31" t="s">
        <v>3640</v>
      </c>
      <c r="C427" s="31">
        <v>2300174</v>
      </c>
      <c r="D427" s="31"/>
      <c r="E427" s="311">
        <v>12954</v>
      </c>
      <c r="F427" s="311"/>
      <c r="G427" s="311">
        <v>14179</v>
      </c>
      <c r="H427" s="31" t="s">
        <v>3215</v>
      </c>
      <c r="I427" s="31" t="s">
        <v>3889</v>
      </c>
      <c r="J427" s="31" t="s">
        <v>845</v>
      </c>
      <c r="K427" s="311">
        <v>12620</v>
      </c>
      <c r="L427"/>
      <c r="M427"/>
    </row>
    <row r="428" spans="1:13">
      <c r="A428" s="31" t="s">
        <v>3496</v>
      </c>
      <c r="B428" s="31" t="s">
        <v>3640</v>
      </c>
      <c r="C428" s="31">
        <v>2300220</v>
      </c>
      <c r="D428" s="31"/>
      <c r="E428" s="311">
        <v>13611</v>
      </c>
      <c r="F428" s="311"/>
      <c r="G428" s="311">
        <v>14179</v>
      </c>
      <c r="H428" s="31" t="s">
        <v>3215</v>
      </c>
      <c r="I428" s="31" t="s">
        <v>3788</v>
      </c>
      <c r="J428" s="31" t="s">
        <v>845</v>
      </c>
      <c r="K428" s="311">
        <v>13178</v>
      </c>
      <c r="L428"/>
      <c r="M428"/>
    </row>
    <row r="429" spans="1:13">
      <c r="A429" s="31" t="s">
        <v>3496</v>
      </c>
      <c r="B429" s="31" t="s">
        <v>3640</v>
      </c>
      <c r="C429" s="31">
        <v>2300269</v>
      </c>
      <c r="D429" s="31"/>
      <c r="E429" s="311">
        <v>13293</v>
      </c>
      <c r="F429" s="311"/>
      <c r="G429" s="311">
        <v>14179</v>
      </c>
      <c r="H429" s="31" t="s">
        <v>3215</v>
      </c>
      <c r="I429" s="31" t="s">
        <v>3535</v>
      </c>
      <c r="J429" s="31" t="s">
        <v>3133</v>
      </c>
      <c r="K429" s="311">
        <v>13053</v>
      </c>
      <c r="L429"/>
      <c r="M429"/>
    </row>
    <row r="430" spans="1:13">
      <c r="A430" s="31" t="s">
        <v>3496</v>
      </c>
      <c r="B430" s="31" t="s">
        <v>3640</v>
      </c>
      <c r="C430" s="31">
        <v>2303825</v>
      </c>
      <c r="D430" s="31"/>
      <c r="E430" s="311">
        <v>14098</v>
      </c>
      <c r="F430" s="311"/>
      <c r="G430" s="311">
        <v>14214</v>
      </c>
      <c r="H430" s="31" t="s">
        <v>3215</v>
      </c>
      <c r="I430" s="31" t="s">
        <v>3949</v>
      </c>
      <c r="J430" s="31" t="s">
        <v>702</v>
      </c>
      <c r="K430" s="311">
        <v>13775</v>
      </c>
      <c r="L430"/>
      <c r="M430"/>
    </row>
    <row r="431" spans="1:13">
      <c r="A431" s="31" t="s">
        <v>3496</v>
      </c>
      <c r="B431" s="31" t="s">
        <v>3640</v>
      </c>
      <c r="C431" s="31">
        <v>2303893</v>
      </c>
      <c r="D431" s="31"/>
      <c r="E431" s="311">
        <v>13203</v>
      </c>
      <c r="F431" s="311"/>
      <c r="G431" s="311">
        <v>14214</v>
      </c>
      <c r="H431" s="31" t="s">
        <v>3215</v>
      </c>
      <c r="I431" s="31" t="s">
        <v>3848</v>
      </c>
      <c r="J431" s="31" t="s">
        <v>845</v>
      </c>
      <c r="K431" s="311">
        <v>12899</v>
      </c>
      <c r="L431"/>
      <c r="M431"/>
    </row>
    <row r="432" spans="1:13">
      <c r="A432" s="31" t="s">
        <v>3496</v>
      </c>
      <c r="B432" s="31" t="s">
        <v>3640</v>
      </c>
      <c r="C432" s="31">
        <v>2306153</v>
      </c>
      <c r="D432" s="31"/>
      <c r="E432" s="311">
        <v>13660</v>
      </c>
      <c r="F432" s="311"/>
      <c r="G432" s="311">
        <v>14235</v>
      </c>
      <c r="H432" s="31" t="s">
        <v>3215</v>
      </c>
      <c r="I432" s="31" t="s">
        <v>3950</v>
      </c>
      <c r="J432" s="31" t="s">
        <v>845</v>
      </c>
      <c r="K432" s="311">
        <v>13249</v>
      </c>
      <c r="L432"/>
      <c r="M432"/>
    </row>
    <row r="433" spans="1:13">
      <c r="A433" s="31" t="s">
        <v>3496</v>
      </c>
      <c r="B433" s="31" t="s">
        <v>3640</v>
      </c>
      <c r="C433" s="31">
        <v>2306169</v>
      </c>
      <c r="D433" s="31"/>
      <c r="E433" s="311">
        <v>13417</v>
      </c>
      <c r="F433" s="311"/>
      <c r="G433" s="311">
        <v>14235</v>
      </c>
      <c r="H433" s="31" t="s">
        <v>3215</v>
      </c>
      <c r="I433" s="31" t="s">
        <v>3715</v>
      </c>
      <c r="J433" s="31" t="s">
        <v>845</v>
      </c>
      <c r="K433" s="311">
        <v>13053</v>
      </c>
      <c r="L433"/>
      <c r="M433"/>
    </row>
    <row r="434" spans="1:13">
      <c r="A434" s="31" t="s">
        <v>3496</v>
      </c>
      <c r="B434" s="31" t="s">
        <v>3640</v>
      </c>
      <c r="C434" s="31">
        <v>2306183</v>
      </c>
      <c r="D434" s="31"/>
      <c r="E434" s="311">
        <v>13445</v>
      </c>
      <c r="F434" s="311"/>
      <c r="G434" s="311">
        <v>14235</v>
      </c>
      <c r="H434" s="31" t="s">
        <v>3215</v>
      </c>
      <c r="I434" s="31" t="s">
        <v>3954</v>
      </c>
      <c r="J434" s="31" t="s">
        <v>3133</v>
      </c>
      <c r="K434" s="311">
        <v>13165</v>
      </c>
      <c r="L434"/>
      <c r="M434"/>
    </row>
    <row r="435" spans="1:13">
      <c r="A435" s="31" t="s">
        <v>3496</v>
      </c>
      <c r="B435" s="31" t="s">
        <v>3640</v>
      </c>
      <c r="C435" s="31">
        <v>2306211</v>
      </c>
      <c r="D435" s="31"/>
      <c r="E435" s="311">
        <v>13682</v>
      </c>
      <c r="F435" s="311"/>
      <c r="G435" s="311">
        <v>14235</v>
      </c>
      <c r="H435" s="31" t="s">
        <v>3215</v>
      </c>
      <c r="I435" s="31" t="s">
        <v>3893</v>
      </c>
      <c r="J435" s="31" t="s">
        <v>845</v>
      </c>
      <c r="K435" s="311">
        <v>13282</v>
      </c>
      <c r="L435"/>
      <c r="M435"/>
    </row>
    <row r="436" spans="1:13">
      <c r="A436" s="31" t="s">
        <v>3496</v>
      </c>
      <c r="B436" s="31" t="s">
        <v>3640</v>
      </c>
      <c r="C436" s="31">
        <v>2306213</v>
      </c>
      <c r="D436" s="31"/>
      <c r="E436" s="311">
        <v>13660</v>
      </c>
      <c r="F436" s="311"/>
      <c r="G436" s="311">
        <v>14235</v>
      </c>
      <c r="H436" s="31" t="s">
        <v>3215</v>
      </c>
      <c r="I436" s="31" t="s">
        <v>3807</v>
      </c>
      <c r="J436" s="31" t="s">
        <v>845</v>
      </c>
      <c r="K436" s="311">
        <v>13299</v>
      </c>
      <c r="L436"/>
      <c r="M436"/>
    </row>
    <row r="437" spans="1:13">
      <c r="A437" s="31" t="s">
        <v>3496</v>
      </c>
      <c r="B437" s="31" t="s">
        <v>3640</v>
      </c>
      <c r="C437" s="31">
        <v>2308214</v>
      </c>
      <c r="D437" s="31" t="s">
        <v>3808</v>
      </c>
      <c r="E437" s="311">
        <v>12475</v>
      </c>
      <c r="F437" s="311">
        <v>13531</v>
      </c>
      <c r="G437" s="311">
        <v>14256</v>
      </c>
      <c r="H437" s="31" t="s">
        <v>3215</v>
      </c>
      <c r="I437" s="31" t="s">
        <v>3922</v>
      </c>
      <c r="J437" s="31" t="s">
        <v>845</v>
      </c>
      <c r="K437" s="311">
        <v>12146</v>
      </c>
      <c r="L437"/>
      <c r="M437"/>
    </row>
    <row r="438" spans="1:13">
      <c r="A438" s="31" t="s">
        <v>3496</v>
      </c>
      <c r="B438" s="31" t="s">
        <v>3640</v>
      </c>
      <c r="C438" s="31">
        <v>2310093</v>
      </c>
      <c r="D438" s="31"/>
      <c r="E438" s="311">
        <v>13705</v>
      </c>
      <c r="F438" s="311"/>
      <c r="G438" s="311">
        <v>14277</v>
      </c>
      <c r="H438" s="31" t="s">
        <v>3215</v>
      </c>
      <c r="I438" s="31" t="s">
        <v>3476</v>
      </c>
      <c r="J438" s="31" t="s">
        <v>845</v>
      </c>
      <c r="K438" s="311">
        <v>13331</v>
      </c>
      <c r="L438"/>
      <c r="M438"/>
    </row>
    <row r="439" spans="1:13">
      <c r="A439" s="31" t="s">
        <v>3496</v>
      </c>
      <c r="B439" s="31" t="s">
        <v>3640</v>
      </c>
      <c r="C439" s="31">
        <v>2310511</v>
      </c>
      <c r="D439" s="31"/>
      <c r="E439" s="311">
        <v>13840</v>
      </c>
      <c r="F439" s="311"/>
      <c r="G439" s="311">
        <v>14284</v>
      </c>
      <c r="H439" s="31" t="s">
        <v>3215</v>
      </c>
      <c r="I439" s="31" t="s">
        <v>3806</v>
      </c>
      <c r="J439" s="31" t="s">
        <v>845</v>
      </c>
      <c r="K439" s="311">
        <v>13558</v>
      </c>
      <c r="L439"/>
      <c r="M439"/>
    </row>
    <row r="440" spans="1:13">
      <c r="A440" s="31" t="s">
        <v>3496</v>
      </c>
      <c r="B440" s="31" t="s">
        <v>3640</v>
      </c>
      <c r="C440" s="31">
        <v>2311684</v>
      </c>
      <c r="D440" s="31"/>
      <c r="E440" s="311">
        <v>13790</v>
      </c>
      <c r="F440" s="311"/>
      <c r="G440" s="311">
        <v>14298</v>
      </c>
      <c r="H440" s="31" t="s">
        <v>3215</v>
      </c>
      <c r="I440" s="31" t="s">
        <v>3655</v>
      </c>
      <c r="J440" s="31" t="s">
        <v>3133</v>
      </c>
      <c r="K440" s="311">
        <v>13384</v>
      </c>
      <c r="L440"/>
      <c r="M440"/>
    </row>
    <row r="441" spans="1:13">
      <c r="A441" s="31" t="s">
        <v>3496</v>
      </c>
      <c r="B441" s="31" t="s">
        <v>3640</v>
      </c>
      <c r="C441" s="31">
        <v>2316008</v>
      </c>
      <c r="D441" s="31"/>
      <c r="E441" s="311">
        <v>13830</v>
      </c>
      <c r="F441" s="311"/>
      <c r="G441" s="311">
        <v>14340</v>
      </c>
      <c r="H441" s="31" t="s">
        <v>3215</v>
      </c>
      <c r="I441" s="31" t="s">
        <v>3656</v>
      </c>
      <c r="J441" s="285" t="s">
        <v>702</v>
      </c>
      <c r="K441" s="311">
        <v>13495</v>
      </c>
      <c r="L441"/>
      <c r="M441"/>
    </row>
    <row r="442" spans="1:13">
      <c r="A442" s="31" t="s">
        <v>3496</v>
      </c>
      <c r="B442" s="31" t="s">
        <v>3640</v>
      </c>
      <c r="C442" s="31">
        <v>2316036</v>
      </c>
      <c r="D442" s="31"/>
      <c r="E442" s="311">
        <v>13670</v>
      </c>
      <c r="F442" s="311"/>
      <c r="G442" s="311">
        <v>14340</v>
      </c>
      <c r="H442" s="31" t="s">
        <v>3215</v>
      </c>
      <c r="I442" s="31" t="s">
        <v>3657</v>
      </c>
      <c r="J442" s="31" t="s">
        <v>845</v>
      </c>
      <c r="K442" s="311">
        <v>13312</v>
      </c>
      <c r="L442"/>
      <c r="M442"/>
    </row>
    <row r="443" spans="1:13">
      <c r="A443" s="31" t="s">
        <v>3496</v>
      </c>
      <c r="B443" s="31" t="s">
        <v>3640</v>
      </c>
      <c r="C443" s="31">
        <v>2316550</v>
      </c>
      <c r="D443" s="31"/>
      <c r="E443" s="311">
        <v>13654</v>
      </c>
      <c r="F443" s="311"/>
      <c r="G443" s="311">
        <v>14347</v>
      </c>
      <c r="H443" s="31" t="s">
        <v>3215</v>
      </c>
      <c r="I443" s="31" t="s">
        <v>3533</v>
      </c>
      <c r="J443" s="31" t="s">
        <v>702</v>
      </c>
      <c r="K443" s="311">
        <v>13088</v>
      </c>
      <c r="L443"/>
      <c r="M443"/>
    </row>
    <row r="444" spans="1:13">
      <c r="A444" s="31" t="s">
        <v>3496</v>
      </c>
      <c r="B444" s="31" t="s">
        <v>3640</v>
      </c>
      <c r="C444" s="31">
        <v>2316553</v>
      </c>
      <c r="D444" s="31"/>
      <c r="E444" s="311">
        <v>13100</v>
      </c>
      <c r="F444" s="311"/>
      <c r="G444" s="311">
        <v>14347</v>
      </c>
      <c r="H444" s="31" t="s">
        <v>3215</v>
      </c>
      <c r="I444" s="31" t="s">
        <v>3598</v>
      </c>
      <c r="J444" s="31" t="s">
        <v>845</v>
      </c>
      <c r="K444" s="311">
        <v>12746</v>
      </c>
      <c r="L444"/>
      <c r="M444"/>
    </row>
    <row r="445" spans="1:13">
      <c r="A445" s="31" t="s">
        <v>3496</v>
      </c>
      <c r="B445" s="31" t="s">
        <v>3640</v>
      </c>
      <c r="C445" s="31">
        <v>2316587</v>
      </c>
      <c r="D445" s="31"/>
      <c r="E445" s="311">
        <v>13518</v>
      </c>
      <c r="F445" s="311"/>
      <c r="G445" s="311">
        <v>14347</v>
      </c>
      <c r="H445" s="31" t="s">
        <v>3215</v>
      </c>
      <c r="I445" s="31" t="s">
        <v>3658</v>
      </c>
      <c r="J445" s="31" t="s">
        <v>3133</v>
      </c>
      <c r="K445" s="311">
        <v>13199</v>
      </c>
      <c r="L445"/>
      <c r="M445"/>
    </row>
    <row r="446" spans="1:13">
      <c r="A446" s="31" t="s">
        <v>3496</v>
      </c>
      <c r="B446" s="31" t="s">
        <v>3640</v>
      </c>
      <c r="C446" s="31">
        <v>2316598</v>
      </c>
      <c r="D446" s="31"/>
      <c r="E446" s="311">
        <v>13501</v>
      </c>
      <c r="F446" s="311"/>
      <c r="G446" s="311">
        <v>14347</v>
      </c>
      <c r="H446" s="31" t="s">
        <v>3215</v>
      </c>
      <c r="I446" s="31" t="s">
        <v>3659</v>
      </c>
      <c r="J446" s="31" t="s">
        <v>3133</v>
      </c>
      <c r="K446" s="311">
        <v>13167</v>
      </c>
      <c r="L446"/>
      <c r="M446"/>
    </row>
    <row r="447" spans="1:13">
      <c r="A447" s="31" t="s">
        <v>3496</v>
      </c>
      <c r="B447" s="31" t="s">
        <v>3640</v>
      </c>
      <c r="C447" s="31">
        <v>2317187</v>
      </c>
      <c r="D447" s="31"/>
      <c r="E447" s="311">
        <v>13740</v>
      </c>
      <c r="F447" s="311"/>
      <c r="G447" s="311">
        <v>14354</v>
      </c>
      <c r="H447" s="31" t="s">
        <v>3215</v>
      </c>
      <c r="I447" s="31" t="s">
        <v>3522</v>
      </c>
      <c r="J447" s="31" t="s">
        <v>702</v>
      </c>
      <c r="K447" s="311">
        <v>13528</v>
      </c>
      <c r="L447"/>
      <c r="M447"/>
    </row>
    <row r="448" spans="1:13">
      <c r="A448" s="31" t="s">
        <v>3496</v>
      </c>
      <c r="B448" s="31" t="s">
        <v>3640</v>
      </c>
      <c r="C448" s="31">
        <v>2320208</v>
      </c>
      <c r="D448" s="31"/>
      <c r="E448" s="311">
        <v>13377</v>
      </c>
      <c r="F448" s="311"/>
      <c r="G448" s="311">
        <v>14389</v>
      </c>
      <c r="H448" s="31" t="s">
        <v>3215</v>
      </c>
      <c r="I448" s="31" t="s">
        <v>3749</v>
      </c>
      <c r="J448" s="31" t="s">
        <v>845</v>
      </c>
      <c r="K448" s="311">
        <v>13069</v>
      </c>
      <c r="L448"/>
      <c r="M448"/>
    </row>
    <row r="449" spans="1:13">
      <c r="A449" s="31" t="s">
        <v>3496</v>
      </c>
      <c r="B449" s="31" t="s">
        <v>3640</v>
      </c>
      <c r="C449" s="31">
        <v>2322080</v>
      </c>
      <c r="D449" s="31"/>
      <c r="E449" s="311">
        <v>13459</v>
      </c>
      <c r="F449" s="311"/>
      <c r="G449" s="311">
        <v>14410</v>
      </c>
      <c r="H449" s="31" t="s">
        <v>3215</v>
      </c>
      <c r="I449" s="31" t="s">
        <v>3661</v>
      </c>
      <c r="J449" s="31" t="s">
        <v>845</v>
      </c>
      <c r="K449" s="311">
        <v>13132</v>
      </c>
      <c r="L449"/>
      <c r="M449"/>
    </row>
    <row r="450" spans="1:13">
      <c r="A450" s="31" t="s">
        <v>3496</v>
      </c>
      <c r="B450" s="31" t="s">
        <v>3640</v>
      </c>
      <c r="C450" s="31">
        <v>2322162</v>
      </c>
      <c r="D450" s="31"/>
      <c r="E450" s="311">
        <v>13516</v>
      </c>
      <c r="F450" s="311"/>
      <c r="G450" s="311">
        <v>14410</v>
      </c>
      <c r="H450" s="31" t="s">
        <v>3215</v>
      </c>
      <c r="I450" s="31" t="s">
        <v>3833</v>
      </c>
      <c r="J450" s="31" t="s">
        <v>845</v>
      </c>
      <c r="K450" s="311">
        <v>13152</v>
      </c>
      <c r="L450"/>
      <c r="M450"/>
    </row>
    <row r="451" spans="1:13">
      <c r="A451" s="31" t="s">
        <v>3496</v>
      </c>
      <c r="B451" s="31" t="s">
        <v>3640</v>
      </c>
      <c r="C451" s="31">
        <v>2322686</v>
      </c>
      <c r="D451" s="31"/>
      <c r="E451" s="311">
        <v>13705</v>
      </c>
      <c r="F451" s="311"/>
      <c r="G451" s="311">
        <v>14417</v>
      </c>
      <c r="H451" s="31" t="s">
        <v>3215</v>
      </c>
      <c r="I451" s="31" t="s">
        <v>3662</v>
      </c>
      <c r="J451" s="31" t="s">
        <v>845</v>
      </c>
      <c r="K451" s="311">
        <v>13313</v>
      </c>
      <c r="L451"/>
      <c r="M451"/>
    </row>
    <row r="452" spans="1:13">
      <c r="A452" s="31" t="s">
        <v>3496</v>
      </c>
      <c r="B452" s="31" t="s">
        <v>3640</v>
      </c>
      <c r="C452" s="31">
        <v>2329528</v>
      </c>
      <c r="D452" s="31" t="s">
        <v>3663</v>
      </c>
      <c r="E452" s="311">
        <v>12395</v>
      </c>
      <c r="F452" s="311">
        <v>12932</v>
      </c>
      <c r="G452" s="311">
        <v>14501</v>
      </c>
      <c r="H452" s="31" t="s">
        <v>3215</v>
      </c>
      <c r="I452" s="31" t="s">
        <v>3696</v>
      </c>
      <c r="J452" s="31" t="s">
        <v>845</v>
      </c>
      <c r="K452" s="311">
        <v>12036</v>
      </c>
      <c r="L452"/>
      <c r="M452"/>
    </row>
    <row r="453" spans="1:13">
      <c r="A453" s="31" t="s">
        <v>3496</v>
      </c>
      <c r="B453" s="31" t="s">
        <v>3640</v>
      </c>
      <c r="C453" s="31">
        <v>2333010</v>
      </c>
      <c r="D453" s="31"/>
      <c r="E453" s="311">
        <v>13682</v>
      </c>
      <c r="F453" s="311"/>
      <c r="G453" s="311">
        <v>14543</v>
      </c>
      <c r="H453" s="31" t="s">
        <v>3215</v>
      </c>
      <c r="I453" s="31" t="s">
        <v>3664</v>
      </c>
      <c r="J453" s="31" t="s">
        <v>3133</v>
      </c>
      <c r="K453" s="311">
        <v>13453</v>
      </c>
      <c r="L453"/>
      <c r="M453"/>
    </row>
    <row r="454" spans="1:13">
      <c r="A454" s="31" t="s">
        <v>3496</v>
      </c>
      <c r="B454" s="31" t="s">
        <v>3640</v>
      </c>
      <c r="C454" s="31">
        <v>2333015</v>
      </c>
      <c r="D454" s="31"/>
      <c r="E454" s="311">
        <v>13548</v>
      </c>
      <c r="F454" s="311"/>
      <c r="G454" s="311">
        <v>14543</v>
      </c>
      <c r="H454" s="31" t="s">
        <v>3215</v>
      </c>
      <c r="I454" s="31" t="s">
        <v>3816</v>
      </c>
      <c r="J454" s="31" t="s">
        <v>845</v>
      </c>
      <c r="K454" s="311">
        <v>13115</v>
      </c>
      <c r="L454"/>
      <c r="M454"/>
    </row>
    <row r="455" spans="1:13">
      <c r="A455" s="31" t="s">
        <v>3496</v>
      </c>
      <c r="B455" s="31" t="s">
        <v>3640</v>
      </c>
      <c r="C455" s="31">
        <v>2333044</v>
      </c>
      <c r="D455" s="31"/>
      <c r="E455" s="311">
        <v>13641</v>
      </c>
      <c r="F455" s="311"/>
      <c r="G455" s="311">
        <v>14543</v>
      </c>
      <c r="H455" s="31" t="s">
        <v>3215</v>
      </c>
      <c r="I455" s="31" t="s">
        <v>3866</v>
      </c>
      <c r="J455" s="31" t="s">
        <v>845</v>
      </c>
      <c r="K455" s="311">
        <v>13297</v>
      </c>
      <c r="L455"/>
      <c r="M455"/>
    </row>
    <row r="456" spans="1:13">
      <c r="A456" s="31" t="s">
        <v>3496</v>
      </c>
      <c r="B456" s="31" t="s">
        <v>3640</v>
      </c>
      <c r="C456" s="31">
        <v>2333053</v>
      </c>
      <c r="D456" s="31"/>
      <c r="E456" s="311">
        <v>13459</v>
      </c>
      <c r="F456" s="311"/>
      <c r="G456" s="311">
        <v>14543</v>
      </c>
      <c r="H456" s="31" t="s">
        <v>3215</v>
      </c>
      <c r="I456" s="31" t="s">
        <v>3943</v>
      </c>
      <c r="J456" s="31" t="s">
        <v>845</v>
      </c>
      <c r="K456" s="311">
        <v>16441</v>
      </c>
      <c r="L456"/>
      <c r="M456"/>
    </row>
    <row r="457" spans="1:13">
      <c r="A457" s="31" t="s">
        <v>3496</v>
      </c>
      <c r="B457" s="31" t="s">
        <v>3640</v>
      </c>
      <c r="C457" s="31">
        <v>2337304</v>
      </c>
      <c r="D457" s="31"/>
      <c r="E457" s="311">
        <v>13965</v>
      </c>
      <c r="F457" s="311"/>
      <c r="G457" s="311">
        <v>14599</v>
      </c>
      <c r="H457" s="31" t="s">
        <v>3215</v>
      </c>
      <c r="I457" s="31" t="s">
        <v>3817</v>
      </c>
      <c r="J457" s="31" t="s">
        <v>702</v>
      </c>
      <c r="K457" s="311">
        <v>13689</v>
      </c>
      <c r="L457"/>
      <c r="M457"/>
    </row>
    <row r="458" spans="1:13">
      <c r="A458" s="31" t="s">
        <v>3496</v>
      </c>
      <c r="B458" s="31" t="s">
        <v>3640</v>
      </c>
      <c r="C458" s="31">
        <v>2338517</v>
      </c>
      <c r="D458" s="31"/>
      <c r="E458" s="311">
        <v>13501</v>
      </c>
      <c r="F458" s="311"/>
      <c r="G458" s="311">
        <v>14613</v>
      </c>
      <c r="H458" s="31" t="s">
        <v>3215</v>
      </c>
      <c r="I458" s="31" t="s">
        <v>3669</v>
      </c>
      <c r="J458" s="31" t="s">
        <v>3133</v>
      </c>
      <c r="K458" s="311">
        <v>13171</v>
      </c>
      <c r="L458"/>
      <c r="M458"/>
    </row>
    <row r="459" spans="1:13">
      <c r="A459" s="31" t="s">
        <v>3496</v>
      </c>
      <c r="B459" s="31" t="s">
        <v>3640</v>
      </c>
      <c r="C459" s="31">
        <v>2341326</v>
      </c>
      <c r="D459" s="31"/>
      <c r="E459" s="311">
        <v>13577</v>
      </c>
      <c r="F459" s="311"/>
      <c r="G459" s="311">
        <v>14648</v>
      </c>
      <c r="H459" s="31" t="s">
        <v>3215</v>
      </c>
      <c r="I459" s="31" t="s">
        <v>3670</v>
      </c>
      <c r="J459" s="31" t="s">
        <v>845</v>
      </c>
      <c r="K459" s="311">
        <v>12290</v>
      </c>
      <c r="L459"/>
      <c r="M459"/>
    </row>
    <row r="460" spans="1:13">
      <c r="A460" s="31" t="s">
        <v>3496</v>
      </c>
      <c r="B460" s="31" t="s">
        <v>3640</v>
      </c>
      <c r="C460" s="31">
        <v>2341903</v>
      </c>
      <c r="D460" s="31"/>
      <c r="E460" s="311">
        <v>13384</v>
      </c>
      <c r="F460" s="311"/>
      <c r="G460" s="311">
        <v>14655</v>
      </c>
      <c r="H460" s="31" t="s">
        <v>3215</v>
      </c>
      <c r="I460" s="31" t="s">
        <v>3671</v>
      </c>
      <c r="J460" s="31" t="s">
        <v>845</v>
      </c>
      <c r="K460" s="311">
        <v>13046</v>
      </c>
      <c r="L460"/>
      <c r="M460"/>
    </row>
    <row r="461" spans="1:13">
      <c r="A461" s="31" t="s">
        <v>3496</v>
      </c>
      <c r="B461" s="31" t="s">
        <v>3640</v>
      </c>
      <c r="C461" s="31">
        <v>2344261</v>
      </c>
      <c r="D461" s="31"/>
      <c r="E461" s="311">
        <v>14057</v>
      </c>
      <c r="F461" s="311"/>
      <c r="G461" s="311">
        <v>14683</v>
      </c>
      <c r="H461" s="31" t="s">
        <v>3215</v>
      </c>
      <c r="I461" s="31" t="s">
        <v>3672</v>
      </c>
      <c r="J461" s="31" t="s">
        <v>702</v>
      </c>
      <c r="K461" s="311">
        <v>13737</v>
      </c>
      <c r="L461"/>
      <c r="M461"/>
    </row>
    <row r="462" spans="1:13">
      <c r="A462" s="31" t="s">
        <v>3496</v>
      </c>
      <c r="B462" s="31" t="s">
        <v>3640</v>
      </c>
      <c r="C462" s="31">
        <v>2349095</v>
      </c>
      <c r="D462" s="31"/>
      <c r="E462" s="311">
        <v>14284</v>
      </c>
      <c r="F462" s="311"/>
      <c r="G462" s="311">
        <v>14746</v>
      </c>
      <c r="H462" s="31" t="s">
        <v>3215</v>
      </c>
      <c r="I462" s="31" t="s">
        <v>3673</v>
      </c>
      <c r="J462" s="31" t="s">
        <v>702</v>
      </c>
      <c r="K462" s="311">
        <v>13896</v>
      </c>
      <c r="L462"/>
      <c r="M462"/>
    </row>
    <row r="463" spans="1:13">
      <c r="A463" s="31" t="s">
        <v>3496</v>
      </c>
      <c r="B463" s="31" t="s">
        <v>3640</v>
      </c>
      <c r="C463" s="31">
        <v>2349782</v>
      </c>
      <c r="D463" s="31"/>
      <c r="E463" s="311">
        <v>13727</v>
      </c>
      <c r="F463" s="311"/>
      <c r="G463" s="311">
        <v>14753</v>
      </c>
      <c r="H463" s="31" t="s">
        <v>3215</v>
      </c>
      <c r="I463" s="31" t="s">
        <v>3822</v>
      </c>
      <c r="J463" s="31" t="s">
        <v>845</v>
      </c>
      <c r="K463" s="311">
        <v>13237</v>
      </c>
      <c r="L463"/>
      <c r="M463"/>
    </row>
    <row r="464" spans="1:13">
      <c r="A464" s="31" t="s">
        <v>3496</v>
      </c>
      <c r="B464" s="31" t="s">
        <v>3640</v>
      </c>
      <c r="C464" s="31">
        <v>2355727</v>
      </c>
      <c r="D464" s="31"/>
      <c r="E464" s="311">
        <v>13807</v>
      </c>
      <c r="F464" s="311"/>
      <c r="G464" s="311">
        <v>14837</v>
      </c>
      <c r="H464" s="31" t="s">
        <v>3215</v>
      </c>
      <c r="I464" s="31" t="s">
        <v>3823</v>
      </c>
      <c r="J464" s="31" t="s">
        <v>845</v>
      </c>
      <c r="K464" s="311">
        <v>13093</v>
      </c>
      <c r="L464"/>
      <c r="M464"/>
    </row>
    <row r="465" spans="1:13">
      <c r="A465" s="31" t="s">
        <v>3496</v>
      </c>
      <c r="B465" s="31" t="s">
        <v>3640</v>
      </c>
      <c r="C465" s="31">
        <v>2356589</v>
      </c>
      <c r="D465" s="31"/>
      <c r="E465" s="311">
        <v>12965</v>
      </c>
      <c r="F465" s="311"/>
      <c r="G465" s="311">
        <v>14844</v>
      </c>
      <c r="H465" s="31" t="s">
        <v>3215</v>
      </c>
      <c r="I465" s="31" t="s">
        <v>3824</v>
      </c>
      <c r="J465" s="31" t="s">
        <v>845</v>
      </c>
      <c r="K465" s="311">
        <v>12748</v>
      </c>
      <c r="L465"/>
      <c r="M465"/>
    </row>
    <row r="466" spans="1:13">
      <c r="A466" s="31" t="s">
        <v>3496</v>
      </c>
      <c r="B466" s="31" t="s">
        <v>3640</v>
      </c>
      <c r="C466" s="31">
        <v>2367934</v>
      </c>
      <c r="D466" s="31"/>
      <c r="E466" s="311">
        <v>14447</v>
      </c>
      <c r="F466" s="311"/>
      <c r="G466" s="311">
        <v>14998</v>
      </c>
      <c r="H466" s="31" t="s">
        <v>3825</v>
      </c>
      <c r="I466" s="31" t="s">
        <v>3644</v>
      </c>
      <c r="J466" s="31" t="s">
        <v>702</v>
      </c>
      <c r="K466" s="311">
        <v>14090</v>
      </c>
      <c r="L466"/>
      <c r="M466"/>
    </row>
    <row r="467" spans="1:13">
      <c r="A467" s="31" t="s">
        <v>3496</v>
      </c>
      <c r="B467" s="31" t="s">
        <v>3640</v>
      </c>
      <c r="C467" s="31">
        <v>2371035</v>
      </c>
      <c r="D467" s="31"/>
      <c r="E467" s="311">
        <v>14465</v>
      </c>
      <c r="F467" s="311"/>
      <c r="G467" s="311">
        <v>15040</v>
      </c>
      <c r="H467" s="31" t="s">
        <v>3215</v>
      </c>
      <c r="I467" s="31" t="s">
        <v>3826</v>
      </c>
      <c r="J467" s="31" t="s">
        <v>702</v>
      </c>
      <c r="K467" s="311">
        <v>14174</v>
      </c>
      <c r="L467"/>
      <c r="M467"/>
    </row>
    <row r="468" spans="1:13">
      <c r="A468" s="31" t="s">
        <v>3496</v>
      </c>
      <c r="B468" s="31" t="s">
        <v>3640</v>
      </c>
      <c r="C468" s="31">
        <v>2371962</v>
      </c>
      <c r="D468" s="31"/>
      <c r="E468" s="311">
        <v>14600</v>
      </c>
      <c r="F468" s="311"/>
      <c r="G468" s="311">
        <v>15054</v>
      </c>
      <c r="H468" s="31" t="s">
        <v>3215</v>
      </c>
      <c r="I468" s="31" t="s">
        <v>3679</v>
      </c>
      <c r="J468" s="31" t="s">
        <v>702</v>
      </c>
      <c r="K468" s="311">
        <v>14259</v>
      </c>
      <c r="L468"/>
      <c r="M468"/>
    </row>
    <row r="469" spans="1:13">
      <c r="A469" s="31" t="s">
        <v>3496</v>
      </c>
      <c r="B469" s="31" t="s">
        <v>3640</v>
      </c>
      <c r="C469" s="31">
        <v>2376189</v>
      </c>
      <c r="D469" s="31"/>
      <c r="E469" s="311">
        <v>14360</v>
      </c>
      <c r="F469" s="311"/>
      <c r="G469" s="311">
        <v>15110</v>
      </c>
      <c r="H469" s="31" t="s">
        <v>3215</v>
      </c>
      <c r="I469" s="31" t="s">
        <v>3856</v>
      </c>
      <c r="J469" s="31" t="s">
        <v>702</v>
      </c>
      <c r="K469" s="311">
        <v>14017</v>
      </c>
      <c r="L469"/>
      <c r="M469"/>
    </row>
    <row r="470" spans="1:13">
      <c r="A470" s="31" t="s">
        <v>3496</v>
      </c>
      <c r="B470" s="31" t="s">
        <v>3640</v>
      </c>
      <c r="C470" s="31">
        <v>2380243</v>
      </c>
      <c r="D470" s="31"/>
      <c r="E470" s="311">
        <v>14102</v>
      </c>
      <c r="F470" s="311"/>
      <c r="G470" s="311">
        <v>15166</v>
      </c>
      <c r="H470" s="31" t="s">
        <v>3215</v>
      </c>
      <c r="I470" s="31" t="s">
        <v>3857</v>
      </c>
      <c r="J470" s="31" t="s">
        <v>702</v>
      </c>
      <c r="K470" s="311">
        <v>13744</v>
      </c>
      <c r="L470"/>
      <c r="M470"/>
    </row>
    <row r="471" spans="1:13">
      <c r="A471" s="31" t="s">
        <v>3496</v>
      </c>
      <c r="B471" s="31" t="s">
        <v>3640</v>
      </c>
      <c r="C471" s="31">
        <v>2380251</v>
      </c>
      <c r="D471" s="31"/>
      <c r="E471" s="311">
        <v>14802</v>
      </c>
      <c r="F471" s="311"/>
      <c r="G471" s="311">
        <v>15166</v>
      </c>
      <c r="H471" s="31" t="s">
        <v>3215</v>
      </c>
      <c r="I471" s="31" t="s">
        <v>3698</v>
      </c>
      <c r="J471" s="31" t="s">
        <v>702</v>
      </c>
      <c r="K471" s="311">
        <v>14438</v>
      </c>
      <c r="L471"/>
      <c r="M471"/>
    </row>
    <row r="472" spans="1:13">
      <c r="A472" s="31" t="s">
        <v>3496</v>
      </c>
      <c r="B472" s="31" t="s">
        <v>3640</v>
      </c>
      <c r="C472" s="31">
        <v>2382274</v>
      </c>
      <c r="D472" s="31"/>
      <c r="E472" s="311">
        <v>14090</v>
      </c>
      <c r="F472" s="311"/>
      <c r="G472" s="311">
        <v>15201</v>
      </c>
      <c r="H472" s="31" t="s">
        <v>3215</v>
      </c>
      <c r="I472" s="31" t="s">
        <v>3622</v>
      </c>
      <c r="J472" s="31" t="s">
        <v>702</v>
      </c>
      <c r="K472" s="311">
        <v>13786</v>
      </c>
      <c r="L472"/>
      <c r="M472"/>
    </row>
    <row r="473" spans="1:13">
      <c r="A473" s="31" t="s">
        <v>3496</v>
      </c>
      <c r="B473" s="31" t="s">
        <v>3640</v>
      </c>
      <c r="C473" s="31">
        <v>2391759</v>
      </c>
      <c r="D473" s="31"/>
      <c r="E473" s="311">
        <v>14465</v>
      </c>
      <c r="F473" s="311"/>
      <c r="G473" s="311">
        <v>15334</v>
      </c>
      <c r="H473" s="31" t="s">
        <v>3215</v>
      </c>
      <c r="I473" s="31" t="s">
        <v>3858</v>
      </c>
      <c r="J473" s="31" t="s">
        <v>702</v>
      </c>
      <c r="K473" s="311">
        <v>14102</v>
      </c>
      <c r="L473"/>
      <c r="M473"/>
    </row>
    <row r="474" spans="1:13">
      <c r="A474" s="31" t="s">
        <v>3496</v>
      </c>
      <c r="B474" s="31" t="s">
        <v>3640</v>
      </c>
      <c r="C474" s="31">
        <v>2391826</v>
      </c>
      <c r="D474" s="31"/>
      <c r="E474" s="311">
        <v>14447</v>
      </c>
      <c r="F474" s="311"/>
      <c r="G474" s="311">
        <v>15334</v>
      </c>
      <c r="H474" s="31" t="s">
        <v>3825</v>
      </c>
      <c r="I474" s="31" t="s">
        <v>3644</v>
      </c>
      <c r="J474" s="31" t="s">
        <v>702</v>
      </c>
      <c r="K474" s="311">
        <v>14090</v>
      </c>
      <c r="L474"/>
      <c r="M474"/>
    </row>
    <row r="475" spans="1:13">
      <c r="A475" s="31" t="s">
        <v>3496</v>
      </c>
      <c r="B475" s="31" t="s">
        <v>3640</v>
      </c>
      <c r="C475" s="31">
        <v>2392647</v>
      </c>
      <c r="D475" s="31"/>
      <c r="E475" s="311">
        <v>14474</v>
      </c>
      <c r="F475" s="311"/>
      <c r="G475" s="311">
        <v>15348</v>
      </c>
      <c r="H475" s="31" t="s">
        <v>3215</v>
      </c>
      <c r="I475" s="31" t="s">
        <v>3949</v>
      </c>
      <c r="J475" s="31" t="s">
        <v>702</v>
      </c>
      <c r="K475" s="311">
        <v>14186</v>
      </c>
      <c r="L475"/>
      <c r="M475"/>
    </row>
    <row r="476" spans="1:13">
      <c r="A476" s="31" t="s">
        <v>3496</v>
      </c>
      <c r="B476" s="31" t="s">
        <v>3640</v>
      </c>
      <c r="C476" s="31">
        <v>2394685</v>
      </c>
      <c r="D476" s="31"/>
      <c r="E476" s="311">
        <v>14668</v>
      </c>
      <c r="F476" s="311"/>
      <c r="G476" s="311">
        <v>15383</v>
      </c>
      <c r="H476" s="31" t="s">
        <v>3825</v>
      </c>
      <c r="I476" s="31" t="s">
        <v>3869</v>
      </c>
      <c r="J476" s="31" t="s">
        <v>702</v>
      </c>
      <c r="K476" s="311">
        <v>14332</v>
      </c>
      <c r="L476"/>
      <c r="M476"/>
    </row>
    <row r="477" spans="1:13">
      <c r="A477" s="31" t="s">
        <v>3496</v>
      </c>
      <c r="B477" s="31" t="s">
        <v>3640</v>
      </c>
      <c r="C477" s="31">
        <v>2395626</v>
      </c>
      <c r="D477" s="31"/>
      <c r="E477" s="311">
        <v>14524</v>
      </c>
      <c r="F477" s="311"/>
      <c r="G477" s="311">
        <v>15397</v>
      </c>
      <c r="H477" s="31" t="s">
        <v>3215</v>
      </c>
      <c r="I477" s="31" t="s">
        <v>3870</v>
      </c>
      <c r="J477" s="31" t="s">
        <v>702</v>
      </c>
      <c r="K477" s="311">
        <v>14158</v>
      </c>
      <c r="L477"/>
      <c r="M477"/>
    </row>
    <row r="478" spans="1:13">
      <c r="A478" s="31" t="s">
        <v>3496</v>
      </c>
      <c r="B478" s="31" t="s">
        <v>3640</v>
      </c>
      <c r="C478" s="31">
        <v>2413555</v>
      </c>
      <c r="D478" s="31"/>
      <c r="E478" s="311">
        <v>15263</v>
      </c>
      <c r="F478" s="311"/>
      <c r="G478" s="311">
        <v>15705</v>
      </c>
      <c r="H478" s="31" t="s">
        <v>3825</v>
      </c>
      <c r="I478" s="31" t="s">
        <v>3644</v>
      </c>
      <c r="J478" s="31" t="s">
        <v>702</v>
      </c>
      <c r="K478" s="311">
        <v>14981</v>
      </c>
      <c r="L478"/>
      <c r="M478"/>
    </row>
    <row r="479" spans="1:13">
      <c r="A479" s="31" t="s">
        <v>3496</v>
      </c>
      <c r="B479" s="31" t="s">
        <v>3640</v>
      </c>
      <c r="C479" s="31">
        <v>2416971</v>
      </c>
      <c r="D479" s="31"/>
      <c r="E479" s="311">
        <v>15155</v>
      </c>
      <c r="F479" s="311"/>
      <c r="G479" s="311">
        <v>15768</v>
      </c>
      <c r="H479" s="31" t="s">
        <v>3215</v>
      </c>
      <c r="I479" s="31" t="s">
        <v>3871</v>
      </c>
      <c r="J479" s="31" t="s">
        <v>702</v>
      </c>
      <c r="K479" s="311">
        <v>14803</v>
      </c>
      <c r="L479"/>
      <c r="M479"/>
    </row>
    <row r="480" spans="1:13">
      <c r="A480" s="31" t="s">
        <v>3496</v>
      </c>
      <c r="B480" s="31" t="s">
        <v>3640</v>
      </c>
      <c r="C480" s="31">
        <v>2419446</v>
      </c>
      <c r="D480" s="31"/>
      <c r="E480" s="311">
        <v>14809</v>
      </c>
      <c r="F480" s="311"/>
      <c r="G480" s="311">
        <v>15817</v>
      </c>
      <c r="H480" s="31" t="s">
        <v>3825</v>
      </c>
      <c r="I480" s="31" t="s">
        <v>3623</v>
      </c>
      <c r="J480" s="31" t="s">
        <v>702</v>
      </c>
      <c r="K480" s="311">
        <v>14453</v>
      </c>
      <c r="L480"/>
      <c r="M480"/>
    </row>
    <row r="481" spans="1:13">
      <c r="A481" s="31" t="s">
        <v>3496</v>
      </c>
      <c r="B481" s="31" t="s">
        <v>3640</v>
      </c>
      <c r="C481" s="31">
        <v>2419462</v>
      </c>
      <c r="D481" s="31"/>
      <c r="E481" s="311">
        <v>15204</v>
      </c>
      <c r="F481" s="311"/>
      <c r="G481" s="311">
        <v>15817</v>
      </c>
      <c r="H481" s="31" t="s">
        <v>3215</v>
      </c>
      <c r="I481" s="31" t="s">
        <v>3872</v>
      </c>
      <c r="J481" s="31" t="s">
        <v>702</v>
      </c>
      <c r="K481" s="311">
        <v>14930</v>
      </c>
      <c r="L481"/>
      <c r="M481"/>
    </row>
    <row r="482" spans="1:13">
      <c r="A482" s="31" t="s">
        <v>3496</v>
      </c>
      <c r="B482" s="31" t="s">
        <v>3640</v>
      </c>
      <c r="C482" s="31">
        <v>2420548</v>
      </c>
      <c r="D482" s="31"/>
      <c r="E482" s="311">
        <v>15095</v>
      </c>
      <c r="F482" s="311"/>
      <c r="G482" s="311">
        <v>15838</v>
      </c>
      <c r="H482" s="31" t="s">
        <v>3215</v>
      </c>
      <c r="I482" s="31" t="s">
        <v>3873</v>
      </c>
      <c r="J482" s="31" t="s">
        <v>702</v>
      </c>
      <c r="K482" s="311">
        <v>14917</v>
      </c>
      <c r="L482"/>
      <c r="M482"/>
    </row>
    <row r="483" spans="1:13">
      <c r="A483" s="31" t="s">
        <v>3496</v>
      </c>
      <c r="B483" s="31" t="s">
        <v>3640</v>
      </c>
      <c r="C483" s="31">
        <v>2421617</v>
      </c>
      <c r="D483" s="31"/>
      <c r="E483" s="311">
        <v>14581</v>
      </c>
      <c r="F483" s="311"/>
      <c r="G483" s="311">
        <v>15859</v>
      </c>
      <c r="H483" s="31" t="s">
        <v>3825</v>
      </c>
      <c r="I483" s="31" t="s">
        <v>3874</v>
      </c>
      <c r="J483" s="31" t="s">
        <v>702</v>
      </c>
      <c r="K483" s="311">
        <v>14278</v>
      </c>
      <c r="L483"/>
      <c r="M483"/>
    </row>
    <row r="484" spans="1:13">
      <c r="A484" s="31" t="s">
        <v>3496</v>
      </c>
      <c r="B484" s="31" t="s">
        <v>3640</v>
      </c>
      <c r="C484" s="31">
        <v>2426866</v>
      </c>
      <c r="D484" s="31"/>
      <c r="E484" s="311">
        <v>14652</v>
      </c>
      <c r="F484" s="311"/>
      <c r="G484" s="311">
        <v>15950</v>
      </c>
      <c r="H484" s="31" t="s">
        <v>3215</v>
      </c>
      <c r="I484" s="31" t="s">
        <v>3875</v>
      </c>
      <c r="J484" s="31" t="s">
        <v>702</v>
      </c>
      <c r="K484" s="311">
        <v>14306</v>
      </c>
      <c r="L484"/>
      <c r="M484"/>
    </row>
    <row r="485" spans="1:13">
      <c r="A485" s="31" t="s">
        <v>3496</v>
      </c>
      <c r="B485" s="31" t="s">
        <v>3640</v>
      </c>
      <c r="C485" s="31">
        <v>2427195</v>
      </c>
      <c r="D485" s="31"/>
      <c r="E485" s="311">
        <v>15127</v>
      </c>
      <c r="F485" s="311"/>
      <c r="G485" s="311">
        <v>15957</v>
      </c>
      <c r="H485" s="31" t="s">
        <v>3215</v>
      </c>
      <c r="I485" s="31" t="s">
        <v>3949</v>
      </c>
      <c r="J485" s="31" t="s">
        <v>702</v>
      </c>
      <c r="K485" s="311">
        <v>14903</v>
      </c>
      <c r="L485"/>
      <c r="M485"/>
    </row>
    <row r="486" spans="1:13">
      <c r="A486" s="31" t="s">
        <v>3496</v>
      </c>
      <c r="B486" s="31" t="s">
        <v>3640</v>
      </c>
      <c r="C486" s="31">
        <v>2427247</v>
      </c>
      <c r="D486" s="31"/>
      <c r="E486" s="311">
        <v>15180</v>
      </c>
      <c r="F486" s="311"/>
      <c r="G486" s="311">
        <v>15957</v>
      </c>
      <c r="H486" s="31" t="s">
        <v>3215</v>
      </c>
      <c r="I486" s="31" t="s">
        <v>3692</v>
      </c>
      <c r="J486" s="31" t="s">
        <v>702</v>
      </c>
      <c r="K486" s="311">
        <v>14283</v>
      </c>
      <c r="L486" s="383" t="s">
        <v>3693</v>
      </c>
      <c r="M486" s="383"/>
    </row>
    <row r="487" spans="1:13">
      <c r="A487" s="31" t="s">
        <v>3496</v>
      </c>
      <c r="B487" s="31" t="s">
        <v>3640</v>
      </c>
      <c r="C487" s="31">
        <v>2427542</v>
      </c>
      <c r="D487" s="31"/>
      <c r="E487" s="311">
        <v>14451</v>
      </c>
      <c r="F487" s="311"/>
      <c r="G487" s="311">
        <v>15964</v>
      </c>
      <c r="H487" s="31" t="s">
        <v>3215</v>
      </c>
      <c r="I487" s="31" t="s">
        <v>3840</v>
      </c>
      <c r="J487" s="31" t="s">
        <v>2781</v>
      </c>
      <c r="K487" s="311">
        <v>13930</v>
      </c>
      <c r="L487"/>
      <c r="M487"/>
    </row>
    <row r="488" spans="1:13">
      <c r="A488" s="31" t="s">
        <v>3496</v>
      </c>
      <c r="B488" s="31" t="s">
        <v>3640</v>
      </c>
      <c r="C488" s="31">
        <v>2427544</v>
      </c>
      <c r="D488" s="31"/>
      <c r="E488" s="311">
        <v>14638</v>
      </c>
      <c r="F488" s="311"/>
      <c r="G488" s="311">
        <v>15964</v>
      </c>
      <c r="H488" s="31" t="s">
        <v>3215</v>
      </c>
      <c r="I488" s="31" t="s">
        <v>3865</v>
      </c>
      <c r="J488" s="31" t="s">
        <v>702</v>
      </c>
      <c r="K488" s="311">
        <v>14376</v>
      </c>
      <c r="L488"/>
      <c r="M488"/>
    </row>
    <row r="489" spans="1:13">
      <c r="A489" s="31" t="s">
        <v>3496</v>
      </c>
      <c r="B489" s="31" t="s">
        <v>3640</v>
      </c>
      <c r="C489" s="31">
        <v>2428604</v>
      </c>
      <c r="D489" s="31"/>
      <c r="E489" s="311">
        <v>14244</v>
      </c>
      <c r="F489" s="311"/>
      <c r="G489" s="311">
        <v>15985</v>
      </c>
      <c r="H489" s="31" t="s">
        <v>3215</v>
      </c>
      <c r="I489" s="31" t="s">
        <v>3840</v>
      </c>
      <c r="J489" s="31" t="s">
        <v>2781</v>
      </c>
      <c r="K489" s="311">
        <v>13730</v>
      </c>
      <c r="L489"/>
      <c r="M489"/>
    </row>
    <row r="490" spans="1:13">
      <c r="A490" s="31" t="s">
        <v>3496</v>
      </c>
      <c r="B490" s="31" t="s">
        <v>3640</v>
      </c>
      <c r="C490" s="31">
        <v>2433650</v>
      </c>
      <c r="D490" s="31"/>
      <c r="E490" s="311">
        <v>15608</v>
      </c>
      <c r="F490" s="311"/>
      <c r="G490" s="311">
        <v>16069</v>
      </c>
      <c r="H490" s="31" t="s">
        <v>3215</v>
      </c>
      <c r="I490" s="31" t="s">
        <v>3841</v>
      </c>
      <c r="J490" s="31" t="s">
        <v>702</v>
      </c>
      <c r="K490" s="311">
        <v>14648</v>
      </c>
      <c r="L490" s="383" t="s">
        <v>3842</v>
      </c>
      <c r="M490" s="383"/>
    </row>
    <row r="491" spans="1:13">
      <c r="A491" s="31" t="s">
        <v>3496</v>
      </c>
      <c r="B491" s="31" t="s">
        <v>3640</v>
      </c>
      <c r="C491" s="31">
        <v>2435438</v>
      </c>
      <c r="D491" s="31"/>
      <c r="E491" s="311">
        <v>15510</v>
      </c>
      <c r="F491" s="311"/>
      <c r="G491" s="311">
        <v>16104</v>
      </c>
      <c r="H491" s="31" t="s">
        <v>3825</v>
      </c>
      <c r="I491" s="31" t="s">
        <v>3843</v>
      </c>
      <c r="J491" s="31" t="s">
        <v>702</v>
      </c>
      <c r="K491" s="311">
        <v>15308</v>
      </c>
      <c r="L491"/>
      <c r="M491"/>
    </row>
    <row r="492" spans="1:13">
      <c r="A492" s="31" t="s">
        <v>3496</v>
      </c>
      <c r="B492" s="31" t="s">
        <v>3640</v>
      </c>
      <c r="C492" s="31">
        <v>2435440</v>
      </c>
      <c r="D492" s="31"/>
      <c r="E492" s="311">
        <v>15589</v>
      </c>
      <c r="F492" s="311"/>
      <c r="G492" s="311">
        <v>16104</v>
      </c>
      <c r="H492" s="31" t="s">
        <v>3215</v>
      </c>
      <c r="I492" s="31" t="s">
        <v>3844</v>
      </c>
      <c r="J492" s="31" t="s">
        <v>702</v>
      </c>
      <c r="K492" s="311">
        <v>14836</v>
      </c>
      <c r="L492" s="383" t="s">
        <v>3877</v>
      </c>
      <c r="M492" s="383"/>
    </row>
    <row r="493" spans="1:13">
      <c r="A493" s="31" t="s">
        <v>3496</v>
      </c>
      <c r="B493" s="31" t="s">
        <v>3640</v>
      </c>
      <c r="C493" s="31">
        <v>2436200</v>
      </c>
      <c r="D493" s="31"/>
      <c r="E493" s="311">
        <v>14985</v>
      </c>
      <c r="F493" s="311"/>
      <c r="G493" s="311">
        <v>16118</v>
      </c>
      <c r="H493" s="31" t="s">
        <v>3215</v>
      </c>
      <c r="I493" s="31" t="s">
        <v>3878</v>
      </c>
      <c r="J493" s="31" t="s">
        <v>702</v>
      </c>
      <c r="K493" s="311">
        <v>14231</v>
      </c>
      <c r="L493" s="383" t="s">
        <v>3879</v>
      </c>
      <c r="M493" s="383"/>
    </row>
    <row r="494" spans="1:13">
      <c r="A494" s="31" t="s">
        <v>3496</v>
      </c>
      <c r="B494" s="31" t="s">
        <v>3640</v>
      </c>
      <c r="C494" s="31">
        <v>2437066</v>
      </c>
      <c r="D494" s="31"/>
      <c r="E494" s="311">
        <v>14244</v>
      </c>
      <c r="F494" s="311"/>
      <c r="G494" s="311">
        <v>16132</v>
      </c>
      <c r="H494" s="31" t="s">
        <v>3215</v>
      </c>
      <c r="I494" s="31" t="s">
        <v>3880</v>
      </c>
      <c r="J494" s="31" t="s">
        <v>2781</v>
      </c>
      <c r="K494" s="311">
        <v>13731</v>
      </c>
      <c r="L494"/>
      <c r="M494"/>
    </row>
    <row r="495" spans="1:13">
      <c r="A495" s="31" t="s">
        <v>3496</v>
      </c>
      <c r="B495" s="31" t="s">
        <v>3640</v>
      </c>
      <c r="C495" s="31">
        <v>2440995</v>
      </c>
      <c r="D495" s="31"/>
      <c r="E495" s="311">
        <v>14771</v>
      </c>
      <c r="F495" s="311"/>
      <c r="G495" s="311">
        <v>16195</v>
      </c>
      <c r="H495" s="31" t="s">
        <v>3215</v>
      </c>
      <c r="I495" s="31" t="s">
        <v>3858</v>
      </c>
      <c r="J495" s="31" t="s">
        <v>702</v>
      </c>
      <c r="K495" s="311">
        <v>14465</v>
      </c>
      <c r="L495"/>
      <c r="M495"/>
    </row>
    <row r="496" spans="1:13">
      <c r="A496" s="31" t="s">
        <v>3496</v>
      </c>
      <c r="B496" s="31" t="s">
        <v>3640</v>
      </c>
      <c r="C496" s="31">
        <v>2443488</v>
      </c>
      <c r="D496" s="31"/>
      <c r="E496" s="311">
        <v>15113</v>
      </c>
      <c r="F496" s="311"/>
      <c r="G496" s="311">
        <v>16237</v>
      </c>
      <c r="H496" s="31" t="s">
        <v>3215</v>
      </c>
      <c r="I496" s="31" t="s">
        <v>3683</v>
      </c>
      <c r="J496" s="31" t="s">
        <v>702</v>
      </c>
      <c r="K496" s="311">
        <v>14774</v>
      </c>
      <c r="L496"/>
      <c r="M496"/>
    </row>
    <row r="497" spans="1:13">
      <c r="A497" s="31" t="s">
        <v>3496</v>
      </c>
      <c r="B497" s="31" t="s">
        <v>3640</v>
      </c>
      <c r="C497" s="31">
        <v>2444796</v>
      </c>
      <c r="D497" s="31"/>
      <c r="E497" s="311">
        <v>16035</v>
      </c>
      <c r="F497" s="311"/>
      <c r="G497" s="311">
        <v>16258</v>
      </c>
      <c r="H497" s="31" t="s">
        <v>3215</v>
      </c>
      <c r="I497" s="31" t="s">
        <v>3881</v>
      </c>
      <c r="J497" s="31" t="s">
        <v>702</v>
      </c>
      <c r="K497" s="311">
        <v>15481</v>
      </c>
      <c r="L497"/>
      <c r="M497"/>
    </row>
    <row r="498" spans="1:13">
      <c r="A498" s="31" t="s">
        <v>3496</v>
      </c>
      <c r="B498" s="31" t="s">
        <v>3640</v>
      </c>
      <c r="C498" s="31">
        <v>2445171</v>
      </c>
      <c r="D498" s="31"/>
      <c r="E498" s="311">
        <v>15369</v>
      </c>
      <c r="F498" s="311"/>
      <c r="G498" s="311">
        <v>16265</v>
      </c>
      <c r="H498" s="31" t="s">
        <v>3215</v>
      </c>
      <c r="I498" s="31" t="s">
        <v>3882</v>
      </c>
      <c r="J498" s="31" t="s">
        <v>702</v>
      </c>
      <c r="K498" s="311">
        <v>15125</v>
      </c>
      <c r="L498"/>
      <c r="M498"/>
    </row>
    <row r="499" spans="1:13">
      <c r="A499" s="31" t="s">
        <v>3496</v>
      </c>
      <c r="B499" s="31" t="s">
        <v>3640</v>
      </c>
      <c r="C499" s="31">
        <v>2446033</v>
      </c>
      <c r="D499" s="31"/>
      <c r="E499" s="311">
        <v>15530</v>
      </c>
      <c r="F499" s="311"/>
      <c r="G499" s="311">
        <v>16279</v>
      </c>
      <c r="H499" s="31" t="s">
        <v>3215</v>
      </c>
      <c r="I499" s="31" t="s">
        <v>3883</v>
      </c>
      <c r="J499" s="31" t="s">
        <v>702</v>
      </c>
      <c r="K499" s="311">
        <v>15384</v>
      </c>
      <c r="L499"/>
      <c r="M499"/>
    </row>
    <row r="500" spans="1:13">
      <c r="A500" s="31" t="s">
        <v>3496</v>
      </c>
      <c r="B500" s="31" t="s">
        <v>3640</v>
      </c>
      <c r="C500" s="31">
        <v>2448813</v>
      </c>
      <c r="D500" s="31"/>
      <c r="E500" s="311">
        <v>15338</v>
      </c>
      <c r="F500" s="311"/>
      <c r="G500" s="311">
        <v>16321</v>
      </c>
      <c r="H500" s="31" t="s">
        <v>3215</v>
      </c>
      <c r="I500" s="31" t="s">
        <v>3884</v>
      </c>
      <c r="J500" s="31" t="s">
        <v>702</v>
      </c>
      <c r="K500" s="311">
        <v>14931</v>
      </c>
      <c r="L500" s="383" t="s">
        <v>3885</v>
      </c>
      <c r="M500" s="383"/>
    </row>
    <row r="501" spans="1:13">
      <c r="A501" s="31" t="s">
        <v>3496</v>
      </c>
      <c r="B501" s="31" t="s">
        <v>3640</v>
      </c>
      <c r="C501" s="31">
        <v>2449391</v>
      </c>
      <c r="D501" s="31"/>
      <c r="E501" s="311">
        <v>14265</v>
      </c>
      <c r="F501" s="311"/>
      <c r="G501" s="311">
        <v>16328</v>
      </c>
      <c r="H501" s="31" t="s">
        <v>3215</v>
      </c>
      <c r="I501" s="31" t="s">
        <v>3886</v>
      </c>
      <c r="J501" s="31" t="s">
        <v>2781</v>
      </c>
      <c r="K501" s="311">
        <v>15148</v>
      </c>
      <c r="L501" s="383" t="s">
        <v>3887</v>
      </c>
      <c r="M501" s="383"/>
    </row>
    <row r="502" spans="1:13">
      <c r="A502" s="31" t="s">
        <v>3496</v>
      </c>
      <c r="B502" s="31" t="s">
        <v>3640</v>
      </c>
      <c r="C502" s="31">
        <v>2450269</v>
      </c>
      <c r="D502" s="31"/>
      <c r="E502" s="311">
        <v>15603</v>
      </c>
      <c r="F502" s="311"/>
      <c r="G502" s="311">
        <v>16342</v>
      </c>
      <c r="H502" s="31" t="s">
        <v>3215</v>
      </c>
      <c r="I502" s="31" t="s">
        <v>3888</v>
      </c>
      <c r="J502" s="31" t="s">
        <v>2781</v>
      </c>
      <c r="K502" s="311">
        <v>15172</v>
      </c>
      <c r="L502" s="383" t="s">
        <v>3972</v>
      </c>
      <c r="M502" s="383"/>
    </row>
    <row r="503" spans="1:13">
      <c r="A503" s="31" t="s">
        <v>3496</v>
      </c>
      <c r="B503" s="31" t="s">
        <v>3640</v>
      </c>
      <c r="C503" s="31">
        <v>2452919</v>
      </c>
      <c r="D503" s="31"/>
      <c r="E503" s="311">
        <v>15469</v>
      </c>
      <c r="F503" s="311"/>
      <c r="G503" s="311">
        <v>16377</v>
      </c>
      <c r="H503" s="31" t="s">
        <v>3215</v>
      </c>
      <c r="I503" s="31" t="s">
        <v>3875</v>
      </c>
      <c r="J503" s="31" t="s">
        <v>702</v>
      </c>
      <c r="K503" s="311">
        <v>15215</v>
      </c>
      <c r="L503"/>
      <c r="M503"/>
    </row>
    <row r="504" spans="1:13">
      <c r="A504" s="31" t="s">
        <v>3496</v>
      </c>
      <c r="B504" s="31" t="s">
        <v>3640</v>
      </c>
      <c r="C504" s="31">
        <v>2457014</v>
      </c>
      <c r="D504" s="31"/>
      <c r="E504" s="311">
        <v>15804</v>
      </c>
      <c r="F504" s="311"/>
      <c r="G504" s="311">
        <v>16426</v>
      </c>
      <c r="H504" s="31" t="s">
        <v>3215</v>
      </c>
      <c r="I504" s="31" t="s">
        <v>3903</v>
      </c>
      <c r="J504" s="31" t="s">
        <v>702</v>
      </c>
      <c r="K504" s="311"/>
      <c r="L504"/>
      <c r="M504"/>
    </row>
    <row r="505" spans="1:13">
      <c r="A505" s="31" t="s">
        <v>3496</v>
      </c>
      <c r="B505" s="31" t="s">
        <v>3640</v>
      </c>
      <c r="C505" s="31">
        <v>2459519</v>
      </c>
      <c r="D505" s="31"/>
      <c r="E505" s="311">
        <v>16146</v>
      </c>
      <c r="F505" s="311"/>
      <c r="G505" s="311">
        <v>16088</v>
      </c>
      <c r="H505" s="31" t="s">
        <v>3215</v>
      </c>
      <c r="I505" s="31" t="s">
        <v>3904</v>
      </c>
      <c r="J505" s="31" t="s">
        <v>702</v>
      </c>
      <c r="K505" s="311">
        <v>15872</v>
      </c>
      <c r="L505"/>
      <c r="M505"/>
    </row>
    <row r="506" spans="1:13">
      <c r="A506" s="31" t="s">
        <v>3496</v>
      </c>
      <c r="B506" s="31" t="s">
        <v>3640</v>
      </c>
      <c r="C506" s="31">
        <v>2462624</v>
      </c>
      <c r="D506" s="31"/>
      <c r="E506" s="311">
        <v>15113</v>
      </c>
      <c r="F506" s="311"/>
      <c r="G506" s="311">
        <v>16489</v>
      </c>
      <c r="H506" s="31" t="s">
        <v>3215</v>
      </c>
      <c r="I506" s="31" t="s">
        <v>3975</v>
      </c>
      <c r="J506" s="31" t="s">
        <v>702</v>
      </c>
      <c r="K506" s="311">
        <v>14790</v>
      </c>
      <c r="L506"/>
      <c r="M506"/>
    </row>
    <row r="507" spans="1:13">
      <c r="A507" s="31" t="s">
        <v>3496</v>
      </c>
      <c r="B507" s="31" t="s">
        <v>3640</v>
      </c>
      <c r="C507" s="31">
        <v>2467381</v>
      </c>
      <c r="D507" s="31"/>
      <c r="E507" s="311">
        <v>15488</v>
      </c>
      <c r="F507" s="311"/>
      <c r="G507" s="311">
        <v>16545</v>
      </c>
      <c r="H507" s="31" t="s">
        <v>3215</v>
      </c>
      <c r="I507" s="31" t="s">
        <v>3976</v>
      </c>
      <c r="J507" s="31" t="s">
        <v>702</v>
      </c>
      <c r="K507" s="311">
        <v>15151</v>
      </c>
      <c r="L507"/>
      <c r="M507"/>
    </row>
    <row r="508" spans="1:13">
      <c r="A508" s="31" t="s">
        <v>3496</v>
      </c>
      <c r="B508" s="31" t="s">
        <v>3640</v>
      </c>
      <c r="C508" s="31">
        <v>2468536</v>
      </c>
      <c r="D508" s="31"/>
      <c r="E508" s="311">
        <v>15869</v>
      </c>
      <c r="F508" s="311"/>
      <c r="G508" s="311">
        <v>16552</v>
      </c>
      <c r="H508" s="31" t="s">
        <v>3215</v>
      </c>
      <c r="I508" s="31" t="s">
        <v>3865</v>
      </c>
      <c r="J508" s="31" t="s">
        <v>702</v>
      </c>
      <c r="K508" s="311">
        <v>15267</v>
      </c>
      <c r="L508" s="383" t="s">
        <v>3977</v>
      </c>
      <c r="M508" s="383"/>
    </row>
    <row r="509" spans="1:13">
      <c r="A509" s="31" t="s">
        <v>3496</v>
      </c>
      <c r="B509" s="31" t="s">
        <v>3640</v>
      </c>
      <c r="C509" s="31">
        <v>2473992</v>
      </c>
      <c r="D509" s="31"/>
      <c r="E509" s="311">
        <v>15589</v>
      </c>
      <c r="F509" s="311"/>
      <c r="G509" s="311">
        <v>16608</v>
      </c>
      <c r="H509" s="31" t="s">
        <v>3215</v>
      </c>
      <c r="I509" s="31" t="s">
        <v>3843</v>
      </c>
      <c r="J509" s="31" t="s">
        <v>702</v>
      </c>
      <c r="K509" s="311">
        <v>15188</v>
      </c>
      <c r="L509" s="383" t="s">
        <v>3978</v>
      </c>
      <c r="M509" s="383"/>
    </row>
    <row r="510" spans="1:13">
      <c r="A510" s="31" t="s">
        <v>3496</v>
      </c>
      <c r="B510" s="31" t="s">
        <v>3640</v>
      </c>
      <c r="C510" s="31">
        <v>2474872</v>
      </c>
      <c r="D510" s="31"/>
      <c r="E510" s="311">
        <v>15316</v>
      </c>
      <c r="F510" s="311"/>
      <c r="G510" s="311">
        <v>16622</v>
      </c>
      <c r="H510" s="31" t="s">
        <v>3215</v>
      </c>
      <c r="I510" s="31" t="s">
        <v>3979</v>
      </c>
      <c r="J510" s="31" t="s">
        <v>702</v>
      </c>
      <c r="K510" s="311">
        <v>13665</v>
      </c>
      <c r="L510" s="383" t="s">
        <v>3980</v>
      </c>
      <c r="M510" s="383"/>
    </row>
    <row r="511" spans="1:13">
      <c r="A511" s="31" t="s">
        <v>3496</v>
      </c>
      <c r="B511" s="31" t="s">
        <v>3640</v>
      </c>
      <c r="C511" s="31">
        <v>2476787</v>
      </c>
      <c r="D511" s="31"/>
      <c r="E511" s="311">
        <v>15691</v>
      </c>
      <c r="F511" s="311"/>
      <c r="G511" s="311">
        <v>16636</v>
      </c>
      <c r="H511" s="31" t="s">
        <v>3215</v>
      </c>
      <c r="I511" s="31" t="s">
        <v>3883</v>
      </c>
      <c r="J511" s="31" t="s">
        <v>702</v>
      </c>
      <c r="K511" s="311">
        <v>15516</v>
      </c>
      <c r="L511"/>
      <c r="M511"/>
    </row>
    <row r="512" spans="1:13">
      <c r="A512" s="31" t="s">
        <v>3496</v>
      </c>
      <c r="B512" s="31" t="s">
        <v>3640</v>
      </c>
      <c r="C512" s="31">
        <v>2481984</v>
      </c>
      <c r="D512" s="31"/>
      <c r="E512" s="311">
        <v>15632</v>
      </c>
      <c r="F512" s="311"/>
      <c r="G512" s="311">
        <v>16692</v>
      </c>
      <c r="H512" s="31" t="s">
        <v>3215</v>
      </c>
      <c r="I512" s="31" t="s">
        <v>3981</v>
      </c>
      <c r="J512" s="31" t="s">
        <v>2781</v>
      </c>
      <c r="K512" s="311">
        <v>14526</v>
      </c>
      <c r="L512" s="383" t="s">
        <v>3982</v>
      </c>
      <c r="M512" s="383"/>
    </row>
    <row r="513" spans="1:13">
      <c r="A513" s="31" t="s">
        <v>3496</v>
      </c>
      <c r="B513" s="31" t="s">
        <v>3640</v>
      </c>
      <c r="C513" s="31">
        <v>2483140</v>
      </c>
      <c r="D513" s="31"/>
      <c r="E513" s="311">
        <v>16377</v>
      </c>
      <c r="F513" s="311"/>
      <c r="G513" s="311">
        <v>16706</v>
      </c>
      <c r="H513" s="31" t="s">
        <v>3215</v>
      </c>
      <c r="I513" s="31" t="s">
        <v>3983</v>
      </c>
      <c r="J513" s="31" t="s">
        <v>702</v>
      </c>
      <c r="K513" s="311">
        <v>16015</v>
      </c>
      <c r="L513"/>
      <c r="M513"/>
    </row>
    <row r="514" spans="1:13">
      <c r="A514" s="31" t="s">
        <v>3496</v>
      </c>
      <c r="B514" s="31" t="s">
        <v>3640</v>
      </c>
      <c r="C514" s="31">
        <v>2486127</v>
      </c>
      <c r="D514" s="31"/>
      <c r="E514" s="311">
        <v>15103</v>
      </c>
      <c r="F514" s="311"/>
      <c r="G514" s="311">
        <v>16734</v>
      </c>
      <c r="H514" s="31" t="s">
        <v>3215</v>
      </c>
      <c r="I514" s="31" t="s">
        <v>3241</v>
      </c>
      <c r="J514" s="31" t="s">
        <v>702</v>
      </c>
      <c r="K514" s="311">
        <v>14787</v>
      </c>
      <c r="L514"/>
      <c r="M514"/>
    </row>
    <row r="515" spans="1:13">
      <c r="A515" s="31" t="s">
        <v>3496</v>
      </c>
      <c r="B515" s="31" t="s">
        <v>3640</v>
      </c>
      <c r="C515" s="31">
        <v>2486856</v>
      </c>
      <c r="D515" s="31"/>
      <c r="E515" s="311">
        <v>16358</v>
      </c>
      <c r="F515" s="311"/>
      <c r="G515" s="311">
        <v>16741</v>
      </c>
      <c r="H515" s="31" t="s">
        <v>3215</v>
      </c>
      <c r="I515" s="31" t="s">
        <v>3907</v>
      </c>
      <c r="J515" s="31" t="s">
        <v>702</v>
      </c>
      <c r="K515" s="311">
        <v>15807</v>
      </c>
      <c r="L515"/>
      <c r="M515"/>
    </row>
    <row r="516" spans="1:13">
      <c r="A516" s="31" t="s">
        <v>3496</v>
      </c>
      <c r="B516" s="31" t="s">
        <v>3640</v>
      </c>
      <c r="C516" s="31">
        <v>2486875</v>
      </c>
      <c r="D516" s="31"/>
      <c r="E516" s="311">
        <v>15904</v>
      </c>
      <c r="F516" s="311"/>
      <c r="G516" s="311">
        <v>16741</v>
      </c>
      <c r="H516" s="31" t="s">
        <v>3215</v>
      </c>
      <c r="I516" s="31" t="s">
        <v>3900</v>
      </c>
      <c r="J516" s="31" t="s">
        <v>702</v>
      </c>
      <c r="K516" s="311">
        <v>15278</v>
      </c>
      <c r="L516" s="383" t="s">
        <v>3901</v>
      </c>
      <c r="M516" s="383"/>
    </row>
    <row r="517" spans="1:13">
      <c r="A517" s="31" t="s">
        <v>3496</v>
      </c>
      <c r="B517" s="31" t="s">
        <v>3640</v>
      </c>
      <c r="C517" s="31">
        <v>2487603</v>
      </c>
      <c r="D517" s="31"/>
      <c r="E517" s="311">
        <v>15806</v>
      </c>
      <c r="F517" s="311"/>
      <c r="G517" s="311">
        <v>16748</v>
      </c>
      <c r="H517" s="31" t="s">
        <v>3215</v>
      </c>
      <c r="I517" s="31" t="s">
        <v>3902</v>
      </c>
      <c r="J517" s="31" t="s">
        <v>702</v>
      </c>
      <c r="K517" s="311">
        <v>15462</v>
      </c>
      <c r="L517"/>
      <c r="M517"/>
    </row>
    <row r="518" spans="1:13">
      <c r="A518" s="31" t="s">
        <v>3496</v>
      </c>
      <c r="B518" s="31" t="s">
        <v>3640</v>
      </c>
      <c r="C518" s="31">
        <v>2490542</v>
      </c>
      <c r="D518" s="31"/>
      <c r="E518" s="311">
        <v>14984</v>
      </c>
      <c r="F518" s="311"/>
      <c r="G518" s="311">
        <v>16776</v>
      </c>
      <c r="H518" s="31" t="s">
        <v>3215</v>
      </c>
      <c r="I518" s="31" t="s">
        <v>3728</v>
      </c>
      <c r="J518" s="31" t="s">
        <v>702</v>
      </c>
      <c r="K518" s="311">
        <v>14623</v>
      </c>
      <c r="L518"/>
      <c r="M518"/>
    </row>
    <row r="519" spans="1:13">
      <c r="A519" s="31" t="s">
        <v>3496</v>
      </c>
      <c r="B519" s="31" t="s">
        <v>3640</v>
      </c>
      <c r="C519" s="31">
        <v>2491314</v>
      </c>
      <c r="D519" s="31"/>
      <c r="E519" s="311">
        <v>16202</v>
      </c>
      <c r="F519" s="311"/>
      <c r="G519" s="311">
        <v>16783</v>
      </c>
      <c r="H519" s="31" t="s">
        <v>3215</v>
      </c>
      <c r="I519" s="31" t="s">
        <v>3729</v>
      </c>
      <c r="J519" s="31" t="s">
        <v>702</v>
      </c>
      <c r="K519" s="311">
        <v>15627</v>
      </c>
      <c r="L519"/>
      <c r="M519"/>
    </row>
    <row r="520" spans="1:13">
      <c r="A520" s="31" t="s">
        <v>3496</v>
      </c>
      <c r="B520" s="31" t="s">
        <v>3640</v>
      </c>
      <c r="C520" s="31">
        <v>2492734</v>
      </c>
      <c r="D520" s="31"/>
      <c r="E520" s="311">
        <v>16521</v>
      </c>
      <c r="F520" s="311"/>
      <c r="G520" s="311">
        <v>16797</v>
      </c>
      <c r="H520" s="31" t="s">
        <v>3215</v>
      </c>
      <c r="I520" s="31" t="s">
        <v>3730</v>
      </c>
      <c r="J520" s="31" t="s">
        <v>702</v>
      </c>
      <c r="K520" s="311">
        <v>16051</v>
      </c>
      <c r="L520"/>
      <c r="M520"/>
    </row>
    <row r="521" spans="1:13">
      <c r="A521" s="31" t="s">
        <v>3496</v>
      </c>
      <c r="B521" s="31" t="s">
        <v>3640</v>
      </c>
      <c r="C521" s="31">
        <v>2492738</v>
      </c>
      <c r="D521" s="31"/>
      <c r="E521" s="311">
        <v>16422</v>
      </c>
      <c r="F521" s="311"/>
      <c r="G521" s="311">
        <v>16797</v>
      </c>
      <c r="H521" s="31" t="s">
        <v>3215</v>
      </c>
      <c r="I521" s="31" t="s">
        <v>3875</v>
      </c>
      <c r="J521" s="31" t="s">
        <v>702</v>
      </c>
      <c r="K521" s="311">
        <v>16056</v>
      </c>
      <c r="L521"/>
      <c r="M521"/>
    </row>
    <row r="522" spans="1:13">
      <c r="A522" s="31" t="s">
        <v>3496</v>
      </c>
      <c r="B522" s="31" t="s">
        <v>3640</v>
      </c>
      <c r="C522" s="31">
        <v>2493606</v>
      </c>
      <c r="D522" s="31"/>
      <c r="E522" s="311">
        <v>15492</v>
      </c>
      <c r="F522" s="311"/>
      <c r="G522" s="311">
        <v>16804</v>
      </c>
      <c r="H522" s="31" t="s">
        <v>3215</v>
      </c>
      <c r="I522" s="31" t="s">
        <v>3731</v>
      </c>
      <c r="J522" s="31" t="s">
        <v>702</v>
      </c>
      <c r="K522" s="311">
        <v>15137</v>
      </c>
      <c r="L522"/>
      <c r="M522"/>
    </row>
    <row r="523" spans="1:13">
      <c r="A523" s="31" t="s">
        <v>3496</v>
      </c>
      <c r="B523" s="31" t="s">
        <v>3640</v>
      </c>
      <c r="C523" s="31">
        <v>2494327</v>
      </c>
      <c r="D523" s="31"/>
      <c r="E523" s="311">
        <v>16135</v>
      </c>
      <c r="F523" s="311"/>
      <c r="G523" s="311">
        <v>16811</v>
      </c>
      <c r="H523" s="31" t="s">
        <v>3215</v>
      </c>
      <c r="I523" s="31" t="s">
        <v>3594</v>
      </c>
      <c r="J523" s="31" t="s">
        <v>2781</v>
      </c>
      <c r="K523" s="311">
        <v>14565</v>
      </c>
      <c r="L523" s="383" t="s">
        <v>3732</v>
      </c>
      <c r="M523" s="383"/>
    </row>
    <row r="524" spans="1:13">
      <c r="A524" s="31" t="s">
        <v>3496</v>
      </c>
      <c r="B524" s="31" t="s">
        <v>3640</v>
      </c>
      <c r="C524" s="31">
        <v>2494346</v>
      </c>
      <c r="D524" s="31"/>
      <c r="E524" s="311">
        <v>16052</v>
      </c>
      <c r="F524" s="311"/>
      <c r="G524" s="311">
        <v>16811</v>
      </c>
      <c r="H524" s="31" t="s">
        <v>3215</v>
      </c>
      <c r="I524" s="31" t="s">
        <v>3733</v>
      </c>
      <c r="J524" s="31" t="s">
        <v>702</v>
      </c>
      <c r="K524" s="311">
        <v>15903</v>
      </c>
      <c r="L524"/>
      <c r="M524"/>
    </row>
    <row r="525" spans="1:13">
      <c r="A525" s="31" t="s">
        <v>3496</v>
      </c>
      <c r="B525" s="31" t="s">
        <v>3640</v>
      </c>
      <c r="C525" s="31">
        <v>2499182</v>
      </c>
      <c r="D525" s="31"/>
      <c r="E525" s="311">
        <v>15870</v>
      </c>
      <c r="F525" s="311"/>
      <c r="G525" s="311">
        <v>16860</v>
      </c>
      <c r="H525" s="31" t="s">
        <v>3215</v>
      </c>
      <c r="I525" s="31" t="s">
        <v>3826</v>
      </c>
      <c r="J525" s="31" t="s">
        <v>702</v>
      </c>
      <c r="K525" s="311">
        <v>15621</v>
      </c>
      <c r="L525"/>
      <c r="M525"/>
    </row>
    <row r="526" spans="1:13">
      <c r="A526" s="31" t="s">
        <v>3496</v>
      </c>
      <c r="B526" s="31" t="s">
        <v>3640</v>
      </c>
      <c r="C526" s="31">
        <v>2499200</v>
      </c>
      <c r="D526" s="31"/>
      <c r="E526" s="311">
        <v>15926</v>
      </c>
      <c r="F526" s="311"/>
      <c r="G526" s="311">
        <v>16860</v>
      </c>
      <c r="H526" s="31" t="s">
        <v>3215</v>
      </c>
      <c r="I526" s="31" t="s">
        <v>3734</v>
      </c>
      <c r="J526" s="31" t="s">
        <v>702</v>
      </c>
      <c r="K526" s="311">
        <v>14328</v>
      </c>
      <c r="L526" s="383" t="s">
        <v>3735</v>
      </c>
      <c r="M526" s="383"/>
    </row>
    <row r="527" spans="1:13">
      <c r="A527" s="31" t="s">
        <v>3496</v>
      </c>
      <c r="B527" s="31" t="s">
        <v>3640</v>
      </c>
      <c r="C527" s="31">
        <v>2500753</v>
      </c>
      <c r="D527" s="31"/>
      <c r="E527" s="311">
        <v>15891</v>
      </c>
      <c r="F527" s="311"/>
      <c r="G527" s="311">
        <v>16874</v>
      </c>
      <c r="H527" s="31" t="s">
        <v>3215</v>
      </c>
      <c r="I527" s="31" t="s">
        <v>3736</v>
      </c>
      <c r="J527" s="31" t="s">
        <v>702</v>
      </c>
      <c r="K527" s="311">
        <v>15186</v>
      </c>
      <c r="L527" s="383" t="s">
        <v>3737</v>
      </c>
      <c r="M527" s="383"/>
    </row>
    <row r="528" spans="1:13">
      <c r="A528" s="31" t="s">
        <v>3496</v>
      </c>
      <c r="B528" s="31" t="s">
        <v>3640</v>
      </c>
      <c r="C528" s="31">
        <v>2501502</v>
      </c>
      <c r="D528" s="31"/>
      <c r="E528" s="311">
        <v>15582</v>
      </c>
      <c r="F528" s="311"/>
      <c r="G528" s="311">
        <v>16881</v>
      </c>
      <c r="H528" s="31" t="s">
        <v>3215</v>
      </c>
      <c r="I528" s="31" t="s">
        <v>3975</v>
      </c>
      <c r="J528" s="31" t="s">
        <v>702</v>
      </c>
      <c r="K528" s="311">
        <v>15259</v>
      </c>
      <c r="L528"/>
      <c r="M528"/>
    </row>
    <row r="529" spans="1:13">
      <c r="A529" s="31" t="s">
        <v>3496</v>
      </c>
      <c r="B529" s="31" t="s">
        <v>3640</v>
      </c>
      <c r="C529" s="31">
        <v>2501528</v>
      </c>
      <c r="D529" s="31"/>
      <c r="E529" s="311">
        <v>15323</v>
      </c>
      <c r="F529" s="311"/>
      <c r="G529" s="311">
        <v>16881</v>
      </c>
      <c r="H529" s="31" t="s">
        <v>3215</v>
      </c>
      <c r="I529" s="31" t="s">
        <v>3923</v>
      </c>
      <c r="J529" s="31" t="s">
        <v>702</v>
      </c>
      <c r="K529" s="311">
        <v>14634</v>
      </c>
      <c r="L529" s="383" t="s">
        <v>3906</v>
      </c>
      <c r="M529" s="383"/>
    </row>
    <row r="530" spans="1:13">
      <c r="A530" s="31" t="s">
        <v>3496</v>
      </c>
      <c r="B530" s="31" t="s">
        <v>3640</v>
      </c>
      <c r="C530" s="31">
        <v>2504776</v>
      </c>
      <c r="D530" s="31"/>
      <c r="E530" s="311">
        <v>15308</v>
      </c>
      <c r="F530" s="311"/>
      <c r="G530" s="311">
        <v>16909</v>
      </c>
      <c r="H530" s="31" t="s">
        <v>3215</v>
      </c>
      <c r="I530" s="31" t="s">
        <v>3742</v>
      </c>
      <c r="J530" s="31" t="s">
        <v>702</v>
      </c>
      <c r="K530" s="311">
        <v>14990</v>
      </c>
      <c r="L530"/>
      <c r="M530"/>
    </row>
    <row r="531" spans="1:13">
      <c r="A531" s="31" t="s">
        <v>3496</v>
      </c>
      <c r="B531" s="31" t="s">
        <v>3640</v>
      </c>
      <c r="C531" s="31">
        <v>2506404</v>
      </c>
      <c r="D531" s="31"/>
      <c r="E531" s="311">
        <v>15842</v>
      </c>
      <c r="F531" s="311"/>
      <c r="G531" s="311">
        <v>16923</v>
      </c>
      <c r="H531" s="31" t="s">
        <v>3215</v>
      </c>
      <c r="I531" s="31" t="s">
        <v>3743</v>
      </c>
      <c r="J531" s="31" t="s">
        <v>702</v>
      </c>
      <c r="K531" s="311">
        <v>15553</v>
      </c>
      <c r="L531"/>
      <c r="M531"/>
    </row>
    <row r="532" spans="1:13">
      <c r="A532" s="31" t="s">
        <v>3496</v>
      </c>
      <c r="B532" s="31" t="s">
        <v>3640</v>
      </c>
      <c r="C532" s="31">
        <v>2514947</v>
      </c>
      <c r="D532" s="31"/>
      <c r="E532" s="311">
        <v>15226</v>
      </c>
      <c r="F532" s="311"/>
      <c r="G532" s="311">
        <v>16993</v>
      </c>
      <c r="H532" s="31" t="s">
        <v>3215</v>
      </c>
      <c r="I532" s="31" t="s">
        <v>3744</v>
      </c>
      <c r="J532" s="31" t="s">
        <v>702</v>
      </c>
      <c r="K532" s="311">
        <v>14901</v>
      </c>
      <c r="L532"/>
      <c r="M532"/>
    </row>
    <row r="533" spans="1:13">
      <c r="A533" s="31" t="s">
        <v>3496</v>
      </c>
      <c r="B533" s="31" t="s">
        <v>3640</v>
      </c>
      <c r="C533" s="31">
        <v>2516588</v>
      </c>
      <c r="D533" s="31"/>
      <c r="E533" s="311">
        <v>16181</v>
      </c>
      <c r="F533" s="311"/>
      <c r="G533" s="311">
        <v>17007</v>
      </c>
      <c r="H533" s="31" t="s">
        <v>3215</v>
      </c>
      <c r="I533" s="31" t="s">
        <v>3583</v>
      </c>
      <c r="J533" s="31" t="s">
        <v>702</v>
      </c>
      <c r="K533" s="311">
        <v>15824</v>
      </c>
      <c r="L533"/>
      <c r="M533"/>
    </row>
    <row r="534" spans="1:13">
      <c r="A534" s="31" t="s">
        <v>3496</v>
      </c>
      <c r="B534" s="31" t="s">
        <v>3640</v>
      </c>
      <c r="C534" s="31">
        <v>2520582</v>
      </c>
      <c r="D534" s="31"/>
      <c r="E534" s="311">
        <v>15761</v>
      </c>
      <c r="F534" s="311"/>
      <c r="G534" s="311">
        <v>17042</v>
      </c>
      <c r="H534" s="31" t="s">
        <v>3215</v>
      </c>
      <c r="I534" s="31" t="s">
        <v>3979</v>
      </c>
      <c r="J534" s="31" t="s">
        <v>702</v>
      </c>
      <c r="K534" s="311">
        <v>14370</v>
      </c>
      <c r="L534" s="383" t="s">
        <v>3745</v>
      </c>
      <c r="M534" s="383"/>
    </row>
    <row r="535" spans="1:13">
      <c r="A535" s="31" t="s">
        <v>3496</v>
      </c>
      <c r="B535" s="31" t="s">
        <v>3640</v>
      </c>
      <c r="C535" s="31">
        <v>2521497</v>
      </c>
      <c r="D535" s="31"/>
      <c r="E535" s="311">
        <v>16013</v>
      </c>
      <c r="F535" s="311"/>
      <c r="G535" s="311">
        <v>17049</v>
      </c>
      <c r="H535" s="31" t="s">
        <v>3215</v>
      </c>
      <c r="I535" s="31" t="s">
        <v>3703</v>
      </c>
      <c r="J535" s="31" t="s">
        <v>2781</v>
      </c>
      <c r="K535" s="311">
        <v>15742</v>
      </c>
      <c r="L535"/>
      <c r="M535"/>
    </row>
    <row r="536" spans="1:13">
      <c r="A536" s="31" t="s">
        <v>3496</v>
      </c>
      <c r="B536" s="31" t="s">
        <v>3640</v>
      </c>
      <c r="C536" s="31">
        <v>2521522</v>
      </c>
      <c r="D536" s="31"/>
      <c r="E536" s="311">
        <v>15783</v>
      </c>
      <c r="F536" s="311"/>
      <c r="G536" s="311">
        <v>17049</v>
      </c>
      <c r="H536" s="31" t="s">
        <v>3215</v>
      </c>
      <c r="I536" s="31" t="s">
        <v>3746</v>
      </c>
      <c r="J536" s="31" t="s">
        <v>702</v>
      </c>
      <c r="K536" s="311">
        <v>15435</v>
      </c>
      <c r="L536"/>
      <c r="M536"/>
    </row>
    <row r="537" spans="1:13">
      <c r="A537" s="31" t="s">
        <v>3496</v>
      </c>
      <c r="B537" s="31" t="s">
        <v>3640</v>
      </c>
      <c r="C537" s="31">
        <v>2524539</v>
      </c>
      <c r="D537" s="31"/>
      <c r="E537" s="311">
        <v>16147</v>
      </c>
      <c r="F537" s="311"/>
      <c r="G537" s="311">
        <v>17077</v>
      </c>
      <c r="H537" s="31" t="s">
        <v>3215</v>
      </c>
      <c r="I537" s="31" t="s">
        <v>3908</v>
      </c>
      <c r="J537" s="31" t="s">
        <v>2781</v>
      </c>
      <c r="K537" s="311">
        <v>15799</v>
      </c>
      <c r="L537"/>
      <c r="M537"/>
    </row>
    <row r="538" spans="1:13">
      <c r="A538" s="31" t="s">
        <v>3496</v>
      </c>
      <c r="B538" s="31" t="s">
        <v>3640</v>
      </c>
      <c r="C538" s="31">
        <v>2534144</v>
      </c>
      <c r="D538" s="31"/>
      <c r="E538" s="311">
        <v>16135</v>
      </c>
      <c r="F538" s="311"/>
      <c r="G538" s="311">
        <v>17147</v>
      </c>
      <c r="H538" s="31" t="s">
        <v>3215</v>
      </c>
      <c r="I538" s="31" t="s">
        <v>3909</v>
      </c>
      <c r="J538" s="31" t="s">
        <v>702</v>
      </c>
      <c r="K538" s="311">
        <v>15770</v>
      </c>
      <c r="L538"/>
      <c r="M538"/>
    </row>
    <row r="539" spans="1:13">
      <c r="A539" s="31" t="s">
        <v>3496</v>
      </c>
      <c r="B539" s="31" t="s">
        <v>3640</v>
      </c>
      <c r="C539" s="31">
        <v>2536809</v>
      </c>
      <c r="D539" s="31"/>
      <c r="E539" s="311">
        <v>16637</v>
      </c>
      <c r="F539" s="311"/>
      <c r="G539" s="311">
        <v>17168</v>
      </c>
      <c r="H539" s="31" t="s">
        <v>3215</v>
      </c>
      <c r="I539" s="31" t="s">
        <v>3910</v>
      </c>
      <c r="J539" s="31" t="s">
        <v>702</v>
      </c>
      <c r="K539" s="311">
        <v>16309</v>
      </c>
      <c r="L539"/>
      <c r="M539"/>
    </row>
    <row r="540" spans="1:13">
      <c r="A540" s="31" t="s">
        <v>3496</v>
      </c>
      <c r="B540" s="31" t="s">
        <v>3640</v>
      </c>
      <c r="C540" s="31">
        <v>2540853</v>
      </c>
      <c r="D540" s="31"/>
      <c r="E540" s="311">
        <v>15922</v>
      </c>
      <c r="F540" s="311"/>
      <c r="G540" s="311">
        <v>17203</v>
      </c>
      <c r="H540" s="31" t="s">
        <v>3215</v>
      </c>
      <c r="I540" s="31" t="s">
        <v>3753</v>
      </c>
      <c r="J540" s="31" t="s">
        <v>702</v>
      </c>
      <c r="K540" s="311">
        <v>15252</v>
      </c>
      <c r="L540" s="383" t="s">
        <v>3754</v>
      </c>
      <c r="M540" s="383"/>
    </row>
    <row r="541" spans="1:13">
      <c r="A541" s="31" t="s">
        <v>3496</v>
      </c>
      <c r="B541" s="31" t="s">
        <v>3640</v>
      </c>
      <c r="C541" s="31">
        <v>2546039</v>
      </c>
      <c r="D541" s="31"/>
      <c r="E541" s="311">
        <v>15436</v>
      </c>
      <c r="F541" s="311"/>
      <c r="G541" s="311">
        <v>17245</v>
      </c>
      <c r="H541" s="31" t="s">
        <v>3215</v>
      </c>
      <c r="I541" s="31" t="s">
        <v>3755</v>
      </c>
      <c r="J541" s="31" t="s">
        <v>702</v>
      </c>
      <c r="K541" s="311">
        <v>15208</v>
      </c>
      <c r="L541"/>
      <c r="M541"/>
    </row>
    <row r="542" spans="1:13">
      <c r="A542" s="31" t="s">
        <v>3496</v>
      </c>
      <c r="B542" s="31" t="s">
        <v>3640</v>
      </c>
      <c r="C542" s="31">
        <v>2548632</v>
      </c>
      <c r="D542" s="31"/>
      <c r="E542" s="311">
        <v>14873</v>
      </c>
      <c r="F542" s="311"/>
      <c r="G542" s="311">
        <v>17266</v>
      </c>
      <c r="H542" s="31" t="s">
        <v>3215</v>
      </c>
      <c r="I542" s="31" t="s">
        <v>3916</v>
      </c>
      <c r="J542" s="31" t="s">
        <v>702</v>
      </c>
      <c r="K542" s="311">
        <v>14599</v>
      </c>
      <c r="L542"/>
      <c r="M542"/>
    </row>
    <row r="543" spans="1:13">
      <c r="A543" s="31" t="s">
        <v>3496</v>
      </c>
      <c r="B543" s="31" t="s">
        <v>3640</v>
      </c>
      <c r="C543" s="288">
        <v>2562162</v>
      </c>
      <c r="D543" s="31"/>
      <c r="E543" s="311"/>
      <c r="F543" s="311"/>
      <c r="G543" s="311">
        <v>17294</v>
      </c>
      <c r="H543" s="31"/>
      <c r="I543" s="31"/>
      <c r="J543" s="31"/>
      <c r="K543" s="311"/>
      <c r="L543" s="173" t="s">
        <v>3917</v>
      </c>
      <c r="M543"/>
    </row>
    <row r="544" spans="1:13">
      <c r="A544" s="31" t="s">
        <v>3496</v>
      </c>
      <c r="B544" s="31" t="s">
        <v>3640</v>
      </c>
      <c r="C544" s="31">
        <v>2570798</v>
      </c>
      <c r="D544" s="31"/>
      <c r="E544" s="311">
        <v>16573</v>
      </c>
      <c r="F544" s="311"/>
      <c r="G544" s="311">
        <v>17448</v>
      </c>
      <c r="H544" s="31" t="s">
        <v>3215</v>
      </c>
      <c r="I544" s="31" t="s">
        <v>3774</v>
      </c>
      <c r="J544" s="31" t="s">
        <v>702</v>
      </c>
      <c r="K544" s="311">
        <v>16210</v>
      </c>
      <c r="L544"/>
      <c r="M544"/>
    </row>
    <row r="545" spans="1:13">
      <c r="A545" s="31" t="s">
        <v>3496</v>
      </c>
      <c r="B545" s="31" t="s">
        <v>3640</v>
      </c>
      <c r="C545" s="31">
        <v>2582221</v>
      </c>
      <c r="D545" s="31"/>
      <c r="E545" s="311">
        <v>16421</v>
      </c>
      <c r="F545" s="311"/>
      <c r="G545" s="311">
        <v>17546</v>
      </c>
      <c r="H545" s="31" t="s">
        <v>3215</v>
      </c>
      <c r="I545" s="31" t="s">
        <v>3775</v>
      </c>
      <c r="J545" s="31" t="s">
        <v>702</v>
      </c>
      <c r="K545" s="311">
        <v>15090</v>
      </c>
      <c r="L545"/>
      <c r="M545"/>
    </row>
    <row r="546" spans="1:13">
      <c r="A546" s="31" t="s">
        <v>3496</v>
      </c>
      <c r="B546" s="31" t="s">
        <v>3640</v>
      </c>
      <c r="C546" s="31">
        <v>2582222</v>
      </c>
      <c r="D546" s="31"/>
      <c r="E546" s="311">
        <v>16429</v>
      </c>
      <c r="F546" s="311"/>
      <c r="G546" s="311">
        <v>17546</v>
      </c>
      <c r="H546" s="31" t="s">
        <v>3215</v>
      </c>
      <c r="I546" s="31" t="s">
        <v>3775</v>
      </c>
      <c r="J546" s="31" t="s">
        <v>702</v>
      </c>
      <c r="K546" s="311">
        <v>15133</v>
      </c>
      <c r="L546"/>
      <c r="M546"/>
    </row>
    <row r="547" spans="1:13">
      <c r="A547" s="31" t="s">
        <v>3496</v>
      </c>
      <c r="B547" s="31" t="s">
        <v>3640</v>
      </c>
      <c r="C547" s="31">
        <v>2586559</v>
      </c>
      <c r="D547" s="31"/>
      <c r="E547" s="311">
        <v>17153</v>
      </c>
      <c r="F547" s="311"/>
      <c r="G547" s="311">
        <v>17581</v>
      </c>
      <c r="H547" s="31" t="s">
        <v>3215</v>
      </c>
      <c r="I547" s="31" t="s">
        <v>3776</v>
      </c>
      <c r="J547" s="31" t="s">
        <v>702</v>
      </c>
      <c r="K547" s="311">
        <v>16855</v>
      </c>
      <c r="L547"/>
      <c r="M547"/>
    </row>
    <row r="548" spans="1:13">
      <c r="A548" s="31" t="s">
        <v>3496</v>
      </c>
      <c r="B548" s="31" t="s">
        <v>3640</v>
      </c>
      <c r="C548" s="31">
        <v>2600979</v>
      </c>
      <c r="D548" s="31"/>
      <c r="E548" s="311">
        <v>16174</v>
      </c>
      <c r="F548" s="311"/>
      <c r="G548" s="311">
        <v>17700</v>
      </c>
      <c r="H548" s="31" t="s">
        <v>3215</v>
      </c>
      <c r="I548" s="31" t="s">
        <v>3777</v>
      </c>
      <c r="J548" s="31" t="s">
        <v>2781</v>
      </c>
      <c r="K548" s="311">
        <v>15914</v>
      </c>
      <c r="L548"/>
      <c r="M548"/>
    </row>
    <row r="549" spans="1:13">
      <c r="A549" s="31" t="s">
        <v>3496</v>
      </c>
      <c r="B549" s="31" t="s">
        <v>3640</v>
      </c>
      <c r="C549" s="31">
        <v>2611122</v>
      </c>
      <c r="D549" s="31"/>
      <c r="E549" s="311">
        <v>16237</v>
      </c>
      <c r="F549" s="311"/>
      <c r="G549" s="311">
        <v>17791</v>
      </c>
      <c r="H549" s="31" t="s">
        <v>3215</v>
      </c>
      <c r="I549" s="31" t="s">
        <v>3903</v>
      </c>
      <c r="J549" s="31" t="s">
        <v>2781</v>
      </c>
      <c r="K549" s="311">
        <v>15904</v>
      </c>
      <c r="L549"/>
      <c r="M549"/>
    </row>
    <row r="550" spans="1:13">
      <c r="A550" s="31" t="s">
        <v>3496</v>
      </c>
      <c r="B550" s="31" t="s">
        <v>3640</v>
      </c>
      <c r="C550" s="31">
        <v>2611632</v>
      </c>
      <c r="D550" s="31"/>
      <c r="E550" s="311">
        <v>17345</v>
      </c>
      <c r="F550" s="311"/>
      <c r="G550" s="311">
        <v>17798</v>
      </c>
      <c r="H550" s="31" t="s">
        <v>3215</v>
      </c>
      <c r="I550" s="31" t="s">
        <v>3778</v>
      </c>
      <c r="J550" s="31" t="s">
        <v>702</v>
      </c>
      <c r="K550" s="311">
        <v>16720</v>
      </c>
      <c r="L550"/>
      <c r="M550"/>
    </row>
    <row r="551" spans="1:13">
      <c r="A551" s="31" t="s">
        <v>3496</v>
      </c>
      <c r="B551" s="31" t="s">
        <v>3640</v>
      </c>
      <c r="C551" s="31">
        <v>2614139</v>
      </c>
      <c r="D551" s="31"/>
      <c r="E551" s="311">
        <v>16997</v>
      </c>
      <c r="F551" s="311"/>
      <c r="G551" s="311">
        <v>17819</v>
      </c>
      <c r="H551" s="31" t="s">
        <v>3215</v>
      </c>
      <c r="I551" s="31" t="s">
        <v>3918</v>
      </c>
      <c r="J551" s="31" t="s">
        <v>702</v>
      </c>
      <c r="K551" s="311">
        <v>16658</v>
      </c>
      <c r="L551"/>
      <c r="M551"/>
    </row>
    <row r="552" spans="1:13">
      <c r="A552" s="31" t="s">
        <v>3496</v>
      </c>
      <c r="B552" s="31" t="s">
        <v>3640</v>
      </c>
      <c r="C552" s="31">
        <v>2615130</v>
      </c>
      <c r="D552" s="31"/>
      <c r="E552" s="311">
        <v>16029</v>
      </c>
      <c r="F552" s="311"/>
      <c r="G552" s="311">
        <v>17826</v>
      </c>
      <c r="H552" s="287"/>
      <c r="I552" s="31" t="s">
        <v>3939</v>
      </c>
      <c r="J552" s="31" t="s">
        <v>2781</v>
      </c>
      <c r="K552" s="311">
        <v>15672</v>
      </c>
      <c r="L552"/>
      <c r="M552"/>
    </row>
    <row r="553" spans="1:13">
      <c r="A553" s="31" t="s">
        <v>3496</v>
      </c>
      <c r="B553" s="31" t="s">
        <v>3640</v>
      </c>
      <c r="C553" s="31">
        <v>2632861</v>
      </c>
      <c r="D553" s="31"/>
      <c r="E553" s="311">
        <v>17541</v>
      </c>
      <c r="F553" s="311"/>
      <c r="G553" s="311">
        <v>17980</v>
      </c>
      <c r="H553" s="31" t="s">
        <v>3215</v>
      </c>
      <c r="I553" s="31" t="s">
        <v>3940</v>
      </c>
      <c r="J553" s="31" t="s">
        <v>702</v>
      </c>
      <c r="K553" s="311">
        <v>17241</v>
      </c>
      <c r="L553"/>
      <c r="M553"/>
    </row>
    <row r="554" spans="1:13">
      <c r="A554" s="31" t="s">
        <v>3496</v>
      </c>
      <c r="B554" s="31" t="s">
        <v>3640</v>
      </c>
      <c r="C554" s="31">
        <v>2635219</v>
      </c>
      <c r="D554" s="31"/>
      <c r="E554" s="311">
        <v>17184</v>
      </c>
      <c r="F554" s="311"/>
      <c r="G554" s="311">
        <v>18001</v>
      </c>
      <c r="H554" s="31" t="s">
        <v>3215</v>
      </c>
      <c r="I554" s="31" t="s">
        <v>3953</v>
      </c>
      <c r="J554" s="31" t="s">
        <v>2781</v>
      </c>
      <c r="K554" s="311">
        <v>16846</v>
      </c>
      <c r="L554"/>
      <c r="M554"/>
    </row>
    <row r="555" spans="1:13">
      <c r="A555" s="31" t="s">
        <v>3496</v>
      </c>
      <c r="B555" s="31" t="s">
        <v>3640</v>
      </c>
      <c r="C555" s="31">
        <v>2637000</v>
      </c>
      <c r="D555" s="31"/>
      <c r="E555" s="311">
        <v>17570</v>
      </c>
      <c r="F555" s="311"/>
      <c r="G555" s="311">
        <v>18015</v>
      </c>
      <c r="H555" s="31" t="s">
        <v>3215</v>
      </c>
      <c r="I555" s="31" t="s">
        <v>3776</v>
      </c>
      <c r="J555" s="31" t="s">
        <v>702</v>
      </c>
      <c r="K555" s="311">
        <v>17212</v>
      </c>
      <c r="L555"/>
      <c r="M555"/>
    </row>
    <row r="556" spans="1:13">
      <c r="A556" s="31" t="s">
        <v>3496</v>
      </c>
      <c r="B556" s="31" t="s">
        <v>3640</v>
      </c>
      <c r="C556" s="31">
        <v>2640901</v>
      </c>
      <c r="D556" s="31"/>
      <c r="E556" s="311">
        <v>17314</v>
      </c>
      <c r="F556" s="311"/>
      <c r="G556" s="311">
        <v>18050</v>
      </c>
      <c r="H556" s="31" t="s">
        <v>3215</v>
      </c>
      <c r="I556" s="31" t="s">
        <v>4024</v>
      </c>
      <c r="J556" s="31" t="s">
        <v>702</v>
      </c>
      <c r="K556" s="311">
        <v>16958</v>
      </c>
      <c r="L556"/>
      <c r="M556"/>
    </row>
    <row r="557" spans="1:13">
      <c r="A557" s="31" t="s">
        <v>3496</v>
      </c>
      <c r="B557" s="31" t="s">
        <v>3640</v>
      </c>
      <c r="C557" s="31">
        <v>2645696</v>
      </c>
      <c r="D557" s="31"/>
      <c r="E557" s="311">
        <v>17156</v>
      </c>
      <c r="F557" s="311"/>
      <c r="G557" s="311">
        <v>18092</v>
      </c>
      <c r="H557" s="31" t="s">
        <v>3215</v>
      </c>
      <c r="I557" s="31" t="s">
        <v>4025</v>
      </c>
      <c r="J557" s="31" t="s">
        <v>702</v>
      </c>
      <c r="K557" s="311">
        <v>16791</v>
      </c>
      <c r="L557"/>
      <c r="M557"/>
    </row>
    <row r="558" spans="1:13">
      <c r="A558" s="31" t="s">
        <v>3496</v>
      </c>
      <c r="B558" s="31" t="s">
        <v>3640</v>
      </c>
      <c r="C558" s="31">
        <v>2652502</v>
      </c>
      <c r="D558" s="31"/>
      <c r="E558" s="311">
        <v>17795</v>
      </c>
      <c r="F558" s="311"/>
      <c r="G558" s="311">
        <v>18155</v>
      </c>
      <c r="H558" s="31" t="s">
        <v>4026</v>
      </c>
      <c r="I558" s="31" t="s">
        <v>4027</v>
      </c>
      <c r="J558" s="31" t="s">
        <v>702</v>
      </c>
      <c r="K558" s="311">
        <v>17414</v>
      </c>
      <c r="L558"/>
      <c r="M558"/>
    </row>
    <row r="559" spans="1:13">
      <c r="A559" s="31" t="s">
        <v>3496</v>
      </c>
      <c r="B559" s="31" t="s">
        <v>3640</v>
      </c>
      <c r="C559" s="31">
        <v>2652716</v>
      </c>
      <c r="D559" s="31"/>
      <c r="E559" s="311">
        <v>16758</v>
      </c>
      <c r="F559" s="311"/>
      <c r="G559" s="311">
        <v>18162</v>
      </c>
      <c r="H559" s="31" t="s">
        <v>3215</v>
      </c>
      <c r="I559" s="31" t="s">
        <v>4028</v>
      </c>
      <c r="J559" s="31" t="s">
        <v>702</v>
      </c>
      <c r="K559" s="311">
        <v>16404</v>
      </c>
      <c r="L559"/>
      <c r="M559"/>
    </row>
    <row r="560" spans="1:13">
      <c r="A560" s="31" t="s">
        <v>3496</v>
      </c>
      <c r="B560" s="31" t="s">
        <v>4029</v>
      </c>
      <c r="C560" s="31">
        <v>2685531</v>
      </c>
      <c r="D560" s="31">
        <v>98886</v>
      </c>
      <c r="E560" s="311">
        <v>16600</v>
      </c>
      <c r="F560" s="311"/>
      <c r="G560" s="311">
        <v>18477</v>
      </c>
      <c r="H560" s="31" t="s">
        <v>3215</v>
      </c>
      <c r="I560" s="31" t="s">
        <v>3960</v>
      </c>
      <c r="J560" s="31" t="s">
        <v>702</v>
      </c>
      <c r="K560" s="311">
        <v>16250</v>
      </c>
      <c r="L560"/>
      <c r="M560"/>
    </row>
    <row r="561" spans="1:13">
      <c r="A561" s="31" t="s">
        <v>3496</v>
      </c>
      <c r="B561" s="31" t="s">
        <v>4029</v>
      </c>
      <c r="C561" s="32">
        <v>2667532</v>
      </c>
      <c r="D561" s="31">
        <v>158238</v>
      </c>
      <c r="E561" s="311">
        <v>16917</v>
      </c>
      <c r="F561" s="311"/>
      <c r="G561" s="311">
        <v>18288</v>
      </c>
      <c r="H561" s="31" t="s">
        <v>3215</v>
      </c>
      <c r="I561" s="31" t="s">
        <v>4030</v>
      </c>
      <c r="J561" s="31" t="s">
        <v>702</v>
      </c>
      <c r="K561" s="311">
        <v>16573</v>
      </c>
      <c r="L561"/>
      <c r="M561"/>
    </row>
    <row r="562" spans="1:13">
      <c r="A562" s="31" t="s">
        <v>3496</v>
      </c>
      <c r="B562" s="31" t="s">
        <v>4029</v>
      </c>
      <c r="C562" s="32">
        <v>2727204</v>
      </c>
      <c r="D562" s="31">
        <v>191853</v>
      </c>
      <c r="E562" s="311">
        <v>17098</v>
      </c>
      <c r="F562" s="311"/>
      <c r="G562" s="311">
        <v>18974</v>
      </c>
      <c r="H562" s="31" t="s">
        <v>3215</v>
      </c>
      <c r="I562" s="31" t="s">
        <v>4031</v>
      </c>
      <c r="J562" s="31" t="s">
        <v>702</v>
      </c>
      <c r="K562" s="311">
        <v>16736</v>
      </c>
      <c r="L562"/>
      <c r="M562"/>
    </row>
    <row r="563" spans="1:13">
      <c r="A563" s="31" t="s">
        <v>3496</v>
      </c>
      <c r="B563" s="31" t="s">
        <v>4029</v>
      </c>
      <c r="C563" s="32">
        <v>2675505</v>
      </c>
      <c r="D563" s="31">
        <v>194962</v>
      </c>
      <c r="E563" s="311">
        <v>17115</v>
      </c>
      <c r="F563" s="311"/>
      <c r="G563" s="311">
        <v>18365</v>
      </c>
      <c r="H563" s="31" t="s">
        <v>3215</v>
      </c>
      <c r="I563" s="31" t="s">
        <v>3955</v>
      </c>
      <c r="J563" s="31" t="s">
        <v>702</v>
      </c>
      <c r="K563" s="311">
        <v>16772</v>
      </c>
      <c r="L563"/>
      <c r="M563"/>
    </row>
    <row r="564" spans="1:13">
      <c r="A564" s="31" t="s">
        <v>3496</v>
      </c>
      <c r="B564" s="31" t="s">
        <v>4029</v>
      </c>
      <c r="C564" s="31">
        <v>2661427</v>
      </c>
      <c r="D564" s="31">
        <v>198053</v>
      </c>
      <c r="E564" s="311">
        <v>17134</v>
      </c>
      <c r="F564" s="311"/>
      <c r="G564" s="311">
        <v>18232</v>
      </c>
      <c r="H564" s="31" t="s">
        <v>3215</v>
      </c>
      <c r="I564" s="31" t="s">
        <v>3776</v>
      </c>
      <c r="J564" s="31" t="s">
        <v>702</v>
      </c>
      <c r="K564" s="311">
        <v>16855</v>
      </c>
      <c r="L564"/>
      <c r="M564"/>
    </row>
    <row r="565" spans="1:13">
      <c r="A565" s="31" t="s">
        <v>3496</v>
      </c>
      <c r="B565" s="31" t="s">
        <v>4029</v>
      </c>
      <c r="C565" s="32">
        <v>2653342</v>
      </c>
      <c r="D565" s="31">
        <v>209998</v>
      </c>
      <c r="E565" s="311">
        <v>17205</v>
      </c>
      <c r="F565" s="311"/>
      <c r="G565" s="311">
        <v>18169</v>
      </c>
      <c r="H565" s="31" t="s">
        <v>3215</v>
      </c>
      <c r="I565" s="31" t="s">
        <v>3956</v>
      </c>
      <c r="J565" s="31" t="s">
        <v>2781</v>
      </c>
      <c r="K565" s="311">
        <v>16848</v>
      </c>
      <c r="L565"/>
      <c r="M565"/>
    </row>
    <row r="566" spans="1:13">
      <c r="A566" s="31" t="s">
        <v>3496</v>
      </c>
      <c r="B566" s="31" t="s">
        <v>4029</v>
      </c>
      <c r="C566" s="32">
        <v>2667544</v>
      </c>
      <c r="D566" s="31">
        <v>218729</v>
      </c>
      <c r="E566" s="311">
        <v>17258</v>
      </c>
      <c r="F566" s="311"/>
      <c r="G566" s="311">
        <v>18288</v>
      </c>
      <c r="H566" s="31" t="s">
        <v>3215</v>
      </c>
      <c r="I566" s="31" t="s">
        <v>3522</v>
      </c>
      <c r="J566" s="31"/>
      <c r="K566" s="311"/>
      <c r="L566"/>
      <c r="M566"/>
    </row>
    <row r="567" spans="1:13">
      <c r="A567" s="31" t="s">
        <v>3496</v>
      </c>
      <c r="B567" s="31" t="s">
        <v>4029</v>
      </c>
      <c r="C567" s="32">
        <v>2755355</v>
      </c>
      <c r="D567" s="31">
        <v>225689</v>
      </c>
      <c r="E567" s="311">
        <v>17297</v>
      </c>
      <c r="F567" s="311"/>
      <c r="G567" s="311">
        <v>19191</v>
      </c>
      <c r="H567" s="31" t="s">
        <v>3215</v>
      </c>
      <c r="I567" s="31" t="s">
        <v>3957</v>
      </c>
      <c r="J567" s="31"/>
      <c r="K567" s="311"/>
      <c r="L567"/>
      <c r="M567"/>
    </row>
    <row r="568" spans="1:13">
      <c r="A568" s="31" t="s">
        <v>3496</v>
      </c>
      <c r="B568" s="31" t="s">
        <v>4029</v>
      </c>
      <c r="C568" s="32">
        <v>2656494</v>
      </c>
      <c r="D568" s="31">
        <v>232496</v>
      </c>
      <c r="E568" s="311">
        <v>17337</v>
      </c>
      <c r="F568" s="311"/>
      <c r="G568" s="311">
        <v>18190</v>
      </c>
      <c r="H568" s="31" t="s">
        <v>3215</v>
      </c>
      <c r="I568" s="31" t="s">
        <v>3809</v>
      </c>
      <c r="J568" s="31" t="s">
        <v>2781</v>
      </c>
      <c r="K568" s="311">
        <v>17119</v>
      </c>
      <c r="L568"/>
      <c r="M568"/>
    </row>
    <row r="569" spans="1:13">
      <c r="A569" s="31" t="s">
        <v>3496</v>
      </c>
      <c r="B569" s="31" t="s">
        <v>4029</v>
      </c>
      <c r="C569" s="31">
        <v>2730574</v>
      </c>
      <c r="D569" s="31">
        <v>243062</v>
      </c>
      <c r="E569" s="311">
        <v>17400</v>
      </c>
      <c r="F569" s="311"/>
      <c r="G569" s="311">
        <v>19002</v>
      </c>
      <c r="H569" s="31" t="s">
        <v>3215</v>
      </c>
      <c r="I569" s="31" t="s">
        <v>3810</v>
      </c>
      <c r="J569" s="31"/>
      <c r="K569" s="311"/>
      <c r="L569"/>
      <c r="M569"/>
    </row>
    <row r="570" spans="1:13">
      <c r="A570" s="31" t="s">
        <v>3496</v>
      </c>
      <c r="B570" s="31" t="s">
        <v>4029</v>
      </c>
      <c r="C570" s="31">
        <v>2734096</v>
      </c>
      <c r="D570" s="31">
        <v>255605</v>
      </c>
      <c r="E570" s="311">
        <v>17479</v>
      </c>
      <c r="F570" s="311"/>
      <c r="G570" s="311">
        <v>19030</v>
      </c>
      <c r="H570" s="31" t="s">
        <v>3215</v>
      </c>
      <c r="I570" s="31" t="s">
        <v>3811</v>
      </c>
      <c r="J570" s="31"/>
      <c r="K570" s="311"/>
      <c r="L570"/>
      <c r="M570"/>
    </row>
    <row r="571" spans="1:13">
      <c r="A571" s="31" t="s">
        <v>3496</v>
      </c>
      <c r="B571" s="31" t="s">
        <v>4029</v>
      </c>
      <c r="C571" s="32">
        <v>2717326</v>
      </c>
      <c r="D571" s="31">
        <v>261650</v>
      </c>
      <c r="E571" s="311">
        <v>17514</v>
      </c>
      <c r="F571" s="311"/>
      <c r="G571" s="311">
        <v>18876</v>
      </c>
      <c r="H571" s="31" t="s">
        <v>3215</v>
      </c>
      <c r="I571" s="382" t="s">
        <v>3660</v>
      </c>
      <c r="J571" s="382"/>
      <c r="K571" s="311"/>
      <c r="L571"/>
      <c r="M571"/>
    </row>
    <row r="572" spans="1:13">
      <c r="A572" s="31" t="s">
        <v>3496</v>
      </c>
      <c r="B572" s="31" t="s">
        <v>4029</v>
      </c>
      <c r="C572" s="32">
        <v>2669126</v>
      </c>
      <c r="D572" s="31">
        <v>266302</v>
      </c>
      <c r="E572" s="311">
        <v>17545</v>
      </c>
      <c r="F572" s="311"/>
      <c r="G572" s="311">
        <v>18309</v>
      </c>
      <c r="H572" s="31" t="s">
        <v>3215</v>
      </c>
      <c r="I572" s="382" t="s">
        <v>3812</v>
      </c>
      <c r="J572" s="382"/>
      <c r="K572" s="382"/>
      <c r="L572" s="382"/>
      <c r="M572" s="382"/>
    </row>
    <row r="573" spans="1:13">
      <c r="A573" s="31" t="s">
        <v>3496</v>
      </c>
      <c r="B573" s="31" t="s">
        <v>4029</v>
      </c>
      <c r="C573" s="32">
        <v>2679608</v>
      </c>
      <c r="D573" s="31">
        <v>269771</v>
      </c>
      <c r="E573" s="311">
        <v>17566</v>
      </c>
      <c r="F573" s="311"/>
      <c r="G573" s="311">
        <v>18407</v>
      </c>
      <c r="H573" s="31" t="s">
        <v>3215</v>
      </c>
      <c r="I573" s="31" t="s">
        <v>3813</v>
      </c>
      <c r="J573" s="31" t="s">
        <v>702</v>
      </c>
      <c r="K573" s="311">
        <v>17210</v>
      </c>
      <c r="L573"/>
      <c r="M573"/>
    </row>
    <row r="574" spans="1:13">
      <c r="A574" s="286" t="s">
        <v>3496</v>
      </c>
      <c r="B574" s="286" t="s">
        <v>4029</v>
      </c>
      <c r="C574" s="286"/>
      <c r="D574" s="286">
        <v>276794</v>
      </c>
      <c r="E574" s="312"/>
      <c r="F574" s="312"/>
      <c r="G574" s="312"/>
      <c r="H574" s="286"/>
      <c r="I574" s="286"/>
      <c r="J574" s="286"/>
      <c r="K574" s="312"/>
      <c r="L574"/>
      <c r="M574"/>
    </row>
    <row r="575" spans="1:13">
      <c r="A575" s="31" t="s">
        <v>3496</v>
      </c>
      <c r="B575" s="31" t="s">
        <v>4029</v>
      </c>
      <c r="C575" s="32">
        <v>2679015</v>
      </c>
      <c r="D575" s="31">
        <v>283410</v>
      </c>
      <c r="E575" s="311">
        <v>17643</v>
      </c>
      <c r="F575" s="311"/>
      <c r="G575" s="311">
        <v>18400</v>
      </c>
      <c r="H575" s="31" t="s">
        <v>3215</v>
      </c>
      <c r="I575" s="31" t="s">
        <v>3814</v>
      </c>
      <c r="J575" s="31"/>
      <c r="K575" s="311"/>
      <c r="L575"/>
      <c r="M575"/>
    </row>
    <row r="576" spans="1:13">
      <c r="A576" s="286" t="s">
        <v>3496</v>
      </c>
      <c r="B576" s="286" t="s">
        <v>4029</v>
      </c>
      <c r="C576" s="313">
        <v>2304843</v>
      </c>
      <c r="D576" s="286">
        <v>305182</v>
      </c>
      <c r="E576" s="312"/>
      <c r="F576" s="312"/>
      <c r="G576" s="312"/>
      <c r="H576" s="286"/>
      <c r="I576" s="286"/>
      <c r="J576" s="286"/>
      <c r="K576" s="312"/>
      <c r="L576"/>
      <c r="M576"/>
    </row>
    <row r="577" spans="1:13">
      <c r="A577" s="31" t="s">
        <v>3496</v>
      </c>
      <c r="B577" s="31" t="s">
        <v>4029</v>
      </c>
      <c r="C577" s="31">
        <v>2689311</v>
      </c>
      <c r="D577" s="31">
        <v>309605</v>
      </c>
      <c r="E577" s="311">
        <v>17790</v>
      </c>
      <c r="F577" s="311"/>
      <c r="G577" s="311">
        <v>18519</v>
      </c>
      <c r="H577" s="31" t="s">
        <v>4026</v>
      </c>
      <c r="I577" s="31" t="s">
        <v>3815</v>
      </c>
      <c r="J577" s="31" t="s">
        <v>702</v>
      </c>
      <c r="K577" s="311">
        <v>17423</v>
      </c>
      <c r="L577"/>
      <c r="M577"/>
    </row>
    <row r="578" spans="1:13">
      <c r="A578" s="31" t="s">
        <v>3496</v>
      </c>
      <c r="B578" s="31" t="s">
        <v>4029</v>
      </c>
      <c r="C578" s="31">
        <v>2703876</v>
      </c>
      <c r="D578" s="31">
        <v>311458</v>
      </c>
      <c r="E578" s="311">
        <v>17800</v>
      </c>
      <c r="F578" s="311"/>
      <c r="G578" s="311">
        <v>18694</v>
      </c>
      <c r="H578" s="382" t="s">
        <v>4026</v>
      </c>
      <c r="I578" s="382"/>
      <c r="J578" s="382" t="s">
        <v>3958</v>
      </c>
      <c r="K578" s="382"/>
      <c r="L578" s="382"/>
      <c r="M578"/>
    </row>
    <row r="579" spans="1:13">
      <c r="A579" s="31" t="s">
        <v>3496</v>
      </c>
      <c r="B579" s="31" t="s">
        <v>4029</v>
      </c>
      <c r="C579" s="31">
        <v>2777108</v>
      </c>
      <c r="D579" s="31">
        <v>315468</v>
      </c>
      <c r="E579" s="311">
        <v>17823</v>
      </c>
      <c r="F579" s="311"/>
      <c r="G579" s="311">
        <v>19366</v>
      </c>
      <c r="H579" s="31" t="s">
        <v>4026</v>
      </c>
      <c r="I579" s="31" t="s">
        <v>3959</v>
      </c>
      <c r="J579" s="31" t="s">
        <v>702</v>
      </c>
      <c r="K579" s="311">
        <v>17482</v>
      </c>
      <c r="L579"/>
      <c r="M579"/>
    </row>
    <row r="580" spans="1:13">
      <c r="A580" s="31" t="s">
        <v>3496</v>
      </c>
      <c r="B580" s="31" t="s">
        <v>4029</v>
      </c>
      <c r="C580" s="31">
        <v>2682168</v>
      </c>
      <c r="D580" s="31">
        <v>316006</v>
      </c>
      <c r="E580" s="311">
        <v>17826</v>
      </c>
      <c r="F580" s="311"/>
      <c r="G580" s="311">
        <v>18442</v>
      </c>
      <c r="H580" s="382" t="s">
        <v>4026</v>
      </c>
      <c r="I580" s="382"/>
      <c r="J580" s="31"/>
      <c r="K580" s="311"/>
      <c r="L580"/>
      <c r="M580"/>
    </row>
    <row r="581" spans="1:13">
      <c r="A581" s="286" t="s">
        <v>3496</v>
      </c>
      <c r="B581" s="286" t="s">
        <v>4029</v>
      </c>
      <c r="C581" s="286"/>
      <c r="D581" s="286">
        <v>319429</v>
      </c>
      <c r="E581" s="312"/>
      <c r="F581" s="312"/>
      <c r="G581" s="312"/>
      <c r="H581" s="286"/>
      <c r="I581" s="286"/>
      <c r="J581" s="286"/>
      <c r="K581" s="312"/>
      <c r="L581"/>
      <c r="M581"/>
    </row>
    <row r="582" spans="1:13">
      <c r="A582" s="31" t="s">
        <v>3496</v>
      </c>
      <c r="B582" s="31" t="s">
        <v>4029</v>
      </c>
      <c r="C582" s="31">
        <v>2750454</v>
      </c>
      <c r="D582" s="31">
        <v>326389</v>
      </c>
      <c r="E582" s="311">
        <v>17883</v>
      </c>
      <c r="F582" s="311"/>
      <c r="G582" s="311">
        <v>19156</v>
      </c>
      <c r="H582" s="31" t="s">
        <v>4026</v>
      </c>
      <c r="I582" s="31" t="s">
        <v>3815</v>
      </c>
      <c r="J582" s="31" t="s">
        <v>702</v>
      </c>
      <c r="K582" s="311">
        <v>17520</v>
      </c>
      <c r="L582"/>
      <c r="M582"/>
    </row>
    <row r="583" spans="1:13">
      <c r="A583" s="31" t="s">
        <v>3496</v>
      </c>
      <c r="B583" s="31" t="s">
        <v>4029</v>
      </c>
      <c r="C583" s="31">
        <v>2769962</v>
      </c>
      <c r="D583" s="31">
        <v>365508</v>
      </c>
      <c r="E583" s="311">
        <v>18079</v>
      </c>
      <c r="F583" s="311"/>
      <c r="G583" s="311">
        <v>19303</v>
      </c>
      <c r="H583" s="31" t="s">
        <v>4026</v>
      </c>
      <c r="I583" s="31" t="s">
        <v>3815</v>
      </c>
      <c r="J583" s="31" t="s">
        <v>702</v>
      </c>
      <c r="K583" s="311">
        <v>17766</v>
      </c>
      <c r="L583"/>
      <c r="M583"/>
    </row>
    <row r="584" spans="1:13">
      <c r="A584" s="286" t="s">
        <v>3496</v>
      </c>
      <c r="B584" s="286" t="s">
        <v>4029</v>
      </c>
      <c r="C584" s="286"/>
      <c r="D584" s="286">
        <v>271094</v>
      </c>
      <c r="E584" s="312"/>
      <c r="F584" s="312"/>
      <c r="G584" s="312"/>
      <c r="H584" s="286"/>
      <c r="I584" s="286"/>
      <c r="J584" s="286"/>
      <c r="K584" s="312"/>
      <c r="L584"/>
      <c r="M584"/>
    </row>
    <row r="585" spans="1:13">
      <c r="A585" s="31" t="s">
        <v>3496</v>
      </c>
      <c r="B585" s="31" t="s">
        <v>4029</v>
      </c>
      <c r="C585" s="31">
        <v>2691129</v>
      </c>
      <c r="D585" s="31">
        <v>279234</v>
      </c>
      <c r="E585" s="311">
        <v>17619</v>
      </c>
      <c r="F585" s="311"/>
      <c r="G585" s="311">
        <v>18540</v>
      </c>
      <c r="H585" s="31" t="s">
        <v>3818</v>
      </c>
      <c r="I585" s="31" t="s">
        <v>3819</v>
      </c>
      <c r="J585" s="31" t="s">
        <v>702</v>
      </c>
      <c r="K585" s="311">
        <v>17261</v>
      </c>
      <c r="L585"/>
      <c r="M585"/>
    </row>
    <row r="586" spans="1:13">
      <c r="A586" s="31" t="s">
        <v>3496</v>
      </c>
      <c r="B586" s="31" t="s">
        <v>4029</v>
      </c>
      <c r="C586" s="31">
        <v>2720598</v>
      </c>
      <c r="D586" s="31">
        <v>279235</v>
      </c>
      <c r="E586" s="311">
        <v>17619</v>
      </c>
      <c r="F586" s="311"/>
      <c r="G586" s="311">
        <v>18911</v>
      </c>
      <c r="H586" s="31" t="s">
        <v>3818</v>
      </c>
      <c r="I586" s="31" t="s">
        <v>3819</v>
      </c>
      <c r="J586" s="31" t="s">
        <v>702</v>
      </c>
      <c r="K586" s="311">
        <v>17262</v>
      </c>
      <c r="L586"/>
      <c r="M586"/>
    </row>
    <row r="587" spans="1:13">
      <c r="A587" s="31" t="s">
        <v>3496</v>
      </c>
      <c r="B587" s="31" t="s">
        <v>4029</v>
      </c>
      <c r="C587" s="31">
        <v>2775865</v>
      </c>
      <c r="D587" s="31">
        <v>291618</v>
      </c>
      <c r="E587" s="311">
        <v>17687</v>
      </c>
      <c r="F587" s="311"/>
      <c r="G587" s="311">
        <v>19359</v>
      </c>
      <c r="H587" s="31" t="s">
        <v>4026</v>
      </c>
      <c r="I587" s="31" t="s">
        <v>3820</v>
      </c>
      <c r="J587" s="31" t="s">
        <v>702</v>
      </c>
      <c r="K587" s="311">
        <v>17324</v>
      </c>
      <c r="L587"/>
      <c r="M587"/>
    </row>
    <row r="588" spans="1:13">
      <c r="A588" s="31" t="s">
        <v>3496</v>
      </c>
      <c r="B588" s="31" t="s">
        <v>4029</v>
      </c>
      <c r="C588" s="31">
        <v>2838711</v>
      </c>
      <c r="D588" s="31">
        <v>299616</v>
      </c>
      <c r="E588" s="311">
        <v>17731</v>
      </c>
      <c r="F588" s="311"/>
      <c r="G588" s="311">
        <v>19884</v>
      </c>
      <c r="H588" s="31" t="s">
        <v>3821</v>
      </c>
      <c r="I588" s="31" t="s">
        <v>3827</v>
      </c>
      <c r="J588" s="31" t="s">
        <v>702</v>
      </c>
      <c r="K588" s="311">
        <v>17374</v>
      </c>
      <c r="L588"/>
      <c r="M588"/>
    </row>
    <row r="589" spans="1:13">
      <c r="A589" s="31" t="s">
        <v>3496</v>
      </c>
      <c r="B589" s="31" t="s">
        <v>4029</v>
      </c>
      <c r="C589" s="31">
        <v>2702004</v>
      </c>
      <c r="D589" s="31">
        <v>299944</v>
      </c>
      <c r="E589" s="311">
        <v>17734</v>
      </c>
      <c r="F589" s="311"/>
      <c r="G589" s="311">
        <v>18673</v>
      </c>
      <c r="H589" s="31" t="s">
        <v>4026</v>
      </c>
      <c r="I589" s="382" t="s">
        <v>3828</v>
      </c>
      <c r="J589" s="382"/>
      <c r="K589" s="311"/>
      <c r="L589"/>
      <c r="M589"/>
    </row>
    <row r="590" spans="1:13">
      <c r="A590" s="286" t="s">
        <v>3496</v>
      </c>
      <c r="B590" s="286" t="s">
        <v>4029</v>
      </c>
      <c r="C590" s="286"/>
      <c r="D590" s="286">
        <v>309372</v>
      </c>
      <c r="E590" s="312"/>
      <c r="F590" s="312"/>
      <c r="G590" s="312"/>
      <c r="H590" s="286"/>
      <c r="I590" s="286"/>
      <c r="J590" s="286"/>
      <c r="K590" s="312"/>
      <c r="L590"/>
      <c r="M590"/>
    </row>
    <row r="591" spans="1:13">
      <c r="A591" s="286" t="s">
        <v>3496</v>
      </c>
      <c r="B591" s="286" t="s">
        <v>4029</v>
      </c>
      <c r="C591" s="286"/>
      <c r="D591" s="286">
        <v>318505</v>
      </c>
      <c r="E591" s="312"/>
      <c r="F591" s="312"/>
      <c r="G591" s="312"/>
      <c r="H591" s="286"/>
      <c r="I591" s="286"/>
      <c r="J591" s="286"/>
      <c r="K591" s="312"/>
      <c r="L591"/>
      <c r="M591"/>
    </row>
    <row r="592" spans="1:13">
      <c r="A592" s="31" t="s">
        <v>3496</v>
      </c>
      <c r="B592" s="31" t="s">
        <v>4029</v>
      </c>
      <c r="C592" s="31">
        <v>2689023</v>
      </c>
      <c r="D592" s="31">
        <v>318602</v>
      </c>
      <c r="E592" s="311">
        <v>17840</v>
      </c>
      <c r="F592" s="311"/>
      <c r="G592" s="311">
        <v>18519</v>
      </c>
      <c r="H592" s="31" t="s">
        <v>3821</v>
      </c>
      <c r="I592" s="382" t="s">
        <v>3829</v>
      </c>
      <c r="J592" s="382"/>
      <c r="K592" s="382"/>
      <c r="L592"/>
      <c r="M592"/>
    </row>
    <row r="593" spans="1:13">
      <c r="A593" s="31" t="s">
        <v>3496</v>
      </c>
      <c r="B593" s="31" t="s">
        <v>4029</v>
      </c>
      <c r="C593" s="31">
        <v>2727161</v>
      </c>
      <c r="D593" s="31">
        <v>324936</v>
      </c>
      <c r="E593" s="311">
        <v>17875</v>
      </c>
      <c r="F593" s="311"/>
      <c r="G593" s="311">
        <v>18974</v>
      </c>
      <c r="H593" s="31" t="s">
        <v>3821</v>
      </c>
      <c r="I593" s="31" t="s">
        <v>3838</v>
      </c>
      <c r="J593" s="31" t="s">
        <v>702</v>
      </c>
      <c r="K593" s="311">
        <v>17512</v>
      </c>
      <c r="L593"/>
      <c r="M593"/>
    </row>
    <row r="594" spans="1:13">
      <c r="A594" s="31" t="s">
        <v>3496</v>
      </c>
      <c r="B594" s="31" t="s">
        <v>4029</v>
      </c>
      <c r="C594" s="31">
        <v>2749457</v>
      </c>
      <c r="D594" s="31">
        <v>331208</v>
      </c>
      <c r="E594" s="311">
        <v>17911</v>
      </c>
      <c r="F594" s="311"/>
      <c r="G594" s="311">
        <v>19149</v>
      </c>
      <c r="H594" s="31" t="s">
        <v>3821</v>
      </c>
      <c r="I594" s="31" t="s">
        <v>3839</v>
      </c>
      <c r="J594" s="31"/>
      <c r="K594" s="311"/>
      <c r="L594"/>
      <c r="M594"/>
    </row>
    <row r="595" spans="1:13">
      <c r="A595" s="31" t="s">
        <v>3496</v>
      </c>
      <c r="B595" s="31" t="s">
        <v>4029</v>
      </c>
      <c r="C595" s="31">
        <v>2778959</v>
      </c>
      <c r="D595" s="31">
        <v>331209</v>
      </c>
      <c r="E595" s="311">
        <v>18458</v>
      </c>
      <c r="F595" s="311"/>
      <c r="G595" s="311">
        <v>19380</v>
      </c>
      <c r="H595" s="31" t="s">
        <v>3821</v>
      </c>
      <c r="I595" s="31" t="s">
        <v>3839</v>
      </c>
      <c r="J595" s="31" t="s">
        <v>702</v>
      </c>
      <c r="K595" s="311">
        <v>18100</v>
      </c>
      <c r="L595"/>
      <c r="M595"/>
    </row>
    <row r="596" spans="1:13">
      <c r="A596" s="286" t="s">
        <v>3496</v>
      </c>
      <c r="B596" s="286" t="s">
        <v>4029</v>
      </c>
      <c r="C596" s="286"/>
      <c r="D596" s="286">
        <v>341466</v>
      </c>
      <c r="E596" s="312"/>
      <c r="F596" s="312"/>
      <c r="G596" s="312"/>
      <c r="H596" s="286"/>
      <c r="I596" s="286"/>
      <c r="J596" s="286"/>
      <c r="K596" s="312"/>
      <c r="L596"/>
      <c r="M596"/>
    </row>
    <row r="597" spans="1:13">
      <c r="A597" s="31" t="s">
        <v>3496</v>
      </c>
      <c r="B597" s="31" t="s">
        <v>4029</v>
      </c>
      <c r="C597" s="31">
        <v>2757758</v>
      </c>
      <c r="D597" s="31">
        <v>347874</v>
      </c>
      <c r="E597" s="311">
        <v>17997</v>
      </c>
      <c r="F597" s="311"/>
      <c r="G597" s="311">
        <v>19212</v>
      </c>
      <c r="H597" s="31" t="s">
        <v>3845</v>
      </c>
      <c r="I597" s="31" t="s">
        <v>3846</v>
      </c>
      <c r="J597" s="31" t="s">
        <v>702</v>
      </c>
      <c r="K597" s="311">
        <v>17640</v>
      </c>
      <c r="L597"/>
      <c r="M597"/>
    </row>
    <row r="598" spans="1:13">
      <c r="A598" s="31" t="s">
        <v>3496</v>
      </c>
      <c r="B598" s="31" t="s">
        <v>4029</v>
      </c>
      <c r="C598" s="31">
        <v>2859339</v>
      </c>
      <c r="D598" s="31">
        <v>349901</v>
      </c>
      <c r="E598" s="311">
        <v>18007</v>
      </c>
      <c r="F598" s="311"/>
      <c r="G598" s="311">
        <v>20031</v>
      </c>
      <c r="H598" s="31" t="s">
        <v>4026</v>
      </c>
      <c r="I598" s="31" t="s">
        <v>3853</v>
      </c>
      <c r="J598" s="31" t="s">
        <v>702</v>
      </c>
      <c r="K598" s="311">
        <v>17658</v>
      </c>
      <c r="L598"/>
      <c r="M598"/>
    </row>
    <row r="599" spans="1:13">
      <c r="A599" s="286" t="s">
        <v>3496</v>
      </c>
      <c r="B599" s="286" t="s">
        <v>4029</v>
      </c>
      <c r="C599" s="286"/>
      <c r="D599" s="286">
        <v>353217</v>
      </c>
      <c r="E599" s="312"/>
      <c r="F599" s="312"/>
      <c r="G599" s="312"/>
      <c r="H599" s="286"/>
      <c r="I599" s="286"/>
      <c r="J599" s="286"/>
      <c r="K599" s="312"/>
      <c r="L599"/>
      <c r="M599"/>
    </row>
    <row r="600" spans="1:13">
      <c r="A600" s="286" t="s">
        <v>3496</v>
      </c>
      <c r="B600" s="286" t="s">
        <v>4029</v>
      </c>
      <c r="C600" s="286"/>
      <c r="D600" s="286">
        <v>354942</v>
      </c>
      <c r="E600" s="312"/>
      <c r="F600" s="312"/>
      <c r="G600" s="312"/>
      <c r="H600" s="286"/>
      <c r="I600" s="286"/>
      <c r="J600" s="286"/>
      <c r="K600" s="312"/>
      <c r="L600"/>
      <c r="M600"/>
    </row>
    <row r="601" spans="1:13">
      <c r="A601" s="31" t="s">
        <v>3496</v>
      </c>
      <c r="B601" s="31" t="s">
        <v>4029</v>
      </c>
      <c r="C601" s="31">
        <v>2752019</v>
      </c>
      <c r="D601" s="31">
        <v>358257</v>
      </c>
      <c r="E601" s="311">
        <v>18136</v>
      </c>
      <c r="F601" s="311"/>
      <c r="G601" s="311">
        <v>19170</v>
      </c>
      <c r="H601" s="382" t="s">
        <v>3821</v>
      </c>
      <c r="I601" s="382"/>
      <c r="J601" s="31" t="s">
        <v>702</v>
      </c>
      <c r="K601" s="311">
        <v>18136</v>
      </c>
      <c r="L601"/>
      <c r="M601"/>
    </row>
    <row r="602" spans="1:13">
      <c r="A602" s="31" t="s">
        <v>3496</v>
      </c>
      <c r="B602" s="31" t="s">
        <v>4029</v>
      </c>
      <c r="C602" s="31">
        <v>2761081</v>
      </c>
      <c r="D602" s="31">
        <v>358696</v>
      </c>
      <c r="E602" s="311">
        <v>18049</v>
      </c>
      <c r="F602" s="311"/>
      <c r="G602" s="311">
        <v>19233</v>
      </c>
      <c r="H602" s="382" t="s">
        <v>4026</v>
      </c>
      <c r="I602" s="382"/>
      <c r="J602" s="31" t="s">
        <v>702</v>
      </c>
      <c r="K602" s="311">
        <v>17703</v>
      </c>
      <c r="L602"/>
      <c r="M602"/>
    </row>
    <row r="603" spans="1:13">
      <c r="A603" s="286" t="s">
        <v>3496</v>
      </c>
      <c r="B603" s="286" t="s">
        <v>4029</v>
      </c>
      <c r="C603" s="286"/>
      <c r="D603" s="286">
        <v>360427</v>
      </c>
      <c r="E603" s="312"/>
      <c r="F603" s="312"/>
      <c r="G603" s="312"/>
      <c r="H603" s="286"/>
      <c r="I603" s="286"/>
      <c r="J603" s="286"/>
      <c r="K603" s="312"/>
      <c r="L603"/>
      <c r="M603"/>
    </row>
    <row r="604" spans="1:13">
      <c r="A604" s="286" t="s">
        <v>3496</v>
      </c>
      <c r="B604" s="286" t="s">
        <v>4029</v>
      </c>
      <c r="C604" s="286"/>
      <c r="D604" s="286">
        <v>362110</v>
      </c>
      <c r="E604" s="312"/>
      <c r="F604" s="312"/>
      <c r="G604" s="312"/>
      <c r="H604" s="286"/>
      <c r="I604" s="286"/>
      <c r="J604" s="286"/>
      <c r="K604" s="312"/>
      <c r="L604"/>
      <c r="M604"/>
    </row>
    <row r="605" spans="1:13">
      <c r="A605" s="286" t="s">
        <v>3496</v>
      </c>
      <c r="B605" s="286" t="s">
        <v>4029</v>
      </c>
      <c r="C605" s="286"/>
      <c r="D605" s="286">
        <v>362707</v>
      </c>
      <c r="E605" s="312"/>
      <c r="F605" s="312"/>
      <c r="G605" s="312"/>
      <c r="H605" s="286"/>
      <c r="I605" s="286"/>
      <c r="J605" s="286"/>
      <c r="K605" s="312"/>
      <c r="L605"/>
      <c r="M605"/>
    </row>
    <row r="606" spans="1:13">
      <c r="A606" s="286" t="s">
        <v>3496</v>
      </c>
      <c r="B606" s="286" t="s">
        <v>4029</v>
      </c>
      <c r="C606" s="286"/>
      <c r="D606" s="286">
        <v>370080</v>
      </c>
      <c r="E606" s="312"/>
      <c r="F606" s="312"/>
      <c r="G606" s="312"/>
      <c r="H606" s="286"/>
      <c r="I606" s="286"/>
      <c r="J606" s="286"/>
      <c r="K606" s="312"/>
      <c r="L606"/>
      <c r="M606"/>
    </row>
    <row r="607" spans="1:13">
      <c r="A607" s="31" t="s">
        <v>3496</v>
      </c>
      <c r="B607" s="31" t="s">
        <v>4029</v>
      </c>
      <c r="C607" s="31">
        <v>2785364</v>
      </c>
      <c r="D607" s="31">
        <v>372060</v>
      </c>
      <c r="E607" s="311">
        <v>18112</v>
      </c>
      <c r="F607" s="311"/>
      <c r="G607" s="311">
        <v>19429</v>
      </c>
      <c r="H607" s="31" t="s">
        <v>4026</v>
      </c>
      <c r="I607" s="31" t="s">
        <v>3854</v>
      </c>
      <c r="J607" s="31" t="s">
        <v>702</v>
      </c>
      <c r="K607" s="311">
        <v>17749</v>
      </c>
      <c r="L607"/>
      <c r="M607"/>
    </row>
    <row r="608" spans="1:13">
      <c r="A608" s="31" t="s">
        <v>3496</v>
      </c>
      <c r="B608" s="31" t="s">
        <v>4029</v>
      </c>
      <c r="C608" s="31">
        <v>2736828</v>
      </c>
      <c r="D608" s="31">
        <v>372061</v>
      </c>
      <c r="E608" s="311">
        <v>18112</v>
      </c>
      <c r="F608" s="311"/>
      <c r="G608" s="311">
        <v>19051</v>
      </c>
      <c r="H608" s="31" t="s">
        <v>4026</v>
      </c>
      <c r="I608" s="31" t="s">
        <v>3855</v>
      </c>
      <c r="J608" s="31" t="s">
        <v>702</v>
      </c>
      <c r="K608" s="311">
        <v>17784</v>
      </c>
      <c r="L608"/>
      <c r="M608"/>
    </row>
    <row r="611" spans="1:1">
      <c r="A611" s="47" t="s">
        <v>1977</v>
      </c>
    </row>
    <row r="612" spans="1:1">
      <c r="A612" s="83" t="s">
        <v>2423</v>
      </c>
    </row>
    <row r="614" spans="1:1">
      <c r="A614" s="123" t="s">
        <v>2499</v>
      </c>
    </row>
    <row r="615" spans="1:1">
      <c r="A615" s="123" t="s">
        <v>2513</v>
      </c>
    </row>
    <row r="616" spans="1:1">
      <c r="A616" s="123" t="s">
        <v>2514</v>
      </c>
    </row>
    <row r="617" spans="1:1">
      <c r="A617" s="123" t="s">
        <v>2619</v>
      </c>
    </row>
    <row r="618" spans="1:1">
      <c r="A618" s="123" t="s">
        <v>1368</v>
      </c>
    </row>
    <row r="619" spans="1:1">
      <c r="A619" s="123" t="s">
        <v>1369</v>
      </c>
    </row>
    <row r="620" spans="1:1">
      <c r="A620" s="123" t="s">
        <v>1370</v>
      </c>
    </row>
    <row r="621" spans="1:1">
      <c r="A621" s="123" t="s">
        <v>2510</v>
      </c>
    </row>
    <row r="622" spans="1:1">
      <c r="A622" s="123" t="s">
        <v>2515</v>
      </c>
    </row>
    <row r="623" spans="1:1">
      <c r="A623" s="123" t="s">
        <v>1376</v>
      </c>
    </row>
    <row r="624" spans="1:1">
      <c r="A624" s="123" t="s">
        <v>2512</v>
      </c>
    </row>
    <row r="625" spans="1:2">
      <c r="A625" s="123"/>
    </row>
    <row r="626" spans="1:2">
      <c r="A626" s="47" t="s">
        <v>1407</v>
      </c>
    </row>
    <row r="627" spans="1:2">
      <c r="A627" s="123" t="s">
        <v>2505</v>
      </c>
    </row>
    <row r="628" spans="1:2">
      <c r="A628" s="123" t="s">
        <v>2516</v>
      </c>
    </row>
    <row r="629" spans="1:2">
      <c r="A629" s="123"/>
    </row>
    <row r="630" spans="1:2">
      <c r="A630" s="47" t="s">
        <v>2422</v>
      </c>
    </row>
    <row r="631" spans="1:2">
      <c r="A631" s="123" t="s">
        <v>2511</v>
      </c>
      <c r="B631" s="83">
        <v>1919</v>
      </c>
    </row>
    <row r="632" spans="1:2">
      <c r="A632" s="123" t="s">
        <v>2506</v>
      </c>
      <c r="B632" s="83">
        <v>1922</v>
      </c>
    </row>
    <row r="633" spans="1:2">
      <c r="A633" s="123" t="s">
        <v>2517</v>
      </c>
      <c r="B633" s="83">
        <v>1919</v>
      </c>
    </row>
    <row r="634" spans="1:2">
      <c r="A634" s="123" t="s">
        <v>2508</v>
      </c>
      <c r="B634" s="83">
        <v>1919</v>
      </c>
    </row>
    <row r="635" spans="1:2">
      <c r="A635" s="86" t="s">
        <v>2507</v>
      </c>
      <c r="B635" s="83">
        <v>1919</v>
      </c>
    </row>
    <row r="636" spans="1:2">
      <c r="A636" s="83" t="s">
        <v>2509</v>
      </c>
      <c r="B636" s="83">
        <v>1919</v>
      </c>
    </row>
    <row r="637" spans="1:2">
      <c r="A637" s="83" t="s">
        <v>2491</v>
      </c>
      <c r="B637" s="83">
        <v>1919</v>
      </c>
    </row>
    <row r="638" spans="1:2">
      <c r="A638" s="83" t="s">
        <v>2490</v>
      </c>
      <c r="B638" s="83">
        <v>1919</v>
      </c>
    </row>
    <row r="639" spans="1:2">
      <c r="A639" s="83" t="s">
        <v>2492</v>
      </c>
      <c r="B639" s="83">
        <v>1919</v>
      </c>
    </row>
    <row r="640" spans="1:2">
      <c r="A640" s="83" t="s">
        <v>2518</v>
      </c>
      <c r="B640" s="83">
        <v>1929</v>
      </c>
    </row>
    <row r="642" spans="1:2">
      <c r="A642" s="47" t="s">
        <v>2463</v>
      </c>
    </row>
    <row r="643" spans="1:2">
      <c r="A643" s="83" t="s">
        <v>2464</v>
      </c>
      <c r="B643" s="137" t="s">
        <v>2465</v>
      </c>
    </row>
  </sheetData>
  <mergeCells count="28">
    <mergeCell ref="L500:M500"/>
    <mergeCell ref="L323:M323"/>
    <mergeCell ref="L486:M486"/>
    <mergeCell ref="L490:M490"/>
    <mergeCell ref="L492:M492"/>
    <mergeCell ref="L493:M493"/>
    <mergeCell ref="L534:M534"/>
    <mergeCell ref="L501:M501"/>
    <mergeCell ref="L502:M502"/>
    <mergeCell ref="L508:M508"/>
    <mergeCell ref="L509:M509"/>
    <mergeCell ref="L510:M510"/>
    <mergeCell ref="L512:M512"/>
    <mergeCell ref="L516:M516"/>
    <mergeCell ref="L523:M523"/>
    <mergeCell ref="L526:M526"/>
    <mergeCell ref="L527:M527"/>
    <mergeCell ref="L529:M529"/>
    <mergeCell ref="I589:J589"/>
    <mergeCell ref="I592:K592"/>
    <mergeCell ref="H601:I601"/>
    <mergeCell ref="H602:I602"/>
    <mergeCell ref="L540:M540"/>
    <mergeCell ref="I571:J571"/>
    <mergeCell ref="I572:M572"/>
    <mergeCell ref="H578:I578"/>
    <mergeCell ref="J578:L578"/>
    <mergeCell ref="H580:I580"/>
  </mergeCells>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182"/>
  <sheetViews>
    <sheetView topLeftCell="A53" workbookViewId="0">
      <selection activeCell="A89" sqref="A89:XFD182"/>
    </sheetView>
  </sheetViews>
  <sheetFormatPr baseColWidth="10" defaultRowHeight="13"/>
  <cols>
    <col min="1" max="3" width="10.7109375" style="127"/>
    <col min="4" max="4" width="8.7109375" style="83" customWidth="1"/>
    <col min="5" max="16384" width="10.7109375" style="83"/>
  </cols>
  <sheetData>
    <row r="1" spans="1:6" ht="39">
      <c r="A1" s="100" t="s">
        <v>1869</v>
      </c>
      <c r="B1" s="100" t="s">
        <v>2173</v>
      </c>
      <c r="C1" s="100" t="s">
        <v>1175</v>
      </c>
      <c r="D1" s="82" t="s">
        <v>2174</v>
      </c>
      <c r="E1" s="82" t="s">
        <v>2022</v>
      </c>
      <c r="F1" s="82" t="s">
        <v>2023</v>
      </c>
    </row>
    <row r="2" spans="1:6">
      <c r="A2" s="212" t="s">
        <v>1145</v>
      </c>
      <c r="B2" s="100"/>
      <c r="C2" s="100"/>
      <c r="D2" s="82"/>
      <c r="E2" s="82"/>
      <c r="F2" s="82"/>
    </row>
    <row r="3" spans="1:6">
      <c r="A3" s="127" t="s">
        <v>819</v>
      </c>
      <c r="B3" s="127">
        <v>1833025</v>
      </c>
      <c r="C3" s="139" t="s">
        <v>1312</v>
      </c>
      <c r="D3" s="85">
        <v>7151</v>
      </c>
      <c r="E3" s="85">
        <v>10189</v>
      </c>
      <c r="F3" s="83" t="s">
        <v>2158</v>
      </c>
    </row>
    <row r="4" spans="1:6">
      <c r="A4" s="127" t="s">
        <v>819</v>
      </c>
      <c r="B4" s="127">
        <v>1856863</v>
      </c>
      <c r="C4" s="139" t="s">
        <v>1312</v>
      </c>
      <c r="D4" s="85">
        <v>9114</v>
      </c>
      <c r="E4" s="85">
        <v>10350</v>
      </c>
      <c r="F4" s="83" t="s">
        <v>2034</v>
      </c>
    </row>
    <row r="5" spans="1:6">
      <c r="A5" s="127" t="s">
        <v>819</v>
      </c>
      <c r="B5" s="127">
        <v>1834128</v>
      </c>
      <c r="C5" s="139" t="s">
        <v>1312</v>
      </c>
      <c r="D5" s="85">
        <v>9129</v>
      </c>
      <c r="E5" s="85">
        <v>10196</v>
      </c>
      <c r="F5" s="83" t="s">
        <v>2158</v>
      </c>
    </row>
    <row r="6" spans="1:6">
      <c r="A6" s="127" t="s">
        <v>819</v>
      </c>
      <c r="B6" s="127">
        <v>1856874</v>
      </c>
      <c r="C6" s="139" t="s">
        <v>1312</v>
      </c>
      <c r="D6" s="85">
        <v>9531</v>
      </c>
      <c r="E6" s="85">
        <v>10350</v>
      </c>
      <c r="F6" s="83" t="s">
        <v>2182</v>
      </c>
    </row>
    <row r="7" spans="1:6">
      <c r="A7" s="127" t="s">
        <v>819</v>
      </c>
      <c r="B7" s="127">
        <v>1849072</v>
      </c>
      <c r="C7" s="139" t="s">
        <v>1312</v>
      </c>
      <c r="D7" s="85">
        <v>9650</v>
      </c>
      <c r="E7" s="85">
        <v>10301</v>
      </c>
      <c r="F7" s="88" t="s">
        <v>2034</v>
      </c>
    </row>
    <row r="8" spans="1:6">
      <c r="A8" s="127" t="s">
        <v>819</v>
      </c>
      <c r="B8" s="127">
        <v>1856890</v>
      </c>
      <c r="C8" s="139" t="s">
        <v>1312</v>
      </c>
      <c r="D8" s="85">
        <v>9828</v>
      </c>
      <c r="E8" s="85">
        <v>10350</v>
      </c>
      <c r="F8" s="83" t="s">
        <v>2183</v>
      </c>
    </row>
    <row r="9" spans="1:6">
      <c r="A9" s="127" t="s">
        <v>819</v>
      </c>
      <c r="B9" s="127">
        <v>1845127</v>
      </c>
      <c r="C9" s="139" t="s">
        <v>1312</v>
      </c>
      <c r="D9" s="85">
        <v>9839</v>
      </c>
      <c r="E9" s="85">
        <v>10273</v>
      </c>
      <c r="F9" s="89" t="s">
        <v>2159</v>
      </c>
    </row>
    <row r="10" spans="1:6">
      <c r="A10" s="127" t="s">
        <v>819</v>
      </c>
      <c r="B10" s="127">
        <v>1897631</v>
      </c>
      <c r="C10" s="139" t="s">
        <v>1312</v>
      </c>
      <c r="D10" s="85">
        <v>9990</v>
      </c>
      <c r="E10" s="85">
        <v>10637</v>
      </c>
      <c r="F10" s="83" t="s">
        <v>1957</v>
      </c>
    </row>
    <row r="11" spans="1:6">
      <c r="A11" s="127" t="s">
        <v>819</v>
      </c>
      <c r="B11" s="127">
        <v>1899383</v>
      </c>
      <c r="C11" s="139" t="s">
        <v>1312</v>
      </c>
      <c r="D11" s="85">
        <v>9990</v>
      </c>
      <c r="E11" s="85">
        <v>10651</v>
      </c>
      <c r="F11" s="83" t="s">
        <v>1957</v>
      </c>
    </row>
    <row r="12" spans="1:6">
      <c r="A12" s="127" t="s">
        <v>819</v>
      </c>
      <c r="B12" s="127">
        <v>1890498</v>
      </c>
      <c r="C12" s="139" t="s">
        <v>1312</v>
      </c>
      <c r="D12" s="85">
        <v>10014</v>
      </c>
      <c r="E12" s="85">
        <v>10574</v>
      </c>
      <c r="F12" s="83" t="s">
        <v>2021</v>
      </c>
    </row>
    <row r="13" spans="1:6">
      <c r="A13" s="127" t="s">
        <v>819</v>
      </c>
      <c r="B13" s="127">
        <v>1903220</v>
      </c>
      <c r="C13" s="139" t="s">
        <v>1312</v>
      </c>
      <c r="D13" s="85">
        <v>10190</v>
      </c>
      <c r="E13" s="85">
        <v>10679</v>
      </c>
      <c r="F13" s="83" t="s">
        <v>1958</v>
      </c>
    </row>
    <row r="14" spans="1:6">
      <c r="A14" s="127" t="s">
        <v>819</v>
      </c>
      <c r="B14" s="127">
        <v>1953180</v>
      </c>
      <c r="C14" s="139" t="s">
        <v>1312</v>
      </c>
      <c r="D14" s="85">
        <v>10459</v>
      </c>
      <c r="E14" s="85">
        <v>11050</v>
      </c>
      <c r="F14" s="83" t="s">
        <v>2004</v>
      </c>
    </row>
    <row r="15" spans="1:6">
      <c r="A15" s="127" t="s">
        <v>819</v>
      </c>
      <c r="B15" s="127">
        <v>1949433</v>
      </c>
      <c r="C15" s="139" t="s">
        <v>1312</v>
      </c>
      <c r="D15" s="85">
        <v>10519</v>
      </c>
      <c r="E15" s="85">
        <v>11022</v>
      </c>
      <c r="F15" s="83" t="s">
        <v>2003</v>
      </c>
    </row>
    <row r="16" spans="1:6">
      <c r="A16" s="127" t="s">
        <v>819</v>
      </c>
      <c r="B16" s="127">
        <v>1939703</v>
      </c>
      <c r="C16" s="139" t="s">
        <v>1312</v>
      </c>
      <c r="D16" s="85">
        <v>10529</v>
      </c>
      <c r="E16" s="85">
        <v>10945</v>
      </c>
      <c r="F16" s="83" t="s">
        <v>1959</v>
      </c>
    </row>
    <row r="17" spans="1:6">
      <c r="A17" s="127" t="s">
        <v>819</v>
      </c>
      <c r="B17" s="127">
        <v>1971376</v>
      </c>
      <c r="C17" s="139" t="s">
        <v>1312</v>
      </c>
      <c r="D17" s="85">
        <v>10529</v>
      </c>
      <c r="E17" s="85">
        <v>11197</v>
      </c>
      <c r="F17" s="83" t="s">
        <v>1959</v>
      </c>
    </row>
    <row r="18" spans="1:6">
      <c r="A18" s="127" t="s">
        <v>819</v>
      </c>
      <c r="B18" s="127">
        <v>1954892</v>
      </c>
      <c r="C18" s="139" t="s">
        <v>1312</v>
      </c>
      <c r="D18" s="85">
        <v>10609</v>
      </c>
      <c r="E18" s="85">
        <v>11064</v>
      </c>
      <c r="F18" s="83" t="s">
        <v>2005</v>
      </c>
    </row>
    <row r="19" spans="1:6">
      <c r="A19" s="127" t="s">
        <v>819</v>
      </c>
      <c r="B19" s="127">
        <v>1971385</v>
      </c>
      <c r="C19" s="139" t="s">
        <v>1312</v>
      </c>
      <c r="D19" s="85">
        <v>10716</v>
      </c>
      <c r="E19" s="85">
        <v>11197</v>
      </c>
      <c r="F19" s="83" t="s">
        <v>2075</v>
      </c>
    </row>
    <row r="20" spans="1:6">
      <c r="A20" s="127" t="s">
        <v>819</v>
      </c>
      <c r="B20" s="127">
        <v>1963146</v>
      </c>
      <c r="C20" s="139" t="s">
        <v>1312</v>
      </c>
      <c r="D20" s="85">
        <v>10749</v>
      </c>
      <c r="E20" s="85">
        <v>11127</v>
      </c>
      <c r="F20" s="83" t="s">
        <v>2075</v>
      </c>
    </row>
    <row r="21" spans="1:6">
      <c r="A21" s="127" t="s">
        <v>819</v>
      </c>
      <c r="B21" s="127">
        <v>1963147</v>
      </c>
      <c r="C21" s="139" t="s">
        <v>1312</v>
      </c>
      <c r="D21" s="85">
        <v>10749</v>
      </c>
      <c r="E21" s="85">
        <v>11127</v>
      </c>
      <c r="F21" s="83" t="s">
        <v>2075</v>
      </c>
    </row>
    <row r="22" spans="1:6">
      <c r="A22" s="127" t="s">
        <v>819</v>
      </c>
      <c r="B22" s="127">
        <v>1963148</v>
      </c>
      <c r="C22" s="139" t="s">
        <v>1312</v>
      </c>
      <c r="D22" s="85">
        <v>10749</v>
      </c>
      <c r="E22" s="85">
        <v>11127</v>
      </c>
      <c r="F22" s="83" t="s">
        <v>2075</v>
      </c>
    </row>
    <row r="23" spans="1:6">
      <c r="A23" s="127" t="s">
        <v>819</v>
      </c>
      <c r="B23" s="127">
        <v>1963149</v>
      </c>
      <c r="C23" s="139" t="s">
        <v>1312</v>
      </c>
      <c r="D23" s="85">
        <v>10749</v>
      </c>
      <c r="E23" s="85">
        <v>11127</v>
      </c>
      <c r="F23" s="83" t="s">
        <v>2075</v>
      </c>
    </row>
    <row r="24" spans="1:6">
      <c r="A24" s="127" t="s">
        <v>819</v>
      </c>
      <c r="B24" s="127">
        <v>1963150</v>
      </c>
      <c r="C24" s="139" t="s">
        <v>1312</v>
      </c>
      <c r="D24" s="85">
        <v>10749</v>
      </c>
      <c r="E24" s="85">
        <v>11127</v>
      </c>
      <c r="F24" s="83" t="s">
        <v>2075</v>
      </c>
    </row>
    <row r="25" spans="1:6">
      <c r="A25" s="127" t="s">
        <v>819</v>
      </c>
      <c r="B25" s="127">
        <v>1979141</v>
      </c>
      <c r="C25" s="139" t="s">
        <v>1312</v>
      </c>
      <c r="D25" s="85">
        <v>10774</v>
      </c>
      <c r="E25" s="85">
        <v>11260</v>
      </c>
      <c r="F25" s="83" t="s">
        <v>1957</v>
      </c>
    </row>
    <row r="26" spans="1:6">
      <c r="A26" s="127" t="s">
        <v>819</v>
      </c>
      <c r="B26" s="127">
        <v>1982044</v>
      </c>
      <c r="C26" s="139" t="s">
        <v>1312</v>
      </c>
      <c r="D26" s="85">
        <v>10795</v>
      </c>
      <c r="E26" s="85">
        <v>11288</v>
      </c>
      <c r="F26" s="83" t="s">
        <v>2076</v>
      </c>
    </row>
    <row r="27" spans="1:6">
      <c r="A27" s="127" t="s">
        <v>819</v>
      </c>
      <c r="B27" s="127">
        <v>1988470</v>
      </c>
      <c r="C27" s="139" t="s">
        <v>1312</v>
      </c>
      <c r="D27" s="85">
        <v>10956</v>
      </c>
      <c r="E27" s="85">
        <v>11344</v>
      </c>
      <c r="F27" s="83" t="s">
        <v>2002</v>
      </c>
    </row>
    <row r="28" spans="1:6">
      <c r="A28" s="127" t="s">
        <v>819</v>
      </c>
      <c r="B28" s="127">
        <v>1988471</v>
      </c>
      <c r="C28" s="139" t="s">
        <v>1312</v>
      </c>
      <c r="D28" s="85">
        <v>10956</v>
      </c>
      <c r="E28" s="85">
        <v>11344</v>
      </c>
      <c r="F28" s="83" t="s">
        <v>2002</v>
      </c>
    </row>
    <row r="29" spans="1:6">
      <c r="A29" s="127" t="s">
        <v>819</v>
      </c>
      <c r="B29" s="127">
        <v>1982762</v>
      </c>
      <c r="C29" s="139" t="s">
        <v>1312</v>
      </c>
      <c r="D29" s="85">
        <v>10967</v>
      </c>
      <c r="E29" s="85">
        <v>11295</v>
      </c>
      <c r="F29" s="83" t="s">
        <v>2075</v>
      </c>
    </row>
    <row r="30" spans="1:6">
      <c r="A30" s="127" t="s">
        <v>819</v>
      </c>
      <c r="B30" s="127">
        <v>1986985</v>
      </c>
      <c r="C30" s="139" t="s">
        <v>1312</v>
      </c>
      <c r="D30" s="85">
        <v>11038</v>
      </c>
      <c r="E30" s="85">
        <v>11330</v>
      </c>
      <c r="F30" s="83" t="s">
        <v>2077</v>
      </c>
    </row>
    <row r="31" spans="1:6">
      <c r="A31" s="127" t="s">
        <v>819</v>
      </c>
      <c r="B31" s="127">
        <v>2027453</v>
      </c>
      <c r="C31" s="139" t="s">
        <v>1312</v>
      </c>
      <c r="D31" s="85">
        <v>11264</v>
      </c>
      <c r="E31" s="85">
        <v>11701</v>
      </c>
      <c r="F31" s="83" t="s">
        <v>2075</v>
      </c>
    </row>
    <row r="32" spans="1:6">
      <c r="A32" s="127" t="s">
        <v>819</v>
      </c>
      <c r="B32" s="127">
        <v>2018025</v>
      </c>
      <c r="C32" s="139" t="s">
        <v>1312</v>
      </c>
      <c r="D32" s="85">
        <v>11315</v>
      </c>
      <c r="E32" s="85">
        <v>11617</v>
      </c>
      <c r="F32" s="83" t="s">
        <v>2004</v>
      </c>
    </row>
    <row r="33" spans="1:6">
      <c r="A33" s="127" t="s">
        <v>819</v>
      </c>
      <c r="B33" s="127">
        <v>2032576</v>
      </c>
      <c r="C33" s="139" t="s">
        <v>1312</v>
      </c>
      <c r="D33" s="85">
        <v>11544</v>
      </c>
      <c r="E33" s="85">
        <v>11750</v>
      </c>
      <c r="F33" s="83" t="s">
        <v>2087</v>
      </c>
    </row>
    <row r="34" spans="1:6">
      <c r="A34" s="127" t="s">
        <v>819</v>
      </c>
      <c r="B34" s="127">
        <v>2128327</v>
      </c>
      <c r="C34" s="139" t="s">
        <v>1312</v>
      </c>
      <c r="D34" s="85">
        <v>12045</v>
      </c>
      <c r="E34" s="85">
        <v>12660</v>
      </c>
      <c r="F34" s="83" t="s">
        <v>2075</v>
      </c>
    </row>
    <row r="35" spans="1:6">
      <c r="A35" s="127" t="s">
        <v>819</v>
      </c>
      <c r="B35" s="127">
        <v>2165051</v>
      </c>
      <c r="C35" s="139" t="s">
        <v>1312</v>
      </c>
      <c r="D35" s="85">
        <v>12374</v>
      </c>
      <c r="E35" s="85">
        <v>12968</v>
      </c>
      <c r="F35" s="83" t="s">
        <v>2087</v>
      </c>
    </row>
    <row r="36" spans="1:6">
      <c r="A36" s="127" t="s">
        <v>819</v>
      </c>
      <c r="B36" s="127">
        <v>2165052</v>
      </c>
      <c r="C36" s="139" t="s">
        <v>1312</v>
      </c>
      <c r="D36" s="85">
        <v>12424</v>
      </c>
      <c r="E36" s="85">
        <v>12968</v>
      </c>
      <c r="F36" s="83" t="s">
        <v>2087</v>
      </c>
    </row>
    <row r="37" spans="1:6">
      <c r="A37" s="127" t="s">
        <v>819</v>
      </c>
      <c r="B37" s="127">
        <v>2162829</v>
      </c>
      <c r="C37" s="139" t="s">
        <v>1312</v>
      </c>
      <c r="D37" s="85">
        <v>12670</v>
      </c>
      <c r="E37" s="85">
        <v>12954</v>
      </c>
      <c r="F37" s="83" t="s">
        <v>2077</v>
      </c>
    </row>
    <row r="38" spans="1:6">
      <c r="A38" s="127" t="s">
        <v>819</v>
      </c>
      <c r="B38" s="127">
        <v>2255896</v>
      </c>
      <c r="C38" s="139" t="s">
        <v>1312</v>
      </c>
      <c r="D38" s="85">
        <v>12737</v>
      </c>
      <c r="E38" s="85">
        <v>13773</v>
      </c>
      <c r="F38" s="83" t="s">
        <v>2089</v>
      </c>
    </row>
    <row r="39" spans="1:6">
      <c r="A39" s="127" t="s">
        <v>819</v>
      </c>
      <c r="B39" s="127">
        <v>2246063</v>
      </c>
      <c r="C39" s="139" t="s">
        <v>1312</v>
      </c>
      <c r="D39" s="85">
        <v>12738</v>
      </c>
      <c r="E39" s="85">
        <v>13712</v>
      </c>
      <c r="F39" s="83" t="s">
        <v>2089</v>
      </c>
    </row>
    <row r="40" spans="1:6">
      <c r="A40" s="127" t="s">
        <v>819</v>
      </c>
      <c r="B40" s="127">
        <v>2239530</v>
      </c>
      <c r="C40" s="139" t="s">
        <v>1312</v>
      </c>
      <c r="D40" s="85">
        <v>12786</v>
      </c>
      <c r="E40" s="85">
        <v>13626</v>
      </c>
      <c r="F40" s="83" t="s">
        <v>2088</v>
      </c>
    </row>
    <row r="41" spans="1:6">
      <c r="A41" s="127" t="s">
        <v>819</v>
      </c>
      <c r="B41" s="127">
        <v>2289681</v>
      </c>
      <c r="C41" s="139" t="s">
        <v>1312</v>
      </c>
      <c r="D41" s="85">
        <v>13158</v>
      </c>
      <c r="E41" s="85">
        <v>14074</v>
      </c>
      <c r="F41" s="83" t="s">
        <v>2089</v>
      </c>
    </row>
    <row r="42" spans="1:6">
      <c r="A42" s="127" t="s">
        <v>819</v>
      </c>
      <c r="B42" s="127">
        <v>2262184</v>
      </c>
      <c r="C42" s="139" t="s">
        <v>1312</v>
      </c>
      <c r="D42" s="85">
        <v>13497</v>
      </c>
      <c r="E42" s="85">
        <v>13829</v>
      </c>
      <c r="F42" s="83" t="s">
        <v>2090</v>
      </c>
    </row>
    <row r="43" spans="1:6">
      <c r="A43" s="127" t="s">
        <v>819</v>
      </c>
      <c r="B43" s="127">
        <v>2349646</v>
      </c>
      <c r="C43" s="139" t="s">
        <v>1312</v>
      </c>
      <c r="D43" s="85">
        <v>13686</v>
      </c>
      <c r="E43" s="85">
        <v>14784</v>
      </c>
      <c r="F43" s="83" t="s">
        <v>2086</v>
      </c>
    </row>
    <row r="44" spans="1:6">
      <c r="A44" s="127" t="s">
        <v>819</v>
      </c>
      <c r="B44" s="127">
        <v>2267896</v>
      </c>
      <c r="C44" s="139" t="s">
        <v>1312</v>
      </c>
      <c r="D44" s="85">
        <v>13720</v>
      </c>
      <c r="E44" s="85">
        <v>13878</v>
      </c>
      <c r="F44" s="83" t="s">
        <v>2091</v>
      </c>
    </row>
    <row r="45" spans="1:6">
      <c r="A45" s="127" t="s">
        <v>819</v>
      </c>
      <c r="B45" s="127">
        <v>2267958</v>
      </c>
      <c r="C45" s="139" t="s">
        <v>1312</v>
      </c>
      <c r="D45" s="85">
        <v>13720</v>
      </c>
      <c r="E45" s="85">
        <v>13878</v>
      </c>
      <c r="F45" s="83" t="s">
        <v>2092</v>
      </c>
    </row>
    <row r="46" spans="1:6">
      <c r="A46" s="127" t="s">
        <v>819</v>
      </c>
      <c r="B46" s="127">
        <v>2278555</v>
      </c>
      <c r="C46" s="139" t="s">
        <v>1312</v>
      </c>
      <c r="D46" s="85">
        <v>13721</v>
      </c>
      <c r="E46" s="85">
        <v>13976</v>
      </c>
      <c r="F46" s="83" t="s">
        <v>2243</v>
      </c>
    </row>
    <row r="47" spans="1:6">
      <c r="A47" s="127" t="s">
        <v>819</v>
      </c>
      <c r="B47" s="127">
        <v>2313926</v>
      </c>
      <c r="C47" s="139" t="s">
        <v>1312</v>
      </c>
      <c r="D47" s="85">
        <v>13978</v>
      </c>
      <c r="E47" s="85">
        <v>14319</v>
      </c>
      <c r="F47" s="83" t="s">
        <v>2021</v>
      </c>
    </row>
    <row r="48" spans="1:6">
      <c r="A48" s="127" t="s">
        <v>819</v>
      </c>
      <c r="B48" s="127">
        <v>2437626</v>
      </c>
      <c r="C48" s="139" t="s">
        <v>1312</v>
      </c>
      <c r="D48" s="85">
        <v>14312</v>
      </c>
      <c r="E48" s="85">
        <v>16139</v>
      </c>
      <c r="F48" s="83" t="s">
        <v>2308</v>
      </c>
    </row>
    <row r="49" spans="1:6">
      <c r="A49" s="127" t="s">
        <v>819</v>
      </c>
      <c r="B49" s="127">
        <v>2346861</v>
      </c>
      <c r="C49" s="139" t="s">
        <v>1312</v>
      </c>
      <c r="D49" s="85">
        <v>14402</v>
      </c>
      <c r="E49" s="85">
        <v>14718</v>
      </c>
      <c r="F49" s="83" t="s">
        <v>2244</v>
      </c>
    </row>
    <row r="50" spans="1:6" s="127" customFormat="1">
      <c r="D50" s="140"/>
      <c r="E50" s="140"/>
    </row>
    <row r="51" spans="1:6" s="127" customFormat="1">
      <c r="A51" s="127" t="s">
        <v>819</v>
      </c>
      <c r="B51" s="127" t="s">
        <v>1134</v>
      </c>
      <c r="D51" s="140"/>
      <c r="E51" s="140"/>
      <c r="F51" s="127" t="s">
        <v>2293</v>
      </c>
    </row>
    <row r="52" spans="1:6" s="127" customFormat="1">
      <c r="A52" s="127" t="s">
        <v>819</v>
      </c>
      <c r="B52" s="127" t="s">
        <v>2309</v>
      </c>
      <c r="D52" s="140"/>
      <c r="E52" s="140"/>
      <c r="F52" s="127" t="s">
        <v>2293</v>
      </c>
    </row>
    <row r="53" spans="1:6" s="127" customFormat="1">
      <c r="A53" s="127" t="s">
        <v>819</v>
      </c>
      <c r="B53" s="127" t="s">
        <v>2310</v>
      </c>
      <c r="D53" s="140"/>
      <c r="E53" s="140"/>
      <c r="F53" s="127" t="s">
        <v>2294</v>
      </c>
    </row>
    <row r="54" spans="1:6">
      <c r="D54" s="85"/>
      <c r="E54" s="85"/>
    </row>
    <row r="55" spans="1:6">
      <c r="A55" s="126" t="s">
        <v>2196</v>
      </c>
      <c r="D55" s="85"/>
      <c r="E55" s="85"/>
    </row>
    <row r="56" spans="1:6">
      <c r="A56" s="127" t="s">
        <v>2204</v>
      </c>
      <c r="D56" s="85"/>
      <c r="E56" s="85"/>
    </row>
    <row r="57" spans="1:6">
      <c r="D57" s="85"/>
      <c r="E57" s="85"/>
    </row>
    <row r="58" spans="1:6">
      <c r="A58" s="42" t="s">
        <v>2708</v>
      </c>
      <c r="D58" s="85"/>
      <c r="E58" s="85"/>
    </row>
    <row r="59" spans="1:6">
      <c r="A59" s="42" t="s">
        <v>2513</v>
      </c>
      <c r="D59" s="85"/>
      <c r="E59" s="85"/>
    </row>
    <row r="60" spans="1:6">
      <c r="A60" s="42" t="s">
        <v>1125</v>
      </c>
      <c r="D60" s="85"/>
      <c r="E60" s="85"/>
    </row>
    <row r="61" spans="1:6">
      <c r="A61" s="42" t="s">
        <v>1083</v>
      </c>
      <c r="D61" s="85"/>
      <c r="E61" s="85"/>
    </row>
    <row r="62" spans="1:6">
      <c r="A62" s="42" t="s">
        <v>1082</v>
      </c>
      <c r="D62" s="85"/>
      <c r="E62" s="85"/>
    </row>
    <row r="63" spans="1:6">
      <c r="A63" s="42" t="s">
        <v>1369</v>
      </c>
      <c r="D63" s="85"/>
      <c r="E63" s="85"/>
    </row>
    <row r="64" spans="1:6">
      <c r="A64" s="42" t="s">
        <v>2602</v>
      </c>
      <c r="D64" s="85"/>
      <c r="E64" s="85"/>
    </row>
    <row r="65" spans="1:5">
      <c r="A65" s="42" t="s">
        <v>1124</v>
      </c>
      <c r="D65" s="85"/>
      <c r="E65" s="85"/>
    </row>
    <row r="66" spans="1:5">
      <c r="A66" s="42" t="s">
        <v>1154</v>
      </c>
      <c r="D66" s="85"/>
      <c r="E66" s="85"/>
    </row>
    <row r="67" spans="1:5">
      <c r="A67" s="42" t="s">
        <v>1090</v>
      </c>
      <c r="D67" s="85"/>
      <c r="E67" s="85"/>
    </row>
    <row r="68" spans="1:5">
      <c r="A68" s="42" t="s">
        <v>1119</v>
      </c>
      <c r="D68" s="85"/>
      <c r="E68" s="85"/>
    </row>
    <row r="69" spans="1:5">
      <c r="A69" s="42" t="s">
        <v>163</v>
      </c>
      <c r="D69" s="85"/>
      <c r="E69" s="85"/>
    </row>
    <row r="70" spans="1:5">
      <c r="A70" s="42"/>
      <c r="D70" s="85"/>
      <c r="E70" s="85"/>
    </row>
    <row r="71" spans="1:5">
      <c r="A71" s="126" t="s">
        <v>1407</v>
      </c>
      <c r="D71" s="85"/>
      <c r="E71" s="85"/>
    </row>
    <row r="72" spans="1:5">
      <c r="A72" s="42" t="s">
        <v>1130</v>
      </c>
      <c r="D72" s="85"/>
      <c r="E72" s="85"/>
    </row>
    <row r="73" spans="1:5">
      <c r="A73" s="189" t="s">
        <v>1113</v>
      </c>
      <c r="D73" s="85"/>
      <c r="E73" s="85"/>
    </row>
    <row r="74" spans="1:5">
      <c r="A74" s="189" t="s">
        <v>1123</v>
      </c>
      <c r="D74" s="85"/>
      <c r="E74" s="85"/>
    </row>
    <row r="75" spans="1:5">
      <c r="A75" s="42" t="s">
        <v>210</v>
      </c>
      <c r="D75" s="85"/>
      <c r="E75" s="85"/>
    </row>
    <row r="76" spans="1:5">
      <c r="A76" s="189" t="s">
        <v>1146</v>
      </c>
      <c r="D76" s="85"/>
      <c r="E76" s="85"/>
    </row>
    <row r="77" spans="1:5">
      <c r="D77" s="85"/>
      <c r="E77" s="85"/>
    </row>
    <row r="78" spans="1:5">
      <c r="A78" s="126" t="s">
        <v>1128</v>
      </c>
      <c r="D78" s="85"/>
      <c r="E78" s="85"/>
    </row>
    <row r="79" spans="1:5">
      <c r="A79" s="127" t="s">
        <v>1089</v>
      </c>
      <c r="B79" s="127">
        <v>1922</v>
      </c>
      <c r="D79" s="85"/>
      <c r="E79" s="85"/>
    </row>
    <row r="80" spans="1:5">
      <c r="A80" s="127" t="s">
        <v>1086</v>
      </c>
      <c r="B80" s="127">
        <v>1930</v>
      </c>
      <c r="D80" s="85"/>
      <c r="E80" s="85"/>
    </row>
    <row r="81" spans="1:6">
      <c r="A81" s="127" t="s">
        <v>1087</v>
      </c>
      <c r="B81" s="127">
        <v>1944</v>
      </c>
      <c r="D81" s="85"/>
      <c r="E81" s="85"/>
    </row>
    <row r="82" spans="1:6">
      <c r="A82" s="127" t="s">
        <v>1088</v>
      </c>
      <c r="B82" s="127">
        <v>1946</v>
      </c>
      <c r="D82" s="85"/>
      <c r="E82" s="85"/>
      <c r="F82" s="71"/>
    </row>
    <row r="83" spans="1:6">
      <c r="D83" s="85"/>
      <c r="E83" s="85"/>
      <c r="F83" s="86"/>
    </row>
    <row r="84" spans="1:6">
      <c r="A84" s="126" t="s">
        <v>175</v>
      </c>
      <c r="D84" s="85"/>
      <c r="E84" s="85"/>
      <c r="F84" s="86"/>
    </row>
    <row r="85" spans="1:6">
      <c r="A85" s="127" t="s">
        <v>219</v>
      </c>
      <c r="D85" s="85"/>
      <c r="E85" s="85"/>
      <c r="F85" s="86"/>
    </row>
    <row r="86" spans="1:6">
      <c r="D86" s="85"/>
      <c r="E86" s="85"/>
      <c r="F86" s="86"/>
    </row>
    <row r="87" spans="1:6">
      <c r="D87" s="85"/>
      <c r="E87" s="85"/>
      <c r="F87" s="86"/>
    </row>
    <row r="88" spans="1:6">
      <c r="D88" s="85"/>
      <c r="E88" s="85"/>
      <c r="F88" s="86"/>
    </row>
    <row r="89" spans="1:6" customFormat="1"/>
    <row r="90" spans="1:6" customFormat="1"/>
    <row r="91" spans="1:6" customFormat="1"/>
    <row r="92" spans="1:6" customFormat="1"/>
    <row r="93" spans="1:6" customFormat="1"/>
    <row r="94" spans="1:6" customFormat="1"/>
    <row r="95" spans="1:6" customFormat="1"/>
    <row r="96" spans="1: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sheetData>
  <sortState ref="A3:F49">
    <sortCondition ref="D3:D49"/>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Z283"/>
  <sheetViews>
    <sheetView topLeftCell="A104" workbookViewId="0">
      <selection activeCell="A121" sqref="A121:XFD209"/>
    </sheetView>
  </sheetViews>
  <sheetFormatPr baseColWidth="10" defaultRowHeight="13"/>
  <cols>
    <col min="1" max="3" width="10.7109375" style="127"/>
    <col min="4" max="4" width="8.7109375" style="83" customWidth="1"/>
    <col min="5" max="16384" width="10.7109375" style="83"/>
  </cols>
  <sheetData>
    <row r="1" spans="1:26" ht="52">
      <c r="A1" s="100" t="s">
        <v>1869</v>
      </c>
      <c r="B1" s="100" t="s">
        <v>663</v>
      </c>
      <c r="C1" s="100" t="s">
        <v>585</v>
      </c>
      <c r="D1" s="82" t="s">
        <v>820</v>
      </c>
      <c r="E1" s="82" t="s">
        <v>2174</v>
      </c>
      <c r="F1" s="82" t="s">
        <v>851</v>
      </c>
      <c r="G1" s="82" t="s">
        <v>650</v>
      </c>
      <c r="H1" s="82" t="s">
        <v>809</v>
      </c>
    </row>
    <row r="2" spans="1:26">
      <c r="A2" s="215" t="s">
        <v>456</v>
      </c>
      <c r="B2" s="215"/>
      <c r="C2" s="215"/>
      <c r="D2" s="60"/>
      <c r="E2" s="60"/>
      <c r="F2" s="82"/>
      <c r="G2"/>
      <c r="H2"/>
      <c r="I2"/>
      <c r="J2"/>
      <c r="K2"/>
      <c r="L2"/>
      <c r="M2"/>
      <c r="N2"/>
      <c r="O2"/>
      <c r="P2"/>
      <c r="Q2"/>
      <c r="R2"/>
      <c r="S2"/>
      <c r="T2"/>
      <c r="U2"/>
      <c r="V2"/>
      <c r="W2"/>
      <c r="X2"/>
      <c r="Y2"/>
      <c r="Z2"/>
    </row>
    <row r="3" spans="1:26">
      <c r="A3" s="165" t="s">
        <v>758</v>
      </c>
      <c r="B3" s="165">
        <v>1801818</v>
      </c>
      <c r="C3" s="166" t="s">
        <v>587</v>
      </c>
      <c r="D3" s="123"/>
      <c r="E3" s="159">
        <v>8268</v>
      </c>
      <c r="F3" s="159">
        <v>9972</v>
      </c>
      <c r="G3" s="123" t="s">
        <v>817</v>
      </c>
      <c r="H3" s="123" t="s">
        <v>705</v>
      </c>
    </row>
    <row r="4" spans="1:26">
      <c r="A4" s="165" t="s">
        <v>758</v>
      </c>
      <c r="B4" s="165">
        <v>1805655</v>
      </c>
      <c r="C4" s="166" t="s">
        <v>587</v>
      </c>
      <c r="D4" s="123"/>
      <c r="E4" s="159">
        <v>8457</v>
      </c>
      <c r="F4" s="159">
        <v>10000</v>
      </c>
      <c r="G4" s="123" t="s">
        <v>817</v>
      </c>
      <c r="H4" s="123" t="s">
        <v>693</v>
      </c>
    </row>
    <row r="5" spans="1:26">
      <c r="A5" s="165" t="s">
        <v>758</v>
      </c>
      <c r="B5" s="165">
        <v>1879719</v>
      </c>
      <c r="C5" s="166" t="s">
        <v>587</v>
      </c>
      <c r="D5" s="123"/>
      <c r="E5" s="159">
        <v>8655</v>
      </c>
      <c r="F5" s="159">
        <v>10497</v>
      </c>
      <c r="G5" s="123" t="s">
        <v>817</v>
      </c>
      <c r="H5" s="123" t="s">
        <v>697</v>
      </c>
    </row>
    <row r="6" spans="1:26">
      <c r="A6" s="165" t="s">
        <v>758</v>
      </c>
      <c r="B6" s="165">
        <v>1797395</v>
      </c>
      <c r="C6" s="166" t="s">
        <v>587</v>
      </c>
      <c r="D6" s="123"/>
      <c r="E6" s="159">
        <v>8681</v>
      </c>
      <c r="F6" s="159">
        <v>9944</v>
      </c>
      <c r="G6" s="123" t="s">
        <v>817</v>
      </c>
      <c r="H6" s="123" t="s">
        <v>704</v>
      </c>
    </row>
    <row r="7" spans="1:26">
      <c r="A7" s="165" t="s">
        <v>758</v>
      </c>
      <c r="B7" s="165">
        <v>1895456</v>
      </c>
      <c r="C7" s="166" t="s">
        <v>587</v>
      </c>
      <c r="D7" s="123"/>
      <c r="E7" s="159">
        <v>8811</v>
      </c>
      <c r="F7" s="159">
        <v>10623</v>
      </c>
      <c r="G7" s="123" t="s">
        <v>817</v>
      </c>
      <c r="H7" s="123" t="s">
        <v>527</v>
      </c>
    </row>
    <row r="8" spans="1:26">
      <c r="A8" s="165" t="s">
        <v>758</v>
      </c>
      <c r="B8" s="165">
        <v>1801823</v>
      </c>
      <c r="C8" s="166" t="s">
        <v>587</v>
      </c>
      <c r="D8" s="123"/>
      <c r="E8" s="159">
        <v>8839</v>
      </c>
      <c r="F8" s="159">
        <v>9972</v>
      </c>
      <c r="G8" s="123" t="s">
        <v>817</v>
      </c>
      <c r="H8" s="123" t="s">
        <v>692</v>
      </c>
    </row>
    <row r="9" spans="1:26">
      <c r="A9" s="165" t="s">
        <v>758</v>
      </c>
      <c r="B9" s="165">
        <v>1797431</v>
      </c>
      <c r="C9" s="166" t="s">
        <v>587</v>
      </c>
      <c r="D9" s="123"/>
      <c r="E9" s="159">
        <v>8846</v>
      </c>
      <c r="F9" s="159">
        <v>9944</v>
      </c>
      <c r="G9" s="123" t="s">
        <v>817</v>
      </c>
      <c r="H9" s="123" t="s">
        <v>705</v>
      </c>
    </row>
    <row r="10" spans="1:26">
      <c r="A10" s="165" t="s">
        <v>758</v>
      </c>
      <c r="B10" s="165">
        <v>1824062</v>
      </c>
      <c r="C10" s="166" t="s">
        <v>587</v>
      </c>
      <c r="D10" s="123"/>
      <c r="E10" s="159">
        <v>8980</v>
      </c>
      <c r="F10" s="159">
        <v>10126</v>
      </c>
      <c r="G10" s="123" t="s">
        <v>817</v>
      </c>
      <c r="H10" s="123" t="s">
        <v>695</v>
      </c>
    </row>
    <row r="11" spans="1:26">
      <c r="A11" s="165" t="s">
        <v>758</v>
      </c>
      <c r="B11" s="165">
        <v>1786195</v>
      </c>
      <c r="C11" s="166" t="s">
        <v>587</v>
      </c>
      <c r="D11" s="123"/>
      <c r="E11" s="159">
        <v>9070</v>
      </c>
      <c r="F11" s="159">
        <v>9853</v>
      </c>
      <c r="G11" s="123" t="s">
        <v>817</v>
      </c>
      <c r="H11" s="123" t="s">
        <v>818</v>
      </c>
    </row>
    <row r="12" spans="1:26">
      <c r="A12" s="165" t="s">
        <v>758</v>
      </c>
      <c r="B12" s="165">
        <v>1887583</v>
      </c>
      <c r="C12" s="166" t="s">
        <v>587</v>
      </c>
      <c r="D12" s="123"/>
      <c r="E12" s="159">
        <v>9083</v>
      </c>
      <c r="F12" s="159">
        <v>10546</v>
      </c>
      <c r="G12" s="123" t="s">
        <v>817</v>
      </c>
      <c r="H12" s="123" t="s">
        <v>693</v>
      </c>
    </row>
    <row r="13" spans="1:26">
      <c r="A13" s="165" t="s">
        <v>758</v>
      </c>
      <c r="B13" s="165">
        <v>1816076</v>
      </c>
      <c r="C13" s="166" t="s">
        <v>587</v>
      </c>
      <c r="D13" s="123"/>
      <c r="E13" s="159">
        <v>9141</v>
      </c>
      <c r="F13" s="159">
        <v>10070</v>
      </c>
      <c r="G13" s="123" t="s">
        <v>817</v>
      </c>
      <c r="H13" s="123" t="s">
        <v>693</v>
      </c>
    </row>
    <row r="14" spans="1:26">
      <c r="A14" s="165" t="s">
        <v>758</v>
      </c>
      <c r="B14" s="165">
        <v>1824034</v>
      </c>
      <c r="C14" s="166" t="s">
        <v>587</v>
      </c>
      <c r="D14" s="123"/>
      <c r="E14" s="159">
        <v>9196</v>
      </c>
      <c r="F14" s="159">
        <v>10126</v>
      </c>
      <c r="G14" s="123" t="s">
        <v>817</v>
      </c>
      <c r="H14" s="123" t="s">
        <v>694</v>
      </c>
    </row>
    <row r="15" spans="1:26">
      <c r="A15" s="165" t="s">
        <v>758</v>
      </c>
      <c r="B15" s="165">
        <v>1824039</v>
      </c>
      <c r="C15" s="166" t="s">
        <v>587</v>
      </c>
      <c r="D15" s="123"/>
      <c r="E15" s="159">
        <v>9241</v>
      </c>
      <c r="F15" s="159">
        <v>10126</v>
      </c>
      <c r="G15" s="123" t="s">
        <v>817</v>
      </c>
      <c r="H15" s="123" t="s">
        <v>693</v>
      </c>
    </row>
    <row r="16" spans="1:26">
      <c r="A16" s="165" t="s">
        <v>758</v>
      </c>
      <c r="B16" s="165">
        <v>1797387</v>
      </c>
      <c r="C16" s="166" t="s">
        <v>587</v>
      </c>
      <c r="D16" s="123"/>
      <c r="E16" s="159">
        <v>9262</v>
      </c>
      <c r="F16" s="159">
        <v>9944</v>
      </c>
      <c r="G16" s="123" t="s">
        <v>817</v>
      </c>
      <c r="H16" s="123" t="s">
        <v>703</v>
      </c>
    </row>
    <row r="17" spans="1:8">
      <c r="A17" s="165" t="s">
        <v>758</v>
      </c>
      <c r="B17" s="165">
        <v>1797388</v>
      </c>
      <c r="C17" s="166" t="s">
        <v>587</v>
      </c>
      <c r="D17" s="123"/>
      <c r="E17" s="159">
        <v>9262</v>
      </c>
      <c r="F17" s="159">
        <v>9944</v>
      </c>
      <c r="G17" s="123" t="s">
        <v>817</v>
      </c>
      <c r="H17" s="123" t="s">
        <v>703</v>
      </c>
    </row>
    <row r="18" spans="1:8">
      <c r="A18" s="165" t="s">
        <v>758</v>
      </c>
      <c r="B18" s="165">
        <v>1927942</v>
      </c>
      <c r="C18" s="166" t="s">
        <v>587</v>
      </c>
      <c r="D18" s="123"/>
      <c r="E18" s="159">
        <v>9386</v>
      </c>
      <c r="F18" s="159">
        <v>10861</v>
      </c>
      <c r="G18" s="123" t="s">
        <v>817</v>
      </c>
      <c r="H18" s="123" t="s">
        <v>530</v>
      </c>
    </row>
    <row r="19" spans="1:8">
      <c r="A19" s="165" t="s">
        <v>758</v>
      </c>
      <c r="B19" s="165">
        <v>1887585</v>
      </c>
      <c r="C19" s="166" t="s">
        <v>587</v>
      </c>
      <c r="D19" s="123"/>
      <c r="E19" s="159">
        <v>9546</v>
      </c>
      <c r="F19" s="159">
        <v>10546</v>
      </c>
      <c r="G19" s="123" t="s">
        <v>817</v>
      </c>
      <c r="H19" s="123" t="s">
        <v>693</v>
      </c>
    </row>
    <row r="20" spans="1:8">
      <c r="A20" s="165" t="s">
        <v>758</v>
      </c>
      <c r="B20" s="165">
        <v>1895451</v>
      </c>
      <c r="C20" s="166" t="s">
        <v>587</v>
      </c>
      <c r="D20" s="123"/>
      <c r="E20" s="159">
        <v>9603</v>
      </c>
      <c r="F20" s="159">
        <v>10623</v>
      </c>
      <c r="G20" s="123" t="s">
        <v>817</v>
      </c>
      <c r="H20" s="123" t="s">
        <v>818</v>
      </c>
    </row>
    <row r="21" spans="1:8">
      <c r="A21" s="165" t="s">
        <v>758</v>
      </c>
      <c r="B21" s="165">
        <v>1895478</v>
      </c>
      <c r="C21" s="166" t="s">
        <v>587</v>
      </c>
      <c r="D21" s="123"/>
      <c r="E21" s="159">
        <v>9671</v>
      </c>
      <c r="F21" s="159">
        <v>10623</v>
      </c>
      <c r="G21" s="123" t="s">
        <v>817</v>
      </c>
      <c r="H21" s="123" t="s">
        <v>528</v>
      </c>
    </row>
    <row r="22" spans="1:8">
      <c r="A22" s="165" t="s">
        <v>758</v>
      </c>
      <c r="B22" s="165">
        <v>1865090</v>
      </c>
      <c r="C22" s="166" t="s">
        <v>587</v>
      </c>
      <c r="D22" s="123"/>
      <c r="E22" s="159">
        <v>9695</v>
      </c>
      <c r="F22" s="159">
        <v>10406</v>
      </c>
      <c r="G22" s="123" t="s">
        <v>817</v>
      </c>
      <c r="H22" s="123" t="s">
        <v>696</v>
      </c>
    </row>
    <row r="23" spans="1:8">
      <c r="A23" s="165" t="s">
        <v>758</v>
      </c>
      <c r="B23" s="165">
        <v>1910527</v>
      </c>
      <c r="C23" s="166" t="s">
        <v>587</v>
      </c>
      <c r="D23" s="123"/>
      <c r="E23" s="159">
        <v>9701</v>
      </c>
      <c r="F23" s="159">
        <v>10735</v>
      </c>
      <c r="G23" s="123" t="s">
        <v>817</v>
      </c>
      <c r="H23" s="123" t="s">
        <v>818</v>
      </c>
    </row>
    <row r="24" spans="1:8">
      <c r="A24" s="165" t="s">
        <v>758</v>
      </c>
      <c r="B24" s="165">
        <v>1887572</v>
      </c>
      <c r="C24" s="166" t="s">
        <v>587</v>
      </c>
      <c r="D24" s="123"/>
      <c r="E24" s="159">
        <v>9832</v>
      </c>
      <c r="F24" s="159">
        <v>10546</v>
      </c>
      <c r="G24" s="123" t="s">
        <v>817</v>
      </c>
      <c r="H24" s="123" t="s">
        <v>695</v>
      </c>
    </row>
    <row r="25" spans="1:8">
      <c r="A25" s="165" t="s">
        <v>758</v>
      </c>
      <c r="B25" s="165">
        <v>1895452</v>
      </c>
      <c r="C25" s="166" t="s">
        <v>587</v>
      </c>
      <c r="D25" s="123"/>
      <c r="E25" s="159">
        <v>10121</v>
      </c>
      <c r="F25" s="159">
        <v>10623</v>
      </c>
      <c r="G25" s="123" t="s">
        <v>817</v>
      </c>
      <c r="H25" s="123" t="s">
        <v>818</v>
      </c>
    </row>
    <row r="26" spans="1:8">
      <c r="A26" s="165" t="s">
        <v>758</v>
      </c>
      <c r="B26" s="165">
        <v>1923173</v>
      </c>
      <c r="C26" s="166" t="s">
        <v>587</v>
      </c>
      <c r="D26" s="123"/>
      <c r="E26" s="159">
        <v>10177</v>
      </c>
      <c r="F26" s="159">
        <v>10826</v>
      </c>
      <c r="G26" s="123" t="s">
        <v>817</v>
      </c>
      <c r="H26" s="123" t="s">
        <v>529</v>
      </c>
    </row>
    <row r="27" spans="1:8">
      <c r="A27" s="165" t="s">
        <v>758</v>
      </c>
      <c r="B27" s="165">
        <v>2035047</v>
      </c>
      <c r="C27" s="166" t="s">
        <v>587</v>
      </c>
      <c r="D27" s="123"/>
      <c r="E27" s="159">
        <v>11005</v>
      </c>
      <c r="F27" s="159">
        <v>11771</v>
      </c>
      <c r="G27" s="123" t="s">
        <v>817</v>
      </c>
      <c r="H27" s="123" t="s">
        <v>520</v>
      </c>
    </row>
    <row r="28" spans="1:8">
      <c r="A28" s="165" t="s">
        <v>758</v>
      </c>
      <c r="B28" s="165">
        <v>2115551</v>
      </c>
      <c r="C28" s="166" t="s">
        <v>587</v>
      </c>
      <c r="D28" s="123"/>
      <c r="E28" s="159">
        <v>11579</v>
      </c>
      <c r="F28" s="159">
        <v>12534</v>
      </c>
      <c r="G28" s="123" t="s">
        <v>817</v>
      </c>
      <c r="H28" s="123" t="s">
        <v>527</v>
      </c>
    </row>
    <row r="29" spans="1:8">
      <c r="A29" s="165" t="s">
        <v>758</v>
      </c>
      <c r="B29" s="165">
        <v>2151843</v>
      </c>
      <c r="C29" s="166" t="s">
        <v>587</v>
      </c>
      <c r="D29" s="123"/>
      <c r="E29" s="159">
        <v>11795</v>
      </c>
      <c r="F29" s="159">
        <v>12870</v>
      </c>
      <c r="G29" s="123" t="s">
        <v>817</v>
      </c>
      <c r="H29" s="123" t="s">
        <v>527</v>
      </c>
    </row>
    <row r="30" spans="1:8">
      <c r="A30" s="165" t="s">
        <v>758</v>
      </c>
      <c r="B30" s="165">
        <v>2155221</v>
      </c>
      <c r="C30" s="166" t="s">
        <v>587</v>
      </c>
      <c r="D30" s="123"/>
      <c r="E30" s="159">
        <v>11795</v>
      </c>
      <c r="F30" s="159">
        <v>12891</v>
      </c>
      <c r="G30" s="123" t="s">
        <v>817</v>
      </c>
      <c r="H30" s="123" t="s">
        <v>527</v>
      </c>
    </row>
    <row r="31" spans="1:8">
      <c r="A31" s="165" t="s">
        <v>758</v>
      </c>
      <c r="B31" s="165">
        <v>2170086</v>
      </c>
      <c r="C31" s="166" t="s">
        <v>587</v>
      </c>
      <c r="D31" s="123"/>
      <c r="E31" s="159">
        <v>11886</v>
      </c>
      <c r="F31" s="159">
        <v>13017</v>
      </c>
      <c r="G31" s="123" t="s">
        <v>817</v>
      </c>
      <c r="H31" s="123" t="s">
        <v>528</v>
      </c>
    </row>
    <row r="32" spans="1:8">
      <c r="A32" s="165" t="s">
        <v>758</v>
      </c>
      <c r="B32" s="165">
        <v>2106473</v>
      </c>
      <c r="C32" s="166" t="s">
        <v>587</v>
      </c>
      <c r="D32" s="123"/>
      <c r="E32" s="159">
        <v>11929</v>
      </c>
      <c r="F32" s="159">
        <v>12443</v>
      </c>
      <c r="G32" s="123" t="s">
        <v>817</v>
      </c>
      <c r="H32" s="123" t="s">
        <v>521</v>
      </c>
    </row>
    <row r="33" spans="1:8">
      <c r="A33" s="165" t="s">
        <v>758</v>
      </c>
      <c r="B33" s="165">
        <v>2422596</v>
      </c>
      <c r="C33" s="166" t="s">
        <v>587</v>
      </c>
      <c r="D33" s="123"/>
      <c r="E33" s="159">
        <v>13938</v>
      </c>
      <c r="F33" s="159">
        <v>15873</v>
      </c>
      <c r="G33" s="123" t="s">
        <v>817</v>
      </c>
      <c r="H33" s="123" t="s">
        <v>531</v>
      </c>
    </row>
    <row r="34" spans="1:8">
      <c r="A34" s="165" t="s">
        <v>758</v>
      </c>
      <c r="B34" s="165">
        <v>2426063</v>
      </c>
      <c r="C34" s="166" t="s">
        <v>587</v>
      </c>
      <c r="D34" s="123"/>
      <c r="E34" s="159">
        <v>14053</v>
      </c>
      <c r="F34" s="159">
        <v>15936</v>
      </c>
      <c r="G34" s="123" t="s">
        <v>817</v>
      </c>
      <c r="H34" s="123" t="s">
        <v>531</v>
      </c>
    </row>
    <row r="35" spans="1:8">
      <c r="A35" s="165" t="s">
        <v>758</v>
      </c>
      <c r="B35" s="165">
        <v>2426064</v>
      </c>
      <c r="C35" s="166" t="s">
        <v>587</v>
      </c>
      <c r="D35" s="123" t="s">
        <v>543</v>
      </c>
      <c r="E35" s="159">
        <v>14053</v>
      </c>
      <c r="F35" s="159">
        <v>15936</v>
      </c>
      <c r="G35" s="123" t="s">
        <v>817</v>
      </c>
      <c r="H35" s="123" t="s">
        <v>531</v>
      </c>
    </row>
    <row r="36" spans="1:8">
      <c r="A36" s="165" t="s">
        <v>758</v>
      </c>
      <c r="B36" s="165">
        <v>2358643</v>
      </c>
      <c r="C36" s="166" t="s">
        <v>587</v>
      </c>
      <c r="D36" s="207"/>
      <c r="E36" s="159">
        <v>14090</v>
      </c>
      <c r="F36" s="159">
        <v>14872</v>
      </c>
      <c r="G36" s="123" t="s">
        <v>817</v>
      </c>
      <c r="H36" s="123" t="s">
        <v>526</v>
      </c>
    </row>
    <row r="37" spans="1:8">
      <c r="A37" s="165" t="s">
        <v>758</v>
      </c>
      <c r="B37" s="165">
        <v>2366020</v>
      </c>
      <c r="C37" s="166" t="s">
        <v>587</v>
      </c>
      <c r="D37" s="86" t="s">
        <v>397</v>
      </c>
      <c r="E37" s="159">
        <v>14090</v>
      </c>
      <c r="F37" s="159">
        <v>14970</v>
      </c>
      <c r="G37" s="123" t="s">
        <v>817</v>
      </c>
      <c r="H37" s="123" t="s">
        <v>398</v>
      </c>
    </row>
    <row r="38" spans="1:8">
      <c r="A38" s="165" t="s">
        <v>758</v>
      </c>
      <c r="B38" s="165">
        <v>2395180</v>
      </c>
      <c r="C38" s="166" t="s">
        <v>587</v>
      </c>
      <c r="D38" s="86" t="s">
        <v>536</v>
      </c>
      <c r="E38" s="159">
        <v>14090</v>
      </c>
      <c r="F38" s="159">
        <v>15390</v>
      </c>
      <c r="G38" s="123" t="s">
        <v>817</v>
      </c>
      <c r="H38" s="123" t="s">
        <v>398</v>
      </c>
    </row>
    <row r="39" spans="1:8">
      <c r="A39" s="165" t="s">
        <v>758</v>
      </c>
      <c r="B39" s="165">
        <v>2407877</v>
      </c>
      <c r="C39" s="166" t="s">
        <v>587</v>
      </c>
      <c r="D39" s="123"/>
      <c r="E39" s="159">
        <v>14090</v>
      </c>
      <c r="F39" s="159">
        <v>15600</v>
      </c>
      <c r="G39" s="123" t="s">
        <v>817</v>
      </c>
      <c r="H39" s="123" t="s">
        <v>398</v>
      </c>
    </row>
    <row r="40" spans="1:8">
      <c r="A40" s="165" t="s">
        <v>758</v>
      </c>
      <c r="B40" s="165">
        <v>2355758</v>
      </c>
      <c r="C40" s="166" t="s">
        <v>587</v>
      </c>
      <c r="D40" s="123" t="s">
        <v>523</v>
      </c>
      <c r="E40" s="159">
        <v>14181</v>
      </c>
      <c r="F40" s="159">
        <v>14837</v>
      </c>
      <c r="G40" s="123" t="s">
        <v>817</v>
      </c>
      <c r="H40" s="123" t="s">
        <v>531</v>
      </c>
    </row>
    <row r="41" spans="1:8">
      <c r="A41" s="165" t="s">
        <v>758</v>
      </c>
      <c r="B41" s="165">
        <v>2383278</v>
      </c>
      <c r="C41" s="166" t="s">
        <v>587</v>
      </c>
      <c r="D41" s="123"/>
      <c r="E41" s="159">
        <v>14181</v>
      </c>
      <c r="F41" s="159">
        <v>15208</v>
      </c>
      <c r="G41" s="123" t="s">
        <v>817</v>
      </c>
      <c r="H41" s="123" t="s">
        <v>531</v>
      </c>
    </row>
    <row r="42" spans="1:8">
      <c r="A42" s="165" t="s">
        <v>758</v>
      </c>
      <c r="B42" s="165">
        <v>2396448</v>
      </c>
      <c r="C42" s="166" t="s">
        <v>587</v>
      </c>
      <c r="D42" s="123" t="s">
        <v>537</v>
      </c>
      <c r="E42" s="159">
        <v>14181</v>
      </c>
      <c r="F42" s="159">
        <v>15411</v>
      </c>
      <c r="G42" s="123" t="s">
        <v>817</v>
      </c>
      <c r="H42" s="123" t="s">
        <v>531</v>
      </c>
    </row>
    <row r="43" spans="1:8">
      <c r="A43" s="165" t="s">
        <v>758</v>
      </c>
      <c r="B43" s="165">
        <v>2389058</v>
      </c>
      <c r="C43" s="166" t="s">
        <v>587</v>
      </c>
      <c r="D43" s="207" t="s">
        <v>535</v>
      </c>
      <c r="E43" s="159">
        <v>14182</v>
      </c>
      <c r="F43" s="159">
        <v>15292</v>
      </c>
      <c r="G43" s="123" t="s">
        <v>817</v>
      </c>
      <c r="H43" s="123" t="s">
        <v>526</v>
      </c>
    </row>
    <row r="44" spans="1:8">
      <c r="A44" s="165" t="s">
        <v>758</v>
      </c>
      <c r="B44" s="165">
        <v>2411732</v>
      </c>
      <c r="C44" s="166" t="s">
        <v>587</v>
      </c>
      <c r="D44" s="123"/>
      <c r="E44" s="159">
        <v>14182</v>
      </c>
      <c r="F44" s="159">
        <v>15670</v>
      </c>
      <c r="G44" s="123" t="s">
        <v>817</v>
      </c>
      <c r="H44" s="123" t="s">
        <v>526</v>
      </c>
    </row>
    <row r="45" spans="1:8">
      <c r="A45" s="165" t="s">
        <v>758</v>
      </c>
      <c r="B45" s="165">
        <v>2402400</v>
      </c>
      <c r="C45" s="166" t="s">
        <v>587</v>
      </c>
      <c r="D45" s="123"/>
      <c r="E45" s="159">
        <v>14244</v>
      </c>
      <c r="F45" s="159">
        <v>15509</v>
      </c>
      <c r="G45" s="123" t="s">
        <v>817</v>
      </c>
      <c r="H45" s="123" t="s">
        <v>540</v>
      </c>
    </row>
    <row r="46" spans="1:8">
      <c r="A46" s="165" t="s">
        <v>758</v>
      </c>
      <c r="B46" s="165">
        <v>2418129</v>
      </c>
      <c r="C46" s="166" t="s">
        <v>587</v>
      </c>
      <c r="D46" s="123"/>
      <c r="E46" s="159">
        <v>14244</v>
      </c>
      <c r="F46" s="159">
        <v>15796</v>
      </c>
      <c r="G46" s="123" t="s">
        <v>817</v>
      </c>
      <c r="H46" s="123" t="s">
        <v>539</v>
      </c>
    </row>
    <row r="47" spans="1:8">
      <c r="A47" s="165" t="s">
        <v>758</v>
      </c>
      <c r="B47" s="165">
        <v>2388357</v>
      </c>
      <c r="C47" s="166" t="s">
        <v>587</v>
      </c>
      <c r="D47" s="123"/>
      <c r="E47" s="159">
        <v>14273</v>
      </c>
      <c r="F47" s="159">
        <v>15285</v>
      </c>
      <c r="G47" s="123" t="s">
        <v>817</v>
      </c>
      <c r="H47" s="123" t="s">
        <v>534</v>
      </c>
    </row>
    <row r="48" spans="1:8">
      <c r="A48" s="165" t="s">
        <v>758</v>
      </c>
      <c r="B48" s="165">
        <v>2343661</v>
      </c>
      <c r="C48" s="166" t="s">
        <v>587</v>
      </c>
      <c r="D48" s="123"/>
      <c r="E48" s="159">
        <v>14334</v>
      </c>
      <c r="F48" s="159">
        <v>14676</v>
      </c>
      <c r="G48" s="123" t="s">
        <v>817</v>
      </c>
      <c r="H48" s="123" t="s">
        <v>522</v>
      </c>
    </row>
    <row r="49" spans="1:8">
      <c r="A49" s="165" t="s">
        <v>758</v>
      </c>
      <c r="B49" s="165">
        <v>2381222</v>
      </c>
      <c r="C49" s="166" t="s">
        <v>587</v>
      </c>
      <c r="D49" s="207" t="s">
        <v>532</v>
      </c>
      <c r="E49" s="200">
        <v>14364</v>
      </c>
      <c r="F49" s="200">
        <v>15194</v>
      </c>
      <c r="G49" s="207" t="s">
        <v>817</v>
      </c>
      <c r="H49" s="207" t="s">
        <v>533</v>
      </c>
    </row>
    <row r="50" spans="1:8">
      <c r="A50" s="165" t="s">
        <v>758</v>
      </c>
      <c r="B50" s="165">
        <v>2438410</v>
      </c>
      <c r="C50" s="166" t="s">
        <v>587</v>
      </c>
      <c r="D50" s="123"/>
      <c r="E50" s="159">
        <v>14364</v>
      </c>
      <c r="F50" s="159">
        <v>16153</v>
      </c>
      <c r="G50" s="123" t="s">
        <v>817</v>
      </c>
      <c r="H50" s="123" t="s">
        <v>722</v>
      </c>
    </row>
    <row r="51" spans="1:8">
      <c r="A51" s="165" t="s">
        <v>758</v>
      </c>
      <c r="B51" s="165">
        <v>2382899</v>
      </c>
      <c r="C51" s="166" t="s">
        <v>587</v>
      </c>
      <c r="D51" s="123">
        <v>485116</v>
      </c>
      <c r="E51" s="159">
        <v>14364</v>
      </c>
      <c r="F51" s="159">
        <v>15201</v>
      </c>
      <c r="G51" s="123" t="s">
        <v>724</v>
      </c>
      <c r="H51" s="123" t="s">
        <v>725</v>
      </c>
    </row>
    <row r="52" spans="1:8">
      <c r="A52" s="165" t="s">
        <v>758</v>
      </c>
      <c r="B52" s="165">
        <v>2406264</v>
      </c>
      <c r="C52" s="166" t="s">
        <v>587</v>
      </c>
      <c r="D52" s="123"/>
      <c r="E52" s="159">
        <v>14386</v>
      </c>
      <c r="F52" s="159">
        <v>15572</v>
      </c>
      <c r="G52" s="123" t="s">
        <v>817</v>
      </c>
      <c r="H52" s="123" t="s">
        <v>531</v>
      </c>
    </row>
    <row r="53" spans="1:8">
      <c r="A53" s="165" t="s">
        <v>758</v>
      </c>
      <c r="B53" s="165">
        <v>2457610</v>
      </c>
      <c r="C53" s="166" t="s">
        <v>587</v>
      </c>
      <c r="D53" s="123">
        <v>488040</v>
      </c>
      <c r="E53" s="159">
        <v>14386</v>
      </c>
      <c r="F53" s="159">
        <v>16433</v>
      </c>
      <c r="G53" s="123" t="s">
        <v>817</v>
      </c>
      <c r="H53" s="123" t="s">
        <v>531</v>
      </c>
    </row>
    <row r="54" spans="1:8">
      <c r="A54" s="165" t="s">
        <v>758</v>
      </c>
      <c r="B54" s="165">
        <v>2428457</v>
      </c>
      <c r="C54" s="166" t="s">
        <v>587</v>
      </c>
      <c r="D54" s="123"/>
      <c r="E54" s="159">
        <v>14425</v>
      </c>
      <c r="F54" s="159">
        <v>15985</v>
      </c>
      <c r="G54" s="123" t="s">
        <v>817</v>
      </c>
      <c r="H54" s="123" t="s">
        <v>652</v>
      </c>
    </row>
    <row r="55" spans="1:8">
      <c r="A55" s="165" t="s">
        <v>758</v>
      </c>
      <c r="B55" s="165">
        <v>2402419</v>
      </c>
      <c r="C55" s="166" t="s">
        <v>587</v>
      </c>
      <c r="D55" s="123"/>
      <c r="E55" s="159">
        <v>14475</v>
      </c>
      <c r="F55" s="159">
        <v>15509</v>
      </c>
      <c r="G55" s="123" t="s">
        <v>817</v>
      </c>
      <c r="H55" s="123" t="s">
        <v>539</v>
      </c>
    </row>
    <row r="56" spans="1:8">
      <c r="A56" s="165" t="s">
        <v>758</v>
      </c>
      <c r="B56" s="165">
        <v>2398903</v>
      </c>
      <c r="C56" s="166" t="s">
        <v>587</v>
      </c>
      <c r="D56" s="123" t="s">
        <v>538</v>
      </c>
      <c r="E56" s="159">
        <v>14487</v>
      </c>
      <c r="F56" s="159">
        <v>15453</v>
      </c>
      <c r="G56" s="123" t="s">
        <v>817</v>
      </c>
      <c r="H56" s="123" t="s">
        <v>539</v>
      </c>
    </row>
    <row r="57" spans="1:8">
      <c r="A57" s="165" t="s">
        <v>758</v>
      </c>
      <c r="B57" s="165">
        <v>2398903</v>
      </c>
      <c r="C57" s="166" t="s">
        <v>587</v>
      </c>
      <c r="D57" s="160" t="s">
        <v>538</v>
      </c>
      <c r="E57" s="161">
        <v>14487</v>
      </c>
      <c r="F57" s="161">
        <v>15453</v>
      </c>
      <c r="G57" s="160" t="s">
        <v>817</v>
      </c>
      <c r="H57" s="160" t="s">
        <v>539</v>
      </c>
    </row>
    <row r="58" spans="1:8">
      <c r="A58" s="165" t="s">
        <v>758</v>
      </c>
      <c r="B58" s="165">
        <v>2454509</v>
      </c>
      <c r="C58" s="166" t="s">
        <v>587</v>
      </c>
      <c r="D58" s="123"/>
      <c r="E58" s="159">
        <v>14490</v>
      </c>
      <c r="F58" s="159">
        <v>16398</v>
      </c>
      <c r="G58" s="123" t="s">
        <v>817</v>
      </c>
      <c r="H58" s="123" t="s">
        <v>534</v>
      </c>
    </row>
    <row r="59" spans="1:8">
      <c r="A59" s="165" t="s">
        <v>758</v>
      </c>
      <c r="B59" s="165">
        <v>2482274</v>
      </c>
      <c r="C59" s="166" t="s">
        <v>587</v>
      </c>
      <c r="D59" s="123" t="s">
        <v>727</v>
      </c>
      <c r="E59" s="159">
        <v>14490</v>
      </c>
      <c r="F59" s="159">
        <v>16699</v>
      </c>
      <c r="G59" s="123" t="s">
        <v>817</v>
      </c>
      <c r="H59" s="123" t="s">
        <v>660</v>
      </c>
    </row>
    <row r="60" spans="1:8">
      <c r="A60" s="165" t="s">
        <v>758</v>
      </c>
      <c r="B60" s="165">
        <v>2379306</v>
      </c>
      <c r="C60" s="166" t="s">
        <v>587</v>
      </c>
      <c r="D60" s="123"/>
      <c r="E60" s="159">
        <v>14501</v>
      </c>
      <c r="F60" s="159">
        <v>15152</v>
      </c>
      <c r="G60" s="123" t="s">
        <v>817</v>
      </c>
      <c r="H60" s="123" t="s">
        <v>399</v>
      </c>
    </row>
    <row r="61" spans="1:8">
      <c r="A61" s="165" t="s">
        <v>758</v>
      </c>
      <c r="B61" s="165">
        <v>2376490</v>
      </c>
      <c r="C61" s="166" t="s">
        <v>587</v>
      </c>
      <c r="D61" s="123"/>
      <c r="E61" s="159">
        <v>14601</v>
      </c>
      <c r="F61" s="159">
        <v>15117</v>
      </c>
      <c r="G61" s="123" t="s">
        <v>817</v>
      </c>
      <c r="H61" s="123" t="s">
        <v>526</v>
      </c>
    </row>
    <row r="62" spans="1:8">
      <c r="A62" s="165" t="s">
        <v>758</v>
      </c>
      <c r="B62" s="165">
        <v>2395202</v>
      </c>
      <c r="C62" s="166" t="s">
        <v>587</v>
      </c>
      <c r="D62" s="123"/>
      <c r="E62" s="159">
        <v>14638</v>
      </c>
      <c r="F62" s="159">
        <v>15390</v>
      </c>
      <c r="G62" s="123" t="s">
        <v>817</v>
      </c>
      <c r="H62" s="123" t="s">
        <v>531</v>
      </c>
    </row>
    <row r="63" spans="1:8">
      <c r="A63" s="165" t="s">
        <v>758</v>
      </c>
      <c r="B63" s="165">
        <v>2433916</v>
      </c>
      <c r="C63" s="166" t="s">
        <v>587</v>
      </c>
      <c r="D63" s="123" t="s">
        <v>653</v>
      </c>
      <c r="E63" s="159">
        <v>14650</v>
      </c>
      <c r="F63" s="159">
        <v>16076</v>
      </c>
      <c r="G63" s="123" t="s">
        <v>817</v>
      </c>
      <c r="H63" s="123" t="s">
        <v>654</v>
      </c>
    </row>
    <row r="64" spans="1:8">
      <c r="A64" s="165" t="s">
        <v>758</v>
      </c>
      <c r="B64" s="165">
        <v>2433916</v>
      </c>
      <c r="C64" s="166" t="s">
        <v>587</v>
      </c>
      <c r="D64" s="123" t="s">
        <v>653</v>
      </c>
      <c r="E64" s="159">
        <v>14650</v>
      </c>
      <c r="F64" s="159">
        <v>16076</v>
      </c>
      <c r="G64" s="123" t="s">
        <v>817</v>
      </c>
      <c r="H64" s="123" t="s">
        <v>726</v>
      </c>
    </row>
    <row r="65" spans="1:8">
      <c r="A65" s="165" t="s">
        <v>758</v>
      </c>
      <c r="B65" s="165">
        <v>2418037</v>
      </c>
      <c r="C65" s="166" t="s">
        <v>587</v>
      </c>
      <c r="D65" s="123" t="s">
        <v>542</v>
      </c>
      <c r="E65" s="159">
        <v>14699</v>
      </c>
      <c r="F65" s="159">
        <v>15789</v>
      </c>
      <c r="G65" s="123" t="s">
        <v>817</v>
      </c>
      <c r="H65" s="123" t="s">
        <v>539</v>
      </c>
    </row>
    <row r="66" spans="1:8">
      <c r="A66" s="165" t="s">
        <v>758</v>
      </c>
      <c r="B66" s="165">
        <v>2431759</v>
      </c>
      <c r="C66" s="166" t="s">
        <v>587</v>
      </c>
      <c r="D66" s="123"/>
      <c r="E66" s="159">
        <v>14699</v>
      </c>
      <c r="F66" s="159">
        <v>16041</v>
      </c>
      <c r="G66" s="123" t="s">
        <v>817</v>
      </c>
      <c r="H66" s="123" t="s">
        <v>539</v>
      </c>
    </row>
    <row r="67" spans="1:8">
      <c r="A67" s="165" t="s">
        <v>758</v>
      </c>
      <c r="B67" s="165">
        <v>2404545</v>
      </c>
      <c r="C67" s="166" t="s">
        <v>587</v>
      </c>
      <c r="D67" s="160" t="s">
        <v>541</v>
      </c>
      <c r="E67" s="161">
        <v>14728</v>
      </c>
      <c r="F67" s="161">
        <v>15544</v>
      </c>
      <c r="G67" s="160" t="s">
        <v>817</v>
      </c>
      <c r="H67" s="160" t="s">
        <v>531</v>
      </c>
    </row>
    <row r="68" spans="1:8">
      <c r="A68" s="165" t="s">
        <v>758</v>
      </c>
      <c r="B68" s="165">
        <v>2444273</v>
      </c>
      <c r="C68" s="166" t="s">
        <v>587</v>
      </c>
      <c r="D68" s="123"/>
      <c r="E68" s="159">
        <v>14728</v>
      </c>
      <c r="F68" s="159">
        <v>16251</v>
      </c>
      <c r="G68" s="123" t="s">
        <v>817</v>
      </c>
      <c r="H68" s="123" t="s">
        <v>531</v>
      </c>
    </row>
    <row r="69" spans="1:8">
      <c r="A69" s="165" t="s">
        <v>758</v>
      </c>
      <c r="B69" s="165">
        <v>2404545</v>
      </c>
      <c r="C69" s="166" t="s">
        <v>587</v>
      </c>
      <c r="D69" s="160" t="s">
        <v>541</v>
      </c>
      <c r="E69" s="161">
        <v>14728</v>
      </c>
      <c r="F69" s="161">
        <v>15544</v>
      </c>
      <c r="G69" s="160" t="s">
        <v>817</v>
      </c>
      <c r="H69" s="160" t="s">
        <v>531</v>
      </c>
    </row>
    <row r="70" spans="1:8">
      <c r="A70" s="165" t="s">
        <v>758</v>
      </c>
      <c r="B70" s="165">
        <v>2413390</v>
      </c>
      <c r="C70" s="166" t="s">
        <v>587</v>
      </c>
      <c r="D70" s="207"/>
      <c r="E70" s="200">
        <v>14761</v>
      </c>
      <c r="F70" s="200">
        <v>15705</v>
      </c>
      <c r="G70" s="207" t="s">
        <v>817</v>
      </c>
      <c r="H70" s="207" t="s">
        <v>531</v>
      </c>
    </row>
    <row r="71" spans="1:8">
      <c r="A71" s="165" t="s">
        <v>758</v>
      </c>
      <c r="B71" s="165">
        <v>2477836</v>
      </c>
      <c r="C71" s="166" t="s">
        <v>587</v>
      </c>
      <c r="D71" s="42">
        <v>551804</v>
      </c>
      <c r="E71" s="181">
        <v>14852</v>
      </c>
      <c r="F71" s="181">
        <v>16650</v>
      </c>
      <c r="G71" s="123" t="s">
        <v>817</v>
      </c>
      <c r="H71" s="42" t="s">
        <v>531</v>
      </c>
    </row>
    <row r="72" spans="1:8">
      <c r="A72" s="165" t="s">
        <v>758</v>
      </c>
      <c r="B72" s="165">
        <v>2464986</v>
      </c>
      <c r="C72" s="166" t="s">
        <v>587</v>
      </c>
      <c r="D72" s="207">
        <v>565913</v>
      </c>
      <c r="E72" s="200">
        <v>14944</v>
      </c>
      <c r="F72" s="200">
        <v>16517</v>
      </c>
      <c r="G72" s="123" t="s">
        <v>817</v>
      </c>
      <c r="H72" s="207" t="s">
        <v>661</v>
      </c>
    </row>
    <row r="73" spans="1:8">
      <c r="A73" s="165" t="s">
        <v>758</v>
      </c>
      <c r="B73" s="165">
        <v>2580372</v>
      </c>
      <c r="C73" s="166" t="s">
        <v>587</v>
      </c>
      <c r="D73" s="123">
        <v>596765</v>
      </c>
      <c r="E73" s="159">
        <v>15125</v>
      </c>
      <c r="F73" s="159">
        <v>17525</v>
      </c>
      <c r="G73" s="123" t="s">
        <v>817</v>
      </c>
      <c r="H73" s="123" t="s">
        <v>723</v>
      </c>
    </row>
    <row r="74" spans="1:8">
      <c r="A74" s="165" t="s">
        <v>758</v>
      </c>
      <c r="B74" s="165">
        <v>2550931</v>
      </c>
      <c r="C74" s="166" t="s">
        <v>587</v>
      </c>
      <c r="D74" s="123">
        <v>602290</v>
      </c>
      <c r="E74" s="159">
        <v>15155</v>
      </c>
      <c r="F74" s="159">
        <v>17287</v>
      </c>
      <c r="G74" s="123" t="s">
        <v>817</v>
      </c>
      <c r="H74" s="123" t="s">
        <v>662</v>
      </c>
    </row>
    <row r="75" spans="1:8">
      <c r="A75" s="165" t="s">
        <v>758</v>
      </c>
      <c r="B75" s="165">
        <v>2540765</v>
      </c>
      <c r="C75" s="166" t="s">
        <v>587</v>
      </c>
      <c r="D75" s="123">
        <v>613628</v>
      </c>
      <c r="E75" s="159">
        <v>15217</v>
      </c>
      <c r="F75" s="159">
        <v>17203</v>
      </c>
      <c r="G75" s="123" t="s">
        <v>817</v>
      </c>
      <c r="H75" s="123" t="s">
        <v>531</v>
      </c>
    </row>
    <row r="76" spans="1:8">
      <c r="A76" s="165" t="s">
        <v>758</v>
      </c>
      <c r="B76" s="165">
        <v>2438427</v>
      </c>
      <c r="C76" s="166" t="s">
        <v>587</v>
      </c>
      <c r="D76" s="123"/>
      <c r="E76" s="159">
        <v>15328</v>
      </c>
      <c r="F76" s="159">
        <v>16153</v>
      </c>
      <c r="G76" s="123" t="s">
        <v>817</v>
      </c>
      <c r="H76" s="123" t="s">
        <v>723</v>
      </c>
    </row>
    <row r="77" spans="1:8">
      <c r="A77" s="165" t="s">
        <v>758</v>
      </c>
      <c r="B77" s="165">
        <v>2524487</v>
      </c>
      <c r="C77" s="166" t="s">
        <v>587</v>
      </c>
      <c r="D77" s="123">
        <v>669723</v>
      </c>
      <c r="E77" s="159">
        <v>15474</v>
      </c>
      <c r="F77" s="159">
        <v>17077</v>
      </c>
      <c r="G77" s="123" t="s">
        <v>817</v>
      </c>
      <c r="H77" s="123" t="s">
        <v>531</v>
      </c>
    </row>
    <row r="79" spans="1:8" s="127" customFormat="1">
      <c r="A79" s="165" t="s">
        <v>758</v>
      </c>
      <c r="B79" s="165"/>
      <c r="C79" s="166" t="s">
        <v>587</v>
      </c>
      <c r="D79" s="42">
        <v>494612</v>
      </c>
      <c r="E79" s="164">
        <v>14439</v>
      </c>
      <c r="F79" s="164"/>
      <c r="G79" s="42"/>
      <c r="H79" s="42"/>
    </row>
    <row r="80" spans="1:8" s="127" customFormat="1">
      <c r="A80" s="165" t="s">
        <v>758</v>
      </c>
      <c r="B80" s="165"/>
      <c r="C80" s="166" t="s">
        <v>587</v>
      </c>
      <c r="D80" s="42">
        <v>570104</v>
      </c>
      <c r="E80" s="164">
        <v>14972</v>
      </c>
      <c r="F80" s="164"/>
      <c r="G80" s="42"/>
      <c r="H80" s="42"/>
    </row>
    <row r="81" spans="1:8" s="127" customFormat="1">
      <c r="A81" s="165"/>
      <c r="B81" s="165"/>
      <c r="C81" s="166"/>
      <c r="D81" s="42"/>
      <c r="E81" s="164"/>
      <c r="F81" s="164"/>
      <c r="G81" s="42"/>
      <c r="H81" s="42"/>
    </row>
    <row r="82" spans="1:8">
      <c r="A82" s="126" t="s">
        <v>1977</v>
      </c>
    </row>
    <row r="83" spans="1:8">
      <c r="A83" s="127" t="s">
        <v>2594</v>
      </c>
    </row>
    <row r="85" spans="1:8">
      <c r="A85" s="42" t="s">
        <v>2599</v>
      </c>
    </row>
    <row r="86" spans="1:8">
      <c r="A86" s="42" t="s">
        <v>2636</v>
      </c>
    </row>
    <row r="87" spans="1:8">
      <c r="A87" s="42" t="s">
        <v>2544</v>
      </c>
    </row>
    <row r="88" spans="1:8">
      <c r="A88" s="42" t="s">
        <v>2603</v>
      </c>
    </row>
    <row r="89" spans="1:8">
      <c r="A89" s="42" t="s">
        <v>1368</v>
      </c>
    </row>
    <row r="90" spans="1:8">
      <c r="A90" s="42" t="s">
        <v>1369</v>
      </c>
    </row>
    <row r="91" spans="1:8">
      <c r="A91" s="42" t="s">
        <v>1370</v>
      </c>
    </row>
    <row r="92" spans="1:8">
      <c r="A92" s="42" t="s">
        <v>2653</v>
      </c>
    </row>
    <row r="93" spans="1:8">
      <c r="A93" s="42" t="s">
        <v>2643</v>
      </c>
    </row>
    <row r="94" spans="1:8">
      <c r="A94" s="42" t="s">
        <v>2543</v>
      </c>
    </row>
    <row r="95" spans="1:8">
      <c r="A95" s="42" t="s">
        <v>2576</v>
      </c>
    </row>
    <row r="96" spans="1:8">
      <c r="A96" s="42" t="s">
        <v>164</v>
      </c>
    </row>
    <row r="97" spans="1:2">
      <c r="A97" s="42"/>
    </row>
    <row r="98" spans="1:2">
      <c r="A98" s="126" t="s">
        <v>1407</v>
      </c>
    </row>
    <row r="99" spans="1:2">
      <c r="A99" s="42" t="s">
        <v>2592</v>
      </c>
    </row>
    <row r="100" spans="1:2">
      <c r="A100" s="42" t="s">
        <v>2555</v>
      </c>
    </row>
    <row r="101" spans="1:2">
      <c r="A101" s="42" t="s">
        <v>2766</v>
      </c>
    </row>
    <row r="102" spans="1:2">
      <c r="A102" s="42"/>
    </row>
    <row r="103" spans="1:2">
      <c r="A103" s="126" t="s">
        <v>1411</v>
      </c>
    </row>
    <row r="104" spans="1:2">
      <c r="A104" s="216" t="s">
        <v>2635</v>
      </c>
      <c r="B104" s="127" t="s">
        <v>2652</v>
      </c>
    </row>
    <row r="105" spans="1:2">
      <c r="A105" s="216" t="s">
        <v>2682</v>
      </c>
      <c r="B105" s="127" t="s">
        <v>2630</v>
      </c>
    </row>
    <row r="106" spans="1:2">
      <c r="A106" s="42" t="s">
        <v>2595</v>
      </c>
      <c r="B106" s="127" t="s">
        <v>2574</v>
      </c>
    </row>
    <row r="107" spans="1:2">
      <c r="A107" s="42" t="s">
        <v>2556</v>
      </c>
      <c r="B107" s="127" t="s">
        <v>2574</v>
      </c>
    </row>
    <row r="108" spans="1:2">
      <c r="A108" s="42" t="s">
        <v>2575</v>
      </c>
      <c r="B108" s="127" t="s">
        <v>2681</v>
      </c>
    </row>
    <row r="109" spans="1:2">
      <c r="A109" s="42" t="s">
        <v>2537</v>
      </c>
      <c r="B109" s="127" t="s">
        <v>2577</v>
      </c>
    </row>
    <row r="110" spans="1:2">
      <c r="A110" s="42" t="s">
        <v>2575</v>
      </c>
      <c r="B110" s="127" t="s">
        <v>2578</v>
      </c>
    </row>
    <row r="111" spans="1:2">
      <c r="A111" s="189" t="s">
        <v>2633</v>
      </c>
      <c r="B111" s="127" t="s">
        <v>2560</v>
      </c>
    </row>
    <row r="113" spans="1:2">
      <c r="A113" s="126" t="s">
        <v>2644</v>
      </c>
    </row>
    <row r="114" spans="1:2">
      <c r="A114" s="127" t="s">
        <v>2617</v>
      </c>
      <c r="B114" s="127">
        <v>1924</v>
      </c>
    </row>
    <row r="115" spans="1:2">
      <c r="A115" s="127" t="s">
        <v>2645</v>
      </c>
      <c r="B115" s="127">
        <v>1930</v>
      </c>
    </row>
    <row r="116" spans="1:2">
      <c r="A116" s="127" t="s">
        <v>2535</v>
      </c>
      <c r="B116" s="127">
        <v>1930</v>
      </c>
    </row>
    <row r="117" spans="1:2">
      <c r="A117" s="127" t="s">
        <v>2536</v>
      </c>
      <c r="B117" s="127">
        <v>1930</v>
      </c>
    </row>
    <row r="121" spans="1:2" customFormat="1"/>
    <row r="122" spans="1:2" customFormat="1"/>
    <row r="123" spans="1:2" customFormat="1"/>
    <row r="124" spans="1:2" customFormat="1"/>
    <row r="125" spans="1:2" customFormat="1"/>
    <row r="126" spans="1:2" customFormat="1"/>
    <row r="127" spans="1:2" customFormat="1"/>
    <row r="128" spans="1:2"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spans="1:3" customFormat="1"/>
    <row r="210" spans="1:3">
      <c r="A210" s="42"/>
      <c r="C210" s="42"/>
    </row>
    <row r="211" spans="1:3">
      <c r="A211" s="42"/>
      <c r="C211" s="42"/>
    </row>
    <row r="212" spans="1:3">
      <c r="A212" s="42"/>
      <c r="C212" s="42"/>
    </row>
    <row r="213" spans="1:3">
      <c r="A213" s="42"/>
      <c r="C213" s="42"/>
    </row>
    <row r="214" spans="1:3">
      <c r="A214" s="42"/>
      <c r="C214" s="42"/>
    </row>
    <row r="215" spans="1:3">
      <c r="A215" s="42"/>
      <c r="C215" s="42"/>
    </row>
    <row r="216" spans="1:3">
      <c r="A216" s="42"/>
      <c r="C216" s="42"/>
    </row>
    <row r="217" spans="1:3">
      <c r="A217" s="42"/>
      <c r="C217" s="42"/>
    </row>
    <row r="218" spans="1:3">
      <c r="A218" s="42"/>
      <c r="C218" s="42"/>
    </row>
    <row r="219" spans="1:3">
      <c r="A219" s="42"/>
      <c r="C219" s="42"/>
    </row>
    <row r="220" spans="1:3">
      <c r="A220" s="42"/>
      <c r="C220" s="42"/>
    </row>
    <row r="221" spans="1:3">
      <c r="A221" s="42"/>
      <c r="C221" s="42"/>
    </row>
    <row r="222" spans="1:3">
      <c r="A222" s="42"/>
      <c r="C222" s="42"/>
    </row>
    <row r="223" spans="1:3">
      <c r="A223" s="42"/>
      <c r="C223" s="42"/>
    </row>
    <row r="224" spans="1:3">
      <c r="A224" s="42"/>
      <c r="C224" s="42"/>
    </row>
    <row r="225" spans="1:3">
      <c r="A225" s="42"/>
      <c r="C225" s="42"/>
    </row>
    <row r="226" spans="1:3">
      <c r="A226" s="42"/>
      <c r="C226" s="42"/>
    </row>
    <row r="227" spans="1:3">
      <c r="A227" s="42"/>
      <c r="C227" s="42"/>
    </row>
    <row r="228" spans="1:3">
      <c r="A228" s="42"/>
      <c r="C228" s="42"/>
    </row>
    <row r="229" spans="1:3">
      <c r="A229" s="42"/>
      <c r="C229" s="42"/>
    </row>
    <row r="230" spans="1:3">
      <c r="A230" s="42"/>
      <c r="C230" s="42"/>
    </row>
    <row r="231" spans="1:3">
      <c r="A231" s="42"/>
      <c r="C231" s="42"/>
    </row>
    <row r="232" spans="1:3">
      <c r="A232" s="42"/>
      <c r="C232" s="42"/>
    </row>
    <row r="233" spans="1:3">
      <c r="A233" s="42"/>
      <c r="C233" s="42"/>
    </row>
    <row r="234" spans="1:3">
      <c r="A234" s="42"/>
      <c r="C234" s="42"/>
    </row>
    <row r="235" spans="1:3">
      <c r="A235" s="42"/>
      <c r="C235" s="42"/>
    </row>
    <row r="236" spans="1:3">
      <c r="A236" s="42"/>
      <c r="C236" s="42"/>
    </row>
    <row r="237" spans="1:3">
      <c r="A237" s="42"/>
      <c r="C237" s="42"/>
    </row>
    <row r="238" spans="1:3">
      <c r="A238" s="42"/>
      <c r="C238" s="42"/>
    </row>
    <row r="239" spans="1:3">
      <c r="A239" s="42"/>
      <c r="C239" s="42"/>
    </row>
    <row r="240" spans="1:3">
      <c r="A240" s="42"/>
      <c r="C240" s="42"/>
    </row>
    <row r="241" spans="1:3">
      <c r="A241" s="42"/>
      <c r="C241" s="42"/>
    </row>
    <row r="242" spans="1:3">
      <c r="A242" s="42"/>
      <c r="C242" s="42"/>
    </row>
    <row r="243" spans="1:3">
      <c r="A243" s="42"/>
      <c r="C243" s="42"/>
    </row>
    <row r="244" spans="1:3">
      <c r="A244" s="42"/>
      <c r="C244" s="42"/>
    </row>
    <row r="245" spans="1:3">
      <c r="A245" s="42"/>
      <c r="C245" s="42"/>
    </row>
    <row r="246" spans="1:3">
      <c r="A246" s="42"/>
      <c r="C246" s="42"/>
    </row>
    <row r="247" spans="1:3">
      <c r="A247" s="42"/>
      <c r="C247" s="42"/>
    </row>
    <row r="248" spans="1:3">
      <c r="A248" s="42"/>
      <c r="C248" s="42"/>
    </row>
    <row r="249" spans="1:3">
      <c r="A249" s="42"/>
      <c r="C249" s="42"/>
    </row>
    <row r="250" spans="1:3">
      <c r="A250" s="42"/>
      <c r="C250" s="42"/>
    </row>
    <row r="251" spans="1:3">
      <c r="A251" s="42"/>
      <c r="C251" s="42"/>
    </row>
    <row r="252" spans="1:3">
      <c r="A252" s="42"/>
      <c r="C252" s="42"/>
    </row>
    <row r="253" spans="1:3">
      <c r="A253" s="42"/>
      <c r="C253" s="42"/>
    </row>
    <row r="254" spans="1:3">
      <c r="A254" s="42"/>
      <c r="C254" s="42"/>
    </row>
    <row r="255" spans="1:3">
      <c r="A255" s="42"/>
      <c r="C255" s="42"/>
    </row>
    <row r="256" spans="1:3">
      <c r="A256" s="42"/>
      <c r="C256" s="42"/>
    </row>
    <row r="257" spans="1:3">
      <c r="A257" s="42"/>
      <c r="C257" s="42"/>
    </row>
    <row r="258" spans="1:3">
      <c r="A258" s="42"/>
      <c r="C258" s="42"/>
    </row>
    <row r="259" spans="1:3">
      <c r="A259" s="42"/>
      <c r="C259" s="42"/>
    </row>
    <row r="260" spans="1:3">
      <c r="A260" s="42"/>
      <c r="C260" s="42"/>
    </row>
    <row r="261" spans="1:3">
      <c r="A261" s="42"/>
      <c r="C261" s="42"/>
    </row>
    <row r="262" spans="1:3">
      <c r="A262" s="42"/>
      <c r="C262" s="42"/>
    </row>
    <row r="263" spans="1:3">
      <c r="A263" s="42"/>
      <c r="C263" s="42"/>
    </row>
    <row r="264" spans="1:3">
      <c r="A264" s="42"/>
      <c r="C264" s="42"/>
    </row>
    <row r="265" spans="1:3">
      <c r="A265" s="42"/>
      <c r="C265" s="42"/>
    </row>
    <row r="266" spans="1:3">
      <c r="A266" s="42"/>
      <c r="C266" s="42"/>
    </row>
    <row r="267" spans="1:3">
      <c r="A267" s="42"/>
      <c r="C267" s="42"/>
    </row>
    <row r="268" spans="1:3">
      <c r="A268" s="42"/>
      <c r="C268" s="42"/>
    </row>
    <row r="269" spans="1:3">
      <c r="A269" s="42"/>
      <c r="C269" s="42"/>
    </row>
    <row r="270" spans="1:3">
      <c r="A270" s="42"/>
      <c r="C270" s="42"/>
    </row>
    <row r="271" spans="1:3">
      <c r="A271" s="42"/>
      <c r="C271" s="42"/>
    </row>
    <row r="272" spans="1:3">
      <c r="A272" s="42"/>
      <c r="C272" s="42"/>
    </row>
    <row r="273" spans="1:3">
      <c r="A273" s="42"/>
      <c r="C273" s="42"/>
    </row>
    <row r="274" spans="1:3">
      <c r="A274" s="42"/>
      <c r="C274" s="42"/>
    </row>
    <row r="275" spans="1:3">
      <c r="A275" s="42"/>
      <c r="C275" s="42"/>
    </row>
    <row r="276" spans="1:3">
      <c r="A276" s="42"/>
      <c r="C276" s="42"/>
    </row>
    <row r="277" spans="1:3">
      <c r="A277" s="42"/>
      <c r="C277" s="42"/>
    </row>
    <row r="278" spans="1:3">
      <c r="A278" s="42"/>
      <c r="C278" s="42"/>
    </row>
    <row r="279" spans="1:3">
      <c r="A279" s="42"/>
      <c r="C279" s="42"/>
    </row>
    <row r="280" spans="1:3">
      <c r="A280" s="42"/>
      <c r="C280" s="42"/>
    </row>
    <row r="281" spans="1:3">
      <c r="A281" s="42"/>
      <c r="C281" s="42"/>
    </row>
    <row r="282" spans="1:3">
      <c r="A282" s="42"/>
      <c r="C282" s="42"/>
    </row>
    <row r="283" spans="1:3">
      <c r="A283" s="42"/>
      <c r="C283" s="42"/>
    </row>
  </sheetData>
  <sortState ref="A3:I77">
    <sortCondition ref="E3:E77"/>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215"/>
  <sheetViews>
    <sheetView workbookViewId="0">
      <selection activeCell="I33" sqref="I33"/>
    </sheetView>
  </sheetViews>
  <sheetFormatPr baseColWidth="10" defaultRowHeight="13"/>
  <cols>
    <col min="1" max="3" width="10.7109375" style="127"/>
    <col min="4" max="4" width="8.7109375" style="83" bestFit="1" customWidth="1"/>
    <col min="5" max="16384" width="10.7109375" style="83"/>
  </cols>
  <sheetData>
    <row r="1" spans="1:6" ht="39">
      <c r="A1" s="100" t="s">
        <v>1869</v>
      </c>
      <c r="B1" s="100" t="s">
        <v>2173</v>
      </c>
      <c r="C1" s="100" t="s">
        <v>1169</v>
      </c>
      <c r="D1" s="82" t="s">
        <v>2174</v>
      </c>
      <c r="E1" s="82" t="s">
        <v>2022</v>
      </c>
      <c r="F1" s="82" t="s">
        <v>2023</v>
      </c>
    </row>
    <row r="2" spans="1:6">
      <c r="A2" s="212" t="s">
        <v>2235</v>
      </c>
      <c r="B2" s="100"/>
      <c r="C2" s="100"/>
      <c r="D2" s="82"/>
      <c r="E2" s="82"/>
      <c r="F2" s="82"/>
    </row>
    <row r="3" spans="1:6">
      <c r="A3" s="213" t="s">
        <v>1167</v>
      </c>
      <c r="B3" s="213">
        <v>1958672</v>
      </c>
      <c r="C3" s="214" t="s">
        <v>1174</v>
      </c>
      <c r="D3" s="85">
        <v>8921</v>
      </c>
      <c r="E3" s="85">
        <v>11092</v>
      </c>
      <c r="F3" s="83" t="s">
        <v>2176</v>
      </c>
    </row>
    <row r="4" spans="1:6">
      <c r="A4" s="213" t="s">
        <v>1167</v>
      </c>
      <c r="B4" s="213">
        <v>1911106</v>
      </c>
      <c r="C4" s="214" t="s">
        <v>1174</v>
      </c>
      <c r="D4" s="85">
        <v>9987</v>
      </c>
      <c r="E4" s="85">
        <v>10735</v>
      </c>
      <c r="F4" s="83" t="s">
        <v>1979</v>
      </c>
    </row>
    <row r="5" spans="1:6">
      <c r="A5" s="213" t="s">
        <v>1167</v>
      </c>
      <c r="B5" s="213">
        <v>1873227</v>
      </c>
      <c r="C5" s="214" t="s">
        <v>1174</v>
      </c>
      <c r="D5" s="85">
        <v>10099</v>
      </c>
      <c r="E5" s="85">
        <v>10462</v>
      </c>
      <c r="F5" s="83" t="s">
        <v>2237</v>
      </c>
    </row>
    <row r="6" spans="1:6">
      <c r="A6" s="213" t="s">
        <v>1167</v>
      </c>
      <c r="B6" s="213">
        <v>1873176</v>
      </c>
      <c r="C6" s="214" t="s">
        <v>1174</v>
      </c>
      <c r="D6" s="85">
        <v>10127</v>
      </c>
      <c r="E6" s="85">
        <v>10462</v>
      </c>
      <c r="F6" s="83" t="s">
        <v>2236</v>
      </c>
    </row>
    <row r="7" spans="1:6">
      <c r="A7" s="213" t="s">
        <v>1167</v>
      </c>
      <c r="B7" s="213">
        <v>1906511</v>
      </c>
      <c r="C7" s="214" t="s">
        <v>1174</v>
      </c>
      <c r="D7" s="85">
        <v>10127</v>
      </c>
      <c r="E7" s="85">
        <v>10714</v>
      </c>
      <c r="F7" s="83" t="s">
        <v>2187</v>
      </c>
    </row>
    <row r="8" spans="1:6">
      <c r="A8" s="213" t="s">
        <v>1167</v>
      </c>
      <c r="B8" s="213">
        <v>1916296</v>
      </c>
      <c r="C8" s="214" t="s">
        <v>1174</v>
      </c>
      <c r="D8" s="85">
        <v>10127</v>
      </c>
      <c r="E8" s="85">
        <v>10777</v>
      </c>
      <c r="F8" s="83" t="s">
        <v>2188</v>
      </c>
    </row>
    <row r="9" spans="1:6">
      <c r="A9" s="213" t="s">
        <v>1167</v>
      </c>
      <c r="B9" s="213">
        <v>1902301</v>
      </c>
      <c r="C9" s="214" t="s">
        <v>1174</v>
      </c>
      <c r="D9" s="85">
        <v>10188</v>
      </c>
      <c r="E9" s="85">
        <v>10672</v>
      </c>
      <c r="F9" s="83" t="s">
        <v>1979</v>
      </c>
    </row>
    <row r="10" spans="1:6">
      <c r="A10" s="213" t="s">
        <v>1167</v>
      </c>
      <c r="B10" s="213">
        <v>1926034</v>
      </c>
      <c r="C10" s="214" t="s">
        <v>1174</v>
      </c>
      <c r="D10" s="85">
        <v>10209</v>
      </c>
      <c r="E10" s="85">
        <v>10847</v>
      </c>
      <c r="F10" s="83" t="s">
        <v>1979</v>
      </c>
    </row>
    <row r="11" spans="1:6">
      <c r="A11" s="213" t="s">
        <v>1167</v>
      </c>
      <c r="B11" s="213">
        <v>1959227</v>
      </c>
      <c r="C11" s="214" t="s">
        <v>1174</v>
      </c>
      <c r="D11" s="85">
        <v>10231</v>
      </c>
      <c r="E11" s="85">
        <v>11092</v>
      </c>
      <c r="F11" s="83" t="s">
        <v>2188</v>
      </c>
    </row>
    <row r="12" spans="1:6">
      <c r="A12" s="213" t="s">
        <v>1167</v>
      </c>
      <c r="B12" s="213">
        <v>1960366</v>
      </c>
      <c r="C12" s="214" t="s">
        <v>1174</v>
      </c>
      <c r="D12" s="85">
        <v>10231</v>
      </c>
      <c r="E12" s="85">
        <v>11106</v>
      </c>
      <c r="F12" s="83" t="s">
        <v>1978</v>
      </c>
    </row>
    <row r="13" spans="1:6">
      <c r="A13" s="213" t="s">
        <v>1167</v>
      </c>
      <c r="B13" s="213">
        <v>1983431</v>
      </c>
      <c r="C13" s="214" t="s">
        <v>1174</v>
      </c>
      <c r="D13" s="85">
        <v>10238</v>
      </c>
      <c r="E13" s="85">
        <v>11295</v>
      </c>
      <c r="F13" s="83" t="s">
        <v>2188</v>
      </c>
    </row>
    <row r="14" spans="1:6">
      <c r="A14" s="213" t="s">
        <v>1167</v>
      </c>
      <c r="B14" s="213">
        <v>1912361</v>
      </c>
      <c r="C14" s="214" t="s">
        <v>1174</v>
      </c>
      <c r="D14" s="85">
        <v>10239</v>
      </c>
      <c r="E14" s="85">
        <v>10749</v>
      </c>
      <c r="F14" s="83" t="s">
        <v>1979</v>
      </c>
    </row>
    <row r="15" spans="1:6">
      <c r="A15" s="213" t="s">
        <v>1167</v>
      </c>
      <c r="B15" s="213">
        <v>1919199</v>
      </c>
      <c r="C15" s="214" t="s">
        <v>1174</v>
      </c>
      <c r="D15" s="85">
        <v>10239</v>
      </c>
      <c r="E15" s="85">
        <v>10798</v>
      </c>
      <c r="F15" s="83" t="s">
        <v>1979</v>
      </c>
    </row>
    <row r="16" spans="1:6">
      <c r="A16" s="213" t="s">
        <v>1167</v>
      </c>
      <c r="B16" s="213">
        <v>1897951</v>
      </c>
      <c r="C16" s="214" t="s">
        <v>1174</v>
      </c>
      <c r="D16" s="85">
        <v>10259</v>
      </c>
      <c r="E16" s="85">
        <v>10637</v>
      </c>
      <c r="F16" s="83" t="s">
        <v>1979</v>
      </c>
    </row>
    <row r="17" spans="1:6">
      <c r="A17" s="213" t="s">
        <v>1167</v>
      </c>
      <c r="B17" s="213">
        <v>1944168</v>
      </c>
      <c r="C17" s="214" t="s">
        <v>1174</v>
      </c>
      <c r="D17" s="85">
        <v>10317</v>
      </c>
      <c r="E17" s="85">
        <v>10980</v>
      </c>
      <c r="F17" s="83" t="s">
        <v>1979</v>
      </c>
    </row>
    <row r="18" spans="1:6">
      <c r="A18" s="213" t="s">
        <v>1167</v>
      </c>
      <c r="B18" s="213">
        <v>2015776</v>
      </c>
      <c r="C18" s="214" t="s">
        <v>1174</v>
      </c>
      <c r="D18" s="85">
        <v>10329</v>
      </c>
      <c r="E18" s="85">
        <v>11596</v>
      </c>
      <c r="F18" s="83" t="s">
        <v>2188</v>
      </c>
    </row>
    <row r="19" spans="1:6">
      <c r="A19" s="213" t="s">
        <v>1167</v>
      </c>
      <c r="B19" s="213">
        <v>1927467</v>
      </c>
      <c r="C19" s="214" t="s">
        <v>1174</v>
      </c>
      <c r="D19" s="85">
        <v>10441</v>
      </c>
      <c r="E19" s="85">
        <v>10854</v>
      </c>
      <c r="F19" s="83" t="s">
        <v>2175</v>
      </c>
    </row>
    <row r="20" spans="1:6">
      <c r="A20" s="213" t="s">
        <v>1171</v>
      </c>
      <c r="B20" s="213">
        <v>1936376</v>
      </c>
      <c r="C20" s="214" t="s">
        <v>1174</v>
      </c>
      <c r="D20" s="85">
        <v>10489</v>
      </c>
      <c r="E20" s="85">
        <v>10917</v>
      </c>
      <c r="F20" s="83" t="s">
        <v>1172</v>
      </c>
    </row>
    <row r="21" spans="1:6">
      <c r="A21" s="213" t="s">
        <v>1167</v>
      </c>
      <c r="B21" s="213">
        <v>2043956</v>
      </c>
      <c r="C21" s="214" t="s">
        <v>1174</v>
      </c>
      <c r="D21" s="85">
        <v>11361</v>
      </c>
      <c r="E21" s="85">
        <v>11848</v>
      </c>
      <c r="F21" s="83" t="s">
        <v>1979</v>
      </c>
    </row>
    <row r="23" spans="1:6">
      <c r="A23" s="127" t="s">
        <v>1245</v>
      </c>
    </row>
    <row r="25" spans="1:6">
      <c r="A25" s="126" t="s">
        <v>1977</v>
      </c>
    </row>
    <row r="26" spans="1:6">
      <c r="A26" s="127" t="s">
        <v>2050</v>
      </c>
    </row>
    <row r="28" spans="1:6">
      <c r="A28" s="42" t="s">
        <v>1185</v>
      </c>
    </row>
    <row r="29" spans="1:6">
      <c r="A29" s="42" t="s">
        <v>1284</v>
      </c>
    </row>
    <row r="30" spans="1:6">
      <c r="A30" s="42" t="s">
        <v>1285</v>
      </c>
    </row>
    <row r="31" spans="1:6">
      <c r="A31" s="42" t="s">
        <v>1286</v>
      </c>
    </row>
    <row r="32" spans="1:6">
      <c r="A32" s="42" t="s">
        <v>1368</v>
      </c>
    </row>
    <row r="33" spans="1:2">
      <c r="A33" s="42" t="s">
        <v>1369</v>
      </c>
    </row>
    <row r="34" spans="1:2">
      <c r="A34" s="42" t="s">
        <v>1168</v>
      </c>
    </row>
    <row r="35" spans="1:2">
      <c r="A35" s="42" t="s">
        <v>1321</v>
      </c>
    </row>
    <row r="36" spans="1:2">
      <c r="A36" s="42" t="s">
        <v>1158</v>
      </c>
    </row>
    <row r="37" spans="1:2">
      <c r="A37" s="42" t="s">
        <v>1287</v>
      </c>
    </row>
    <row r="38" spans="1:2">
      <c r="A38" s="42" t="s">
        <v>1320</v>
      </c>
    </row>
    <row r="39" spans="1:2">
      <c r="A39" s="42"/>
    </row>
    <row r="40" spans="1:2">
      <c r="A40" s="126" t="s">
        <v>1407</v>
      </c>
    </row>
    <row r="41" spans="1:2">
      <c r="A41" s="42" t="s">
        <v>1322</v>
      </c>
    </row>
    <row r="42" spans="1:2">
      <c r="A42" s="42" t="s">
        <v>2671</v>
      </c>
    </row>
    <row r="43" spans="1:2">
      <c r="A43" s="42"/>
    </row>
    <row r="44" spans="1:2">
      <c r="A44" s="126" t="s">
        <v>1411</v>
      </c>
    </row>
    <row r="45" spans="1:2">
      <c r="A45" s="42" t="s">
        <v>1278</v>
      </c>
      <c r="B45" s="127">
        <v>1924</v>
      </c>
    </row>
    <row r="46" spans="1:2">
      <c r="A46" s="42" t="s">
        <v>1279</v>
      </c>
      <c r="B46" s="127">
        <v>1924</v>
      </c>
    </row>
    <row r="47" spans="1:2">
      <c r="A47" s="42" t="s">
        <v>1166</v>
      </c>
      <c r="B47" s="127">
        <v>1924</v>
      </c>
    </row>
    <row r="48" spans="1:2">
      <c r="A48" s="42"/>
    </row>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spans="1:3" customFormat="1"/>
    <row r="130" spans="1:3" customFormat="1"/>
    <row r="131" spans="1:3" customFormat="1"/>
    <row r="132" spans="1:3" customFormat="1"/>
    <row r="133" spans="1:3" customFormat="1"/>
    <row r="134" spans="1:3" customFormat="1"/>
    <row r="135" spans="1:3" customFormat="1"/>
    <row r="136" spans="1:3" customFormat="1"/>
    <row r="137" spans="1:3" customFormat="1"/>
    <row r="138" spans="1:3" customFormat="1"/>
    <row r="139" spans="1:3" customFormat="1"/>
    <row r="140" spans="1:3" customFormat="1"/>
    <row r="141" spans="1:3">
      <c r="A141" s="42"/>
      <c r="B141" s="42"/>
      <c r="C141" s="42"/>
    </row>
    <row r="142" spans="1:3">
      <c r="A142" s="42"/>
      <c r="B142" s="42"/>
      <c r="C142" s="42"/>
    </row>
    <row r="143" spans="1:3">
      <c r="A143" s="42"/>
      <c r="B143" s="42"/>
      <c r="C143" s="42"/>
    </row>
    <row r="144" spans="1:3">
      <c r="A144" s="42"/>
      <c r="B144" s="42"/>
      <c r="C144" s="42"/>
    </row>
    <row r="145" spans="1:3">
      <c r="A145" s="42"/>
      <c r="B145" s="42"/>
      <c r="C145" s="42"/>
    </row>
    <row r="146" spans="1:3">
      <c r="A146" s="42"/>
      <c r="B146" s="42"/>
      <c r="C146" s="42"/>
    </row>
    <row r="147" spans="1:3">
      <c r="A147" s="42"/>
      <c r="B147" s="42"/>
      <c r="C147" s="42"/>
    </row>
    <row r="148" spans="1:3">
      <c r="A148" s="42"/>
      <c r="B148" s="42"/>
      <c r="C148" s="42"/>
    </row>
    <row r="149" spans="1:3">
      <c r="A149" s="42"/>
      <c r="B149" s="42"/>
      <c r="C149" s="42"/>
    </row>
    <row r="150" spans="1:3">
      <c r="A150" s="42"/>
      <c r="B150" s="42"/>
      <c r="C150" s="42"/>
    </row>
    <row r="151" spans="1:3">
      <c r="A151" s="42"/>
      <c r="B151" s="42"/>
      <c r="C151" s="42"/>
    </row>
    <row r="152" spans="1:3">
      <c r="A152" s="42"/>
      <c r="B152" s="42"/>
      <c r="C152" s="42"/>
    </row>
    <row r="153" spans="1:3">
      <c r="A153" s="42"/>
      <c r="B153" s="42"/>
      <c r="C153" s="42"/>
    </row>
    <row r="154" spans="1:3">
      <c r="A154" s="42"/>
      <c r="B154" s="42"/>
      <c r="C154" s="42"/>
    </row>
    <row r="155" spans="1:3">
      <c r="A155" s="42"/>
      <c r="B155" s="42"/>
      <c r="C155" s="42"/>
    </row>
    <row r="156" spans="1:3">
      <c r="A156" s="42"/>
      <c r="B156" s="42"/>
      <c r="C156" s="42"/>
    </row>
    <row r="157" spans="1:3">
      <c r="A157" s="42"/>
      <c r="B157" s="42"/>
      <c r="C157" s="42"/>
    </row>
    <row r="158" spans="1:3">
      <c r="A158" s="42"/>
      <c r="B158" s="42"/>
      <c r="C158" s="42"/>
    </row>
    <row r="159" spans="1:3">
      <c r="A159" s="42"/>
      <c r="B159" s="42"/>
      <c r="C159" s="42"/>
    </row>
    <row r="160" spans="1:3">
      <c r="A160" s="42"/>
      <c r="B160" s="42"/>
      <c r="C160" s="42"/>
    </row>
    <row r="161" spans="1:3">
      <c r="A161" s="42"/>
      <c r="B161" s="42"/>
      <c r="C161" s="42"/>
    </row>
    <row r="162" spans="1:3">
      <c r="A162" s="42"/>
      <c r="B162" s="42"/>
      <c r="C162" s="42"/>
    </row>
    <row r="163" spans="1:3">
      <c r="A163" s="42"/>
      <c r="B163" s="42"/>
      <c r="C163" s="42"/>
    </row>
    <row r="164" spans="1:3">
      <c r="A164" s="42"/>
      <c r="B164" s="42"/>
      <c r="C164" s="42"/>
    </row>
    <row r="165" spans="1:3">
      <c r="A165" s="42"/>
      <c r="B165" s="42"/>
      <c r="C165" s="42"/>
    </row>
    <row r="166" spans="1:3">
      <c r="A166" s="42"/>
      <c r="B166" s="42"/>
      <c r="C166" s="42"/>
    </row>
    <row r="167" spans="1:3">
      <c r="A167" s="42"/>
      <c r="B167" s="42"/>
      <c r="C167" s="42"/>
    </row>
    <row r="168" spans="1:3">
      <c r="A168" s="42"/>
      <c r="B168" s="42"/>
      <c r="C168" s="42"/>
    </row>
    <row r="169" spans="1:3">
      <c r="A169" s="42"/>
      <c r="B169" s="42"/>
      <c r="C169" s="42"/>
    </row>
    <row r="170" spans="1:3">
      <c r="A170" s="42"/>
      <c r="B170" s="42"/>
      <c r="C170" s="42"/>
    </row>
    <row r="171" spans="1:3">
      <c r="A171" s="42"/>
      <c r="B171" s="42"/>
      <c r="C171" s="42"/>
    </row>
    <row r="172" spans="1:3">
      <c r="A172" s="42"/>
      <c r="B172" s="42"/>
      <c r="C172" s="42"/>
    </row>
    <row r="173" spans="1:3">
      <c r="A173" s="42"/>
      <c r="B173" s="42"/>
      <c r="C173" s="42"/>
    </row>
    <row r="174" spans="1:3">
      <c r="A174" s="42"/>
      <c r="B174" s="42"/>
      <c r="C174" s="42"/>
    </row>
    <row r="175" spans="1:3">
      <c r="A175" s="42"/>
      <c r="B175" s="42"/>
      <c r="C175" s="42"/>
    </row>
    <row r="176" spans="1:3">
      <c r="A176" s="42"/>
      <c r="B176" s="42"/>
      <c r="C176" s="42"/>
    </row>
    <row r="177" spans="1:3">
      <c r="A177" s="42"/>
      <c r="B177" s="42"/>
      <c r="C177" s="42"/>
    </row>
    <row r="178" spans="1:3">
      <c r="A178" s="42"/>
      <c r="B178" s="42"/>
      <c r="C178" s="42"/>
    </row>
    <row r="179" spans="1:3">
      <c r="A179" s="42"/>
      <c r="B179" s="42"/>
      <c r="C179" s="42"/>
    </row>
    <row r="180" spans="1:3">
      <c r="A180" s="42"/>
      <c r="B180" s="42"/>
      <c r="C180" s="42"/>
    </row>
    <row r="181" spans="1:3">
      <c r="A181" s="42"/>
      <c r="B181" s="42"/>
      <c r="C181" s="42"/>
    </row>
    <row r="182" spans="1:3">
      <c r="A182" s="42"/>
      <c r="B182" s="42"/>
      <c r="C182" s="42"/>
    </row>
    <row r="183" spans="1:3">
      <c r="A183" s="42"/>
      <c r="B183" s="42"/>
      <c r="C183" s="42"/>
    </row>
    <row r="184" spans="1:3">
      <c r="A184" s="42"/>
      <c r="B184" s="42"/>
      <c r="C184" s="42"/>
    </row>
    <row r="185" spans="1:3">
      <c r="A185" s="42"/>
      <c r="B185" s="42"/>
      <c r="C185" s="42"/>
    </row>
    <row r="186" spans="1:3">
      <c r="A186" s="42"/>
      <c r="B186" s="42"/>
      <c r="C186" s="42"/>
    </row>
    <row r="187" spans="1:3">
      <c r="A187" s="42"/>
      <c r="B187" s="42"/>
      <c r="C187" s="42"/>
    </row>
    <row r="188" spans="1:3">
      <c r="A188" s="42"/>
      <c r="B188" s="42"/>
      <c r="C188" s="42"/>
    </row>
    <row r="189" spans="1:3">
      <c r="A189" s="42"/>
      <c r="B189" s="42"/>
      <c r="C189" s="42"/>
    </row>
    <row r="190" spans="1:3">
      <c r="A190" s="42"/>
      <c r="B190" s="42"/>
      <c r="C190" s="42"/>
    </row>
    <row r="191" spans="1:3">
      <c r="A191" s="42"/>
      <c r="B191" s="42"/>
      <c r="C191" s="42"/>
    </row>
    <row r="192" spans="1:3">
      <c r="A192" s="42"/>
      <c r="B192" s="42"/>
      <c r="C192" s="42"/>
    </row>
    <row r="193" spans="1:3">
      <c r="A193" s="42"/>
      <c r="B193" s="42"/>
      <c r="C193" s="42"/>
    </row>
    <row r="194" spans="1:3">
      <c r="A194" s="42"/>
      <c r="B194" s="42"/>
      <c r="C194" s="42"/>
    </row>
    <row r="195" spans="1:3">
      <c r="A195" s="42"/>
      <c r="B195" s="42"/>
      <c r="C195" s="42"/>
    </row>
    <row r="196" spans="1:3">
      <c r="A196" s="42"/>
      <c r="B196" s="42"/>
      <c r="C196" s="42"/>
    </row>
    <row r="197" spans="1:3">
      <c r="A197" s="42"/>
      <c r="B197" s="42"/>
      <c r="C197" s="42"/>
    </row>
    <row r="198" spans="1:3">
      <c r="A198" s="42"/>
      <c r="B198" s="42"/>
      <c r="C198" s="42"/>
    </row>
    <row r="199" spans="1:3">
      <c r="A199" s="42"/>
      <c r="B199" s="42"/>
      <c r="C199" s="42"/>
    </row>
    <row r="200" spans="1:3">
      <c r="A200" s="42"/>
      <c r="B200" s="42"/>
      <c r="C200" s="42"/>
    </row>
    <row r="201" spans="1:3">
      <c r="A201" s="42"/>
      <c r="B201" s="42"/>
      <c r="C201" s="42"/>
    </row>
    <row r="202" spans="1:3">
      <c r="A202" s="42"/>
      <c r="B202" s="42"/>
      <c r="C202" s="42"/>
    </row>
    <row r="203" spans="1:3">
      <c r="A203" s="42"/>
      <c r="B203" s="42"/>
      <c r="C203" s="42"/>
    </row>
    <row r="204" spans="1:3">
      <c r="A204" s="42"/>
      <c r="B204" s="42"/>
      <c r="C204" s="42"/>
    </row>
    <row r="205" spans="1:3">
      <c r="A205" s="42"/>
      <c r="B205" s="42"/>
      <c r="C205" s="42"/>
    </row>
    <row r="206" spans="1:3">
      <c r="A206" s="42"/>
      <c r="B206" s="42"/>
      <c r="C206" s="42"/>
    </row>
    <row r="207" spans="1:3">
      <c r="A207" s="42"/>
      <c r="B207" s="42"/>
      <c r="C207" s="42"/>
    </row>
    <row r="208" spans="1:3">
      <c r="A208" s="42"/>
      <c r="B208" s="42"/>
      <c r="C208" s="42"/>
    </row>
    <row r="209" spans="1:3">
      <c r="A209" s="42"/>
      <c r="B209" s="42"/>
      <c r="C209" s="42"/>
    </row>
    <row r="210" spans="1:3">
      <c r="A210" s="42"/>
      <c r="B210" s="42"/>
      <c r="C210" s="42"/>
    </row>
    <row r="211" spans="1:3">
      <c r="A211" s="42"/>
      <c r="B211" s="42"/>
      <c r="C211" s="42"/>
    </row>
    <row r="212" spans="1:3">
      <c r="A212" s="42"/>
      <c r="B212" s="42"/>
      <c r="C212" s="42"/>
    </row>
    <row r="213" spans="1:3">
      <c r="A213" s="42"/>
    </row>
    <row r="214" spans="1:3">
      <c r="A214" s="42"/>
    </row>
    <row r="215" spans="1:3">
      <c r="A215" s="42"/>
    </row>
  </sheetData>
  <sortState ref="A3:G21">
    <sortCondition ref="D3:D21"/>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G369"/>
  <sheetViews>
    <sheetView workbookViewId="0">
      <selection activeCell="A184" sqref="A184:XFD277"/>
    </sheetView>
  </sheetViews>
  <sheetFormatPr baseColWidth="10" defaultRowHeight="13"/>
  <cols>
    <col min="1" max="3" width="10.7109375" style="127"/>
    <col min="4" max="4" width="12" style="83" customWidth="1"/>
    <col min="5" max="16384" width="10.7109375" style="83"/>
  </cols>
  <sheetData>
    <row r="1" spans="1:6" ht="39">
      <c r="A1" s="100" t="s">
        <v>1869</v>
      </c>
      <c r="B1" s="100" t="s">
        <v>2173</v>
      </c>
      <c r="C1" s="100" t="s">
        <v>1175</v>
      </c>
      <c r="D1" s="82" t="s">
        <v>2174</v>
      </c>
      <c r="E1" s="82" t="s">
        <v>2022</v>
      </c>
      <c r="F1" s="82" t="s">
        <v>2023</v>
      </c>
    </row>
    <row r="2" spans="1:6">
      <c r="A2" s="212" t="s">
        <v>2418</v>
      </c>
      <c r="B2" s="100"/>
      <c r="C2" s="100"/>
      <c r="D2" s="82"/>
      <c r="E2" s="82"/>
      <c r="F2" s="82"/>
    </row>
    <row r="3" spans="1:6">
      <c r="A3" s="212" t="s">
        <v>1241</v>
      </c>
      <c r="B3" s="100"/>
      <c r="C3" s="100"/>
      <c r="D3" s="82"/>
      <c r="E3" s="82"/>
      <c r="F3" s="82"/>
    </row>
    <row r="4" spans="1:6">
      <c r="A4" s="217" t="s">
        <v>1950</v>
      </c>
      <c r="B4" s="217">
        <v>1521575</v>
      </c>
      <c r="C4" s="217"/>
      <c r="D4" s="275">
        <v>6214</v>
      </c>
      <c r="E4" s="140">
        <v>7669</v>
      </c>
      <c r="F4" s="83" t="s">
        <v>2099</v>
      </c>
    </row>
    <row r="5" spans="1:6">
      <c r="A5" s="217" t="s">
        <v>1950</v>
      </c>
      <c r="B5" s="217">
        <v>1521577</v>
      </c>
      <c r="C5" s="217"/>
      <c r="D5" s="275">
        <v>6214</v>
      </c>
      <c r="E5" s="140">
        <v>7669</v>
      </c>
      <c r="F5" s="83" t="s">
        <v>2099</v>
      </c>
    </row>
    <row r="6" spans="1:6">
      <c r="A6" s="217" t="s">
        <v>1950</v>
      </c>
      <c r="B6" s="217">
        <v>1521578</v>
      </c>
      <c r="C6" s="217"/>
      <c r="D6" s="275">
        <v>6214</v>
      </c>
      <c r="E6" s="140">
        <v>7669</v>
      </c>
      <c r="F6" s="83" t="s">
        <v>2099</v>
      </c>
    </row>
    <row r="7" spans="1:6">
      <c r="A7" s="217" t="s">
        <v>1950</v>
      </c>
      <c r="B7" s="217">
        <v>1632813</v>
      </c>
      <c r="C7" s="217"/>
      <c r="D7" s="275">
        <v>6214</v>
      </c>
      <c r="E7" s="140">
        <v>8572</v>
      </c>
      <c r="F7" s="83" t="s">
        <v>2099</v>
      </c>
    </row>
    <row r="8" spans="1:6">
      <c r="A8" s="217" t="s">
        <v>1950</v>
      </c>
      <c r="B8" s="217">
        <v>1416381</v>
      </c>
      <c r="C8" s="217"/>
      <c r="D8" s="275">
        <v>6223</v>
      </c>
      <c r="E8" s="140">
        <v>43235</v>
      </c>
      <c r="F8" s="83" t="s">
        <v>2051</v>
      </c>
    </row>
    <row r="9" spans="1:6">
      <c r="A9" s="217" t="s">
        <v>1950</v>
      </c>
      <c r="B9" s="217">
        <v>1589803</v>
      </c>
      <c r="C9" s="217"/>
      <c r="D9" s="275">
        <v>6449</v>
      </c>
      <c r="E9" s="140">
        <v>8208</v>
      </c>
      <c r="F9" s="83" t="s">
        <v>2247</v>
      </c>
    </row>
    <row r="10" spans="1:6">
      <c r="A10" s="217" t="s">
        <v>1950</v>
      </c>
      <c r="B10" s="217">
        <v>1588402</v>
      </c>
      <c r="C10" s="217"/>
      <c r="D10" s="275">
        <v>6475</v>
      </c>
      <c r="E10" s="140">
        <v>8201</v>
      </c>
      <c r="F10" s="83" t="s">
        <v>2246</v>
      </c>
    </row>
    <row r="11" spans="1:6">
      <c r="A11" s="217" t="s">
        <v>1950</v>
      </c>
      <c r="B11" s="217">
        <v>1426196</v>
      </c>
      <c r="C11" s="217"/>
      <c r="D11" s="275">
        <v>6557</v>
      </c>
      <c r="E11" s="140">
        <v>6801</v>
      </c>
      <c r="F11" s="83" t="s">
        <v>2052</v>
      </c>
    </row>
    <row r="12" spans="1:6">
      <c r="A12" s="217" t="s">
        <v>1950</v>
      </c>
      <c r="B12" s="217">
        <v>1443134</v>
      </c>
      <c r="C12" s="217"/>
      <c r="D12" s="275">
        <v>6620</v>
      </c>
      <c r="E12" s="140">
        <v>6962</v>
      </c>
      <c r="F12" s="83" t="s">
        <v>2110</v>
      </c>
    </row>
    <row r="13" spans="1:6">
      <c r="A13" s="217" t="s">
        <v>1950</v>
      </c>
      <c r="B13" s="217">
        <v>1500128</v>
      </c>
      <c r="C13" s="217"/>
      <c r="D13" s="275">
        <v>6664</v>
      </c>
      <c r="E13" s="140">
        <v>7494</v>
      </c>
      <c r="F13" s="83" t="s">
        <v>2093</v>
      </c>
    </row>
    <row r="14" spans="1:6">
      <c r="A14" s="217" t="s">
        <v>1950</v>
      </c>
      <c r="B14" s="217">
        <v>1511764</v>
      </c>
      <c r="C14" s="217"/>
      <c r="D14" s="275">
        <v>6889</v>
      </c>
      <c r="E14" s="140">
        <v>7592</v>
      </c>
      <c r="F14" s="83" t="s">
        <v>2111</v>
      </c>
    </row>
    <row r="15" spans="1:6">
      <c r="A15" s="217" t="s">
        <v>1950</v>
      </c>
      <c r="B15" s="217">
        <v>1489831</v>
      </c>
      <c r="C15" s="217"/>
      <c r="D15" s="275">
        <v>6980</v>
      </c>
      <c r="E15" s="140">
        <v>7403</v>
      </c>
      <c r="F15" s="83" t="s">
        <v>2111</v>
      </c>
    </row>
    <row r="16" spans="1:6">
      <c r="A16" s="217" t="s">
        <v>1950</v>
      </c>
      <c r="B16" s="217">
        <v>1500586</v>
      </c>
      <c r="C16" s="217"/>
      <c r="D16" s="275">
        <v>6980</v>
      </c>
      <c r="E16" s="140">
        <v>7494</v>
      </c>
      <c r="F16" s="83" t="s">
        <v>2111</v>
      </c>
    </row>
    <row r="17" spans="1:6">
      <c r="A17" s="217" t="s">
        <v>1950</v>
      </c>
      <c r="B17" s="217">
        <v>1542556</v>
      </c>
      <c r="C17" s="217"/>
      <c r="D17" s="275">
        <v>6998</v>
      </c>
      <c r="E17" s="140">
        <v>7837</v>
      </c>
      <c r="F17" s="83" t="s">
        <v>2111</v>
      </c>
    </row>
    <row r="18" spans="1:6">
      <c r="A18" s="217" t="s">
        <v>1950</v>
      </c>
      <c r="B18" s="217">
        <v>1550366</v>
      </c>
      <c r="C18" s="217"/>
      <c r="D18" s="275">
        <v>7004</v>
      </c>
      <c r="E18" s="140">
        <v>7900</v>
      </c>
      <c r="F18" s="83" t="s">
        <v>2052</v>
      </c>
    </row>
    <row r="19" spans="1:6">
      <c r="A19" s="217" t="s">
        <v>1950</v>
      </c>
      <c r="B19" s="217">
        <v>1519739</v>
      </c>
      <c r="C19" s="217"/>
      <c r="D19" s="275">
        <v>7026</v>
      </c>
      <c r="E19" s="140">
        <v>7655</v>
      </c>
      <c r="F19" s="83" t="s">
        <v>2097</v>
      </c>
    </row>
    <row r="20" spans="1:6">
      <c r="A20" s="217" t="s">
        <v>1950</v>
      </c>
      <c r="B20" s="217">
        <v>1483379</v>
      </c>
      <c r="C20" s="217"/>
      <c r="D20" s="275">
        <v>7221</v>
      </c>
      <c r="E20" s="140">
        <v>7347</v>
      </c>
      <c r="F20" s="83" t="s">
        <v>2109</v>
      </c>
    </row>
    <row r="21" spans="1:6">
      <c r="A21" s="217" t="s">
        <v>1950</v>
      </c>
      <c r="B21" s="217">
        <v>1546901</v>
      </c>
      <c r="C21" s="217"/>
      <c r="D21" s="275">
        <v>7245</v>
      </c>
      <c r="E21" s="140">
        <v>7872</v>
      </c>
      <c r="F21" s="83" t="s">
        <v>2111</v>
      </c>
    </row>
    <row r="22" spans="1:6">
      <c r="A22" s="217" t="s">
        <v>1950</v>
      </c>
      <c r="B22" s="217">
        <v>1511911</v>
      </c>
      <c r="C22" s="217"/>
      <c r="D22" s="275">
        <v>7312</v>
      </c>
      <c r="E22" s="140">
        <v>7592</v>
      </c>
      <c r="F22" s="83" t="s">
        <v>2094</v>
      </c>
    </row>
    <row r="23" spans="1:6">
      <c r="A23" s="217" t="s">
        <v>1950</v>
      </c>
      <c r="B23" s="217">
        <v>1542529</v>
      </c>
      <c r="C23" s="217"/>
      <c r="D23" s="275">
        <v>7381</v>
      </c>
      <c r="E23" s="140">
        <v>7837</v>
      </c>
      <c r="F23" s="83" t="s">
        <v>2094</v>
      </c>
    </row>
    <row r="24" spans="1:6">
      <c r="A24" s="217" t="s">
        <v>1950</v>
      </c>
      <c r="B24" s="217">
        <v>1515949</v>
      </c>
      <c r="C24" s="217"/>
      <c r="D24" s="275">
        <v>7391</v>
      </c>
      <c r="E24" s="140">
        <v>7627</v>
      </c>
      <c r="F24" s="83" t="s">
        <v>2096</v>
      </c>
    </row>
    <row r="25" spans="1:6">
      <c r="A25" s="217" t="s">
        <v>1950</v>
      </c>
      <c r="B25" s="217">
        <v>1566607</v>
      </c>
      <c r="C25" s="217"/>
      <c r="D25" s="275">
        <v>7420</v>
      </c>
      <c r="E25" s="140">
        <v>8026</v>
      </c>
      <c r="F25" s="83" t="s">
        <v>2111</v>
      </c>
    </row>
    <row r="26" spans="1:6">
      <c r="A26" s="217" t="s">
        <v>1950</v>
      </c>
      <c r="B26" s="217">
        <v>1560790</v>
      </c>
      <c r="C26" s="217"/>
      <c r="D26" s="275">
        <v>7435</v>
      </c>
      <c r="E26" s="140">
        <v>7984</v>
      </c>
      <c r="F26" s="83" t="s">
        <v>2111</v>
      </c>
    </row>
    <row r="27" spans="1:6">
      <c r="A27" s="217" t="s">
        <v>1950</v>
      </c>
      <c r="B27" s="217">
        <v>1627686</v>
      </c>
      <c r="C27" s="217"/>
      <c r="D27" s="275">
        <v>7488</v>
      </c>
      <c r="E27" s="140">
        <v>8530</v>
      </c>
      <c r="F27" s="83" t="s">
        <v>2249</v>
      </c>
    </row>
    <row r="28" spans="1:6">
      <c r="A28" s="217" t="s">
        <v>1950</v>
      </c>
      <c r="B28" s="217">
        <v>1676191</v>
      </c>
      <c r="C28" s="217"/>
      <c r="D28" s="275">
        <v>7537</v>
      </c>
      <c r="E28" s="140">
        <v>8950</v>
      </c>
      <c r="F28" s="83" t="s">
        <v>2111</v>
      </c>
    </row>
    <row r="29" spans="1:6">
      <c r="A29" s="217" t="s">
        <v>1950</v>
      </c>
      <c r="B29" s="217">
        <v>1552152</v>
      </c>
      <c r="C29" s="217"/>
      <c r="D29" s="275">
        <v>7586</v>
      </c>
      <c r="E29" s="140">
        <v>7914</v>
      </c>
      <c r="F29" s="83" t="s">
        <v>2093</v>
      </c>
    </row>
    <row r="30" spans="1:6">
      <c r="A30" s="217" t="s">
        <v>1950</v>
      </c>
      <c r="B30" s="217">
        <v>1649220</v>
      </c>
      <c r="C30" s="217"/>
      <c r="D30" s="275">
        <v>7645</v>
      </c>
      <c r="E30" s="140">
        <v>8719</v>
      </c>
      <c r="F30" s="83" t="s">
        <v>2449</v>
      </c>
    </row>
    <row r="31" spans="1:6">
      <c r="A31" s="217" t="s">
        <v>1950</v>
      </c>
      <c r="B31" s="217">
        <v>1576121</v>
      </c>
      <c r="C31" s="217"/>
      <c r="D31" s="275">
        <v>7790</v>
      </c>
      <c r="E31" s="140">
        <v>8103</v>
      </c>
      <c r="F31" s="83" t="s">
        <v>2100</v>
      </c>
    </row>
    <row r="32" spans="1:6">
      <c r="A32" s="217" t="s">
        <v>1950</v>
      </c>
      <c r="B32" s="217">
        <v>1674764</v>
      </c>
      <c r="C32" s="217"/>
      <c r="D32" s="275">
        <v>7865</v>
      </c>
      <c r="E32" s="140">
        <v>8943</v>
      </c>
      <c r="F32" s="83" t="s">
        <v>2446</v>
      </c>
    </row>
    <row r="33" spans="1:6">
      <c r="A33" s="217" t="s">
        <v>1950</v>
      </c>
      <c r="B33" s="217">
        <v>1598097</v>
      </c>
      <c r="C33" s="217"/>
      <c r="D33" s="275">
        <v>7878</v>
      </c>
      <c r="E33" s="140">
        <v>8278</v>
      </c>
      <c r="F33" s="83" t="s">
        <v>2248</v>
      </c>
    </row>
    <row r="34" spans="1:6">
      <c r="A34" s="217" t="s">
        <v>1950</v>
      </c>
      <c r="B34" s="217">
        <v>1644082</v>
      </c>
      <c r="C34" s="217"/>
      <c r="D34" s="275">
        <v>7980</v>
      </c>
      <c r="E34" s="140">
        <v>8677</v>
      </c>
      <c r="F34" s="83" t="s">
        <v>2100</v>
      </c>
    </row>
    <row r="35" spans="1:6">
      <c r="A35" s="127" t="s">
        <v>1950</v>
      </c>
      <c r="B35" s="127">
        <v>1693585</v>
      </c>
      <c r="D35" s="276">
        <v>8097</v>
      </c>
      <c r="E35" s="85">
        <v>9097</v>
      </c>
      <c r="F35" s="83" t="s">
        <v>2109</v>
      </c>
    </row>
    <row r="36" spans="1:6">
      <c r="A36" s="127" t="s">
        <v>1950</v>
      </c>
      <c r="B36" s="127">
        <v>1700126</v>
      </c>
      <c r="D36" s="276">
        <v>8203</v>
      </c>
      <c r="E36" s="85">
        <v>9160</v>
      </c>
      <c r="F36" s="83" t="s">
        <v>2449</v>
      </c>
    </row>
    <row r="37" spans="1:6">
      <c r="A37" s="127" t="s">
        <v>1950</v>
      </c>
      <c r="B37" s="127">
        <v>1638067</v>
      </c>
      <c r="D37" s="276">
        <v>8298</v>
      </c>
      <c r="E37" s="85">
        <v>8621</v>
      </c>
      <c r="F37" s="83" t="s">
        <v>2442</v>
      </c>
    </row>
    <row r="38" spans="1:6">
      <c r="A38" s="127" t="s">
        <v>1950</v>
      </c>
      <c r="B38" s="127">
        <v>1690813</v>
      </c>
      <c r="D38" s="276">
        <v>8302</v>
      </c>
      <c r="E38" s="85">
        <v>9076</v>
      </c>
      <c r="F38" s="83" t="s">
        <v>2448</v>
      </c>
    </row>
    <row r="39" spans="1:6">
      <c r="A39" s="127" t="s">
        <v>1950</v>
      </c>
      <c r="B39" s="127">
        <v>1638141</v>
      </c>
      <c r="D39" s="276">
        <v>8303</v>
      </c>
      <c r="E39" s="85">
        <v>8621</v>
      </c>
      <c r="F39" s="83" t="s">
        <v>2395</v>
      </c>
    </row>
    <row r="40" spans="1:6">
      <c r="A40" s="127" t="s">
        <v>1950</v>
      </c>
      <c r="B40" s="127">
        <v>1705680</v>
      </c>
      <c r="D40" s="276">
        <v>8622</v>
      </c>
      <c r="E40" s="85">
        <v>9209</v>
      </c>
      <c r="F40" s="83" t="s">
        <v>2100</v>
      </c>
    </row>
    <row r="41" spans="1:6">
      <c r="A41" s="127" t="s">
        <v>1950</v>
      </c>
      <c r="B41" s="127">
        <v>1521576</v>
      </c>
      <c r="D41" s="276">
        <v>6214</v>
      </c>
      <c r="E41" s="85">
        <v>7669</v>
      </c>
      <c r="F41" s="83" t="s">
        <v>2099</v>
      </c>
    </row>
    <row r="42" spans="1:6">
      <c r="A42" s="127" t="s">
        <v>1950</v>
      </c>
      <c r="B42" s="127">
        <v>1577703</v>
      </c>
      <c r="D42" s="276">
        <v>7960</v>
      </c>
      <c r="E42" s="85">
        <v>8117</v>
      </c>
      <c r="F42" s="83" t="s">
        <v>2245</v>
      </c>
    </row>
    <row r="43" spans="1:6">
      <c r="D43" s="85"/>
      <c r="E43" s="85"/>
    </row>
    <row r="44" spans="1:6">
      <c r="A44" s="127" t="s">
        <v>1313</v>
      </c>
      <c r="D44" s="85"/>
      <c r="E44" s="85"/>
    </row>
    <row r="45" spans="1:6">
      <c r="A45" s="217" t="s">
        <v>1950</v>
      </c>
      <c r="B45" s="217">
        <v>1743675</v>
      </c>
      <c r="C45" s="218" t="s">
        <v>1312</v>
      </c>
      <c r="D45" s="275">
        <v>6999</v>
      </c>
      <c r="E45" s="140">
        <v>9510</v>
      </c>
      <c r="F45" s="83" t="s">
        <v>2111</v>
      </c>
    </row>
    <row r="46" spans="1:6">
      <c r="A46" s="217" t="s">
        <v>1950</v>
      </c>
      <c r="B46" s="217">
        <v>1771639</v>
      </c>
      <c r="C46" s="218" t="s">
        <v>1312</v>
      </c>
      <c r="D46" s="275">
        <v>7008</v>
      </c>
      <c r="E46" s="140">
        <v>9706</v>
      </c>
      <c r="F46" s="83" t="s">
        <v>2111</v>
      </c>
    </row>
    <row r="47" spans="1:6">
      <c r="A47" s="217" t="s">
        <v>1950</v>
      </c>
      <c r="B47" s="217">
        <v>1807983</v>
      </c>
      <c r="C47" s="218" t="s">
        <v>1312</v>
      </c>
      <c r="D47" s="275">
        <v>7376</v>
      </c>
      <c r="E47" s="140">
        <v>10014</v>
      </c>
      <c r="F47" s="83" t="s">
        <v>2096</v>
      </c>
    </row>
    <row r="48" spans="1:6">
      <c r="A48" s="217" t="s">
        <v>1950</v>
      </c>
      <c r="B48" s="217">
        <v>1788164</v>
      </c>
      <c r="C48" s="218" t="s">
        <v>1312</v>
      </c>
      <c r="D48" s="275">
        <v>7472</v>
      </c>
      <c r="E48" s="140">
        <v>9867</v>
      </c>
      <c r="F48" s="83" t="s">
        <v>2161</v>
      </c>
    </row>
    <row r="49" spans="1:6">
      <c r="A49" s="217" t="s">
        <v>1950</v>
      </c>
      <c r="B49" s="217">
        <v>1807984</v>
      </c>
      <c r="C49" s="218" t="s">
        <v>1312</v>
      </c>
      <c r="D49" s="275">
        <v>7563</v>
      </c>
      <c r="E49" s="140">
        <v>10014</v>
      </c>
      <c r="F49" s="83" t="s">
        <v>2096</v>
      </c>
    </row>
    <row r="50" spans="1:6">
      <c r="A50" s="217" t="s">
        <v>1950</v>
      </c>
      <c r="B50" s="217">
        <v>1786208</v>
      </c>
      <c r="C50" s="218" t="s">
        <v>1312</v>
      </c>
      <c r="D50" s="275">
        <v>7658</v>
      </c>
      <c r="E50" s="140">
        <v>9853</v>
      </c>
      <c r="F50" s="83" t="s">
        <v>2111</v>
      </c>
    </row>
    <row r="51" spans="1:6">
      <c r="A51" s="217" t="s">
        <v>1950</v>
      </c>
      <c r="B51" s="217">
        <v>1747694</v>
      </c>
      <c r="C51" s="218" t="s">
        <v>1312</v>
      </c>
      <c r="D51" s="275">
        <v>7759</v>
      </c>
      <c r="E51" s="140">
        <v>9545</v>
      </c>
      <c r="F51" s="83" t="s">
        <v>2448</v>
      </c>
    </row>
    <row r="52" spans="1:6">
      <c r="A52" s="217" t="s">
        <v>1950</v>
      </c>
      <c r="B52" s="217">
        <v>1895642</v>
      </c>
      <c r="C52" s="218" t="s">
        <v>1312</v>
      </c>
      <c r="D52" s="275">
        <v>8032</v>
      </c>
      <c r="E52" s="140">
        <v>10623</v>
      </c>
      <c r="F52" s="83" t="s">
        <v>2100</v>
      </c>
    </row>
    <row r="53" spans="1:6">
      <c r="A53" s="127" t="s">
        <v>1950</v>
      </c>
      <c r="B53" s="127">
        <v>1841536</v>
      </c>
      <c r="C53" s="139" t="s">
        <v>1312</v>
      </c>
      <c r="D53" s="276">
        <v>8093</v>
      </c>
      <c r="E53" s="85">
        <v>10245</v>
      </c>
      <c r="F53" s="83" t="s">
        <v>2111</v>
      </c>
    </row>
    <row r="54" spans="1:6">
      <c r="A54" s="127" t="s">
        <v>1950</v>
      </c>
      <c r="B54" s="127">
        <v>1746283</v>
      </c>
      <c r="C54" s="139" t="s">
        <v>1312</v>
      </c>
      <c r="D54" s="276">
        <v>8097</v>
      </c>
      <c r="E54" s="85">
        <v>9538</v>
      </c>
      <c r="F54" s="83" t="s">
        <v>2109</v>
      </c>
    </row>
    <row r="55" spans="1:6">
      <c r="A55" s="127" t="s">
        <v>1950</v>
      </c>
      <c r="B55" s="127">
        <v>1816854</v>
      </c>
      <c r="C55" s="139" t="s">
        <v>1312</v>
      </c>
      <c r="D55" s="276">
        <v>8161</v>
      </c>
      <c r="E55" s="85">
        <v>10077</v>
      </c>
      <c r="F55" s="83" t="s">
        <v>2111</v>
      </c>
    </row>
    <row r="56" spans="1:6">
      <c r="A56" s="127" t="s">
        <v>1950</v>
      </c>
      <c r="B56" s="127">
        <v>1794115</v>
      </c>
      <c r="C56" s="139" t="s">
        <v>1312</v>
      </c>
      <c r="D56" s="276">
        <v>8165</v>
      </c>
      <c r="E56" s="85">
        <v>9916</v>
      </c>
      <c r="F56" s="83" t="s">
        <v>2162</v>
      </c>
    </row>
    <row r="57" spans="1:6">
      <c r="A57" s="127" t="s">
        <v>1950</v>
      </c>
      <c r="B57" s="127">
        <v>1899017</v>
      </c>
      <c r="C57" s="139" t="s">
        <v>1312</v>
      </c>
      <c r="D57" s="276">
        <v>8166</v>
      </c>
      <c r="E57" s="85">
        <v>10651</v>
      </c>
      <c r="F57" s="83" t="s">
        <v>2446</v>
      </c>
    </row>
    <row r="58" spans="1:6">
      <c r="A58" s="127" t="s">
        <v>1950</v>
      </c>
      <c r="B58" s="127">
        <v>1816855</v>
      </c>
      <c r="C58" s="139" t="s">
        <v>1312</v>
      </c>
      <c r="D58" s="276">
        <v>8198</v>
      </c>
      <c r="E58" s="85">
        <v>10077</v>
      </c>
      <c r="F58" s="83" t="s">
        <v>2111</v>
      </c>
    </row>
    <row r="59" spans="1:6">
      <c r="A59" s="127" t="s">
        <v>1950</v>
      </c>
      <c r="B59" s="127">
        <v>1765720</v>
      </c>
      <c r="C59" s="139" t="s">
        <v>1312</v>
      </c>
      <c r="D59" s="276">
        <v>8203</v>
      </c>
      <c r="E59" s="85">
        <v>9671</v>
      </c>
      <c r="F59" s="83" t="s">
        <v>2449</v>
      </c>
    </row>
    <row r="60" spans="1:6">
      <c r="A60" s="127" t="s">
        <v>1950</v>
      </c>
      <c r="B60" s="127">
        <v>1913885</v>
      </c>
      <c r="C60" s="139" t="s">
        <v>1312</v>
      </c>
      <c r="D60" s="276">
        <v>8203</v>
      </c>
      <c r="E60" s="85">
        <v>10756</v>
      </c>
      <c r="F60" s="86" t="s">
        <v>2052</v>
      </c>
    </row>
    <row r="61" spans="1:6">
      <c r="A61" s="127" t="s">
        <v>1950</v>
      </c>
      <c r="B61" s="127">
        <v>2167323</v>
      </c>
      <c r="C61" s="139" t="s">
        <v>1312</v>
      </c>
      <c r="D61" s="276">
        <v>8216</v>
      </c>
      <c r="E61" s="85">
        <v>12989</v>
      </c>
      <c r="F61" s="86" t="s">
        <v>2095</v>
      </c>
    </row>
    <row r="62" spans="1:6">
      <c r="A62" s="127" t="s">
        <v>1950</v>
      </c>
      <c r="B62" s="127">
        <v>1789931</v>
      </c>
      <c r="C62" s="139" t="s">
        <v>1312</v>
      </c>
      <c r="D62" s="276">
        <v>8323</v>
      </c>
      <c r="E62" s="85">
        <v>9881</v>
      </c>
      <c r="F62" s="83" t="s">
        <v>2096</v>
      </c>
    </row>
    <row r="63" spans="1:6">
      <c r="A63" s="127" t="s">
        <v>1950</v>
      </c>
      <c r="B63" s="127">
        <v>1783194</v>
      </c>
      <c r="C63" s="139" t="s">
        <v>1312</v>
      </c>
      <c r="D63" s="276">
        <v>8378</v>
      </c>
      <c r="E63" s="85">
        <v>9832</v>
      </c>
      <c r="F63" s="83" t="s">
        <v>2160</v>
      </c>
    </row>
    <row r="64" spans="1:6">
      <c r="A64" s="127" t="s">
        <v>1950</v>
      </c>
      <c r="B64" s="127">
        <v>1753653</v>
      </c>
      <c r="C64" s="139" t="s">
        <v>1312</v>
      </c>
      <c r="D64" s="276">
        <v>8379</v>
      </c>
      <c r="E64" s="85">
        <v>9594</v>
      </c>
      <c r="F64" s="83" t="s">
        <v>2449</v>
      </c>
    </row>
    <row r="65" spans="1:6">
      <c r="A65" s="127" t="s">
        <v>1950</v>
      </c>
      <c r="B65" s="127">
        <v>1895619</v>
      </c>
      <c r="C65" s="139" t="s">
        <v>1312</v>
      </c>
      <c r="D65" s="276">
        <v>8487</v>
      </c>
      <c r="E65" s="85">
        <v>10623</v>
      </c>
      <c r="F65" s="83" t="s">
        <v>2164</v>
      </c>
    </row>
    <row r="66" spans="1:6">
      <c r="A66" s="127" t="s">
        <v>1950</v>
      </c>
      <c r="B66" s="127">
        <v>1899018</v>
      </c>
      <c r="C66" s="139" t="s">
        <v>1312</v>
      </c>
      <c r="D66" s="276">
        <v>8508</v>
      </c>
      <c r="E66" s="85">
        <v>10651</v>
      </c>
      <c r="F66" s="83" t="s">
        <v>2446</v>
      </c>
    </row>
    <row r="67" spans="1:6">
      <c r="A67" s="127" t="s">
        <v>1950</v>
      </c>
      <c r="B67" s="127">
        <v>1816836</v>
      </c>
      <c r="C67" s="139" t="s">
        <v>1312</v>
      </c>
      <c r="D67" s="276">
        <v>8511</v>
      </c>
      <c r="E67" s="85">
        <v>10077</v>
      </c>
      <c r="F67" s="83" t="s">
        <v>2164</v>
      </c>
    </row>
    <row r="68" spans="1:6">
      <c r="A68" s="127" t="s">
        <v>1950</v>
      </c>
      <c r="B68" s="127">
        <v>1751999</v>
      </c>
      <c r="C68" s="139" t="s">
        <v>1312</v>
      </c>
      <c r="D68" s="276">
        <v>8546</v>
      </c>
      <c r="E68" s="85">
        <v>9580</v>
      </c>
      <c r="F68" s="83" t="s">
        <v>2209</v>
      </c>
    </row>
    <row r="69" spans="1:6">
      <c r="A69" s="127" t="s">
        <v>1950</v>
      </c>
      <c r="B69" s="127">
        <v>1865245</v>
      </c>
      <c r="C69" s="139" t="s">
        <v>1312</v>
      </c>
      <c r="D69" s="276">
        <v>8573</v>
      </c>
      <c r="E69" s="85">
        <v>10406</v>
      </c>
      <c r="F69" s="83" t="s">
        <v>2449</v>
      </c>
    </row>
    <row r="70" spans="1:6">
      <c r="A70" s="127" t="s">
        <v>1950</v>
      </c>
      <c r="B70" s="127">
        <v>1899028</v>
      </c>
      <c r="C70" s="139" t="s">
        <v>1312</v>
      </c>
      <c r="D70" s="276">
        <v>8595</v>
      </c>
      <c r="E70" s="85">
        <v>10651</v>
      </c>
      <c r="F70" s="207" t="s">
        <v>2167</v>
      </c>
    </row>
    <row r="71" spans="1:6">
      <c r="A71" s="127" t="s">
        <v>1950</v>
      </c>
      <c r="B71" s="127">
        <v>1899007</v>
      </c>
      <c r="C71" s="139" t="s">
        <v>1312</v>
      </c>
      <c r="D71" s="276">
        <v>8622</v>
      </c>
      <c r="E71" s="85">
        <v>10651</v>
      </c>
      <c r="F71" s="83" t="s">
        <v>2448</v>
      </c>
    </row>
    <row r="72" spans="1:6">
      <c r="A72" s="127" t="s">
        <v>1950</v>
      </c>
      <c r="B72" s="127">
        <v>1758881</v>
      </c>
      <c r="C72" s="139" t="s">
        <v>1312</v>
      </c>
      <c r="D72" s="276">
        <v>8685</v>
      </c>
      <c r="E72" s="85">
        <v>9629</v>
      </c>
      <c r="F72" s="83" t="s">
        <v>2448</v>
      </c>
    </row>
    <row r="73" spans="1:6">
      <c r="A73" s="127" t="s">
        <v>1950</v>
      </c>
      <c r="B73" s="127">
        <v>1895618</v>
      </c>
      <c r="C73" s="139" t="s">
        <v>1312</v>
      </c>
      <c r="D73" s="276">
        <v>8685</v>
      </c>
      <c r="E73" s="85">
        <v>10623</v>
      </c>
      <c r="F73" s="83" t="s">
        <v>2245</v>
      </c>
    </row>
    <row r="74" spans="1:6">
      <c r="A74" s="127" t="s">
        <v>1950</v>
      </c>
      <c r="B74" s="127">
        <v>1831782</v>
      </c>
      <c r="C74" s="139" t="s">
        <v>1312</v>
      </c>
      <c r="D74" s="276">
        <v>8746</v>
      </c>
      <c r="E74" s="85">
        <v>10175</v>
      </c>
      <c r="F74" s="83" t="s">
        <v>2210</v>
      </c>
    </row>
    <row r="75" spans="1:6">
      <c r="A75" s="127" t="s">
        <v>1950</v>
      </c>
      <c r="B75" s="127">
        <v>1848334</v>
      </c>
      <c r="C75" s="139" t="s">
        <v>1312</v>
      </c>
      <c r="D75" s="276">
        <v>8781</v>
      </c>
      <c r="E75" s="85">
        <v>10294</v>
      </c>
      <c r="F75" s="83" t="s">
        <v>2245</v>
      </c>
    </row>
    <row r="76" spans="1:6">
      <c r="A76" s="127" t="s">
        <v>1950</v>
      </c>
      <c r="B76" s="127">
        <v>1771846</v>
      </c>
      <c r="C76" s="139" t="s">
        <v>1312</v>
      </c>
      <c r="D76" s="276">
        <v>8820</v>
      </c>
      <c r="E76" s="85">
        <v>9706</v>
      </c>
      <c r="F76" s="83" t="s">
        <v>2449</v>
      </c>
    </row>
    <row r="77" spans="1:6">
      <c r="A77" s="127" t="s">
        <v>1950</v>
      </c>
      <c r="B77" s="127">
        <v>1757690</v>
      </c>
      <c r="C77" s="139" t="s">
        <v>1312</v>
      </c>
      <c r="D77" s="276">
        <v>8841</v>
      </c>
      <c r="E77" s="85">
        <v>9622</v>
      </c>
      <c r="F77" s="83" t="s">
        <v>2210</v>
      </c>
    </row>
    <row r="78" spans="1:6">
      <c r="A78" s="127" t="s">
        <v>1950</v>
      </c>
      <c r="B78" s="127">
        <v>1806898</v>
      </c>
      <c r="C78" s="139" t="s">
        <v>1312</v>
      </c>
      <c r="D78" s="276">
        <v>8893</v>
      </c>
      <c r="E78" s="85">
        <v>10007</v>
      </c>
      <c r="F78" s="83" t="s">
        <v>2449</v>
      </c>
    </row>
    <row r="79" spans="1:6">
      <c r="A79" s="127" t="s">
        <v>1950</v>
      </c>
      <c r="B79" s="127">
        <v>1870196</v>
      </c>
      <c r="C79" s="139" t="s">
        <v>1312</v>
      </c>
      <c r="D79" s="276">
        <v>8935</v>
      </c>
      <c r="E79" s="85">
        <v>10441</v>
      </c>
      <c r="F79" s="83" t="s">
        <v>2096</v>
      </c>
    </row>
    <row r="80" spans="1:6">
      <c r="A80" s="127" t="s">
        <v>1950</v>
      </c>
      <c r="B80" s="127">
        <v>1895597</v>
      </c>
      <c r="C80" s="139" t="s">
        <v>1312</v>
      </c>
      <c r="D80" s="276">
        <v>8935</v>
      </c>
      <c r="E80" s="85">
        <v>10623</v>
      </c>
      <c r="F80" s="83" t="s">
        <v>2166</v>
      </c>
    </row>
    <row r="81" spans="1:7">
      <c r="A81" s="127" t="s">
        <v>1950</v>
      </c>
      <c r="B81" s="127">
        <v>1821211</v>
      </c>
      <c r="C81" s="139" t="s">
        <v>1312</v>
      </c>
      <c r="D81" s="276">
        <v>8937</v>
      </c>
      <c r="E81" s="85">
        <v>10105</v>
      </c>
      <c r="F81" s="83" t="s">
        <v>2164</v>
      </c>
    </row>
    <row r="82" spans="1:7">
      <c r="A82" s="127" t="s">
        <v>1950</v>
      </c>
      <c r="B82" s="127">
        <v>1926933</v>
      </c>
      <c r="C82" s="139" t="s">
        <v>1312</v>
      </c>
      <c r="D82" s="276">
        <v>9092</v>
      </c>
      <c r="E82" s="85">
        <v>10847</v>
      </c>
      <c r="F82" s="86" t="s">
        <v>2447</v>
      </c>
    </row>
    <row r="83" spans="1:7">
      <c r="A83" s="127" t="s">
        <v>1950</v>
      </c>
      <c r="B83" s="127">
        <v>1807950</v>
      </c>
      <c r="C83" s="139" t="s">
        <v>1312</v>
      </c>
      <c r="D83" s="276">
        <v>9295</v>
      </c>
      <c r="E83" s="85">
        <v>10014</v>
      </c>
      <c r="F83" s="83" t="s">
        <v>2163</v>
      </c>
    </row>
    <row r="84" spans="1:7">
      <c r="A84" s="127" t="s">
        <v>1950</v>
      </c>
      <c r="B84" s="127">
        <v>1834534</v>
      </c>
      <c r="C84" s="139" t="s">
        <v>1312</v>
      </c>
      <c r="D84" s="276">
        <v>9295</v>
      </c>
      <c r="E84" s="85">
        <v>10196</v>
      </c>
      <c r="F84" s="83" t="s">
        <v>2165</v>
      </c>
    </row>
    <row r="85" spans="1:7">
      <c r="A85" s="127" t="s">
        <v>1950</v>
      </c>
      <c r="B85" s="127">
        <v>1941450</v>
      </c>
      <c r="C85" s="139" t="s">
        <v>1312</v>
      </c>
      <c r="D85" s="276">
        <v>9913</v>
      </c>
      <c r="E85" s="85">
        <v>10959</v>
      </c>
      <c r="F85" s="86" t="s">
        <v>2168</v>
      </c>
    </row>
    <row r="86" spans="1:7">
      <c r="A86" s="127" t="s">
        <v>1950</v>
      </c>
      <c r="B86" s="127">
        <v>1949540</v>
      </c>
      <c r="C86" s="139" t="s">
        <v>1312</v>
      </c>
      <c r="D86" s="276">
        <v>9957</v>
      </c>
      <c r="E86" s="85">
        <v>11022</v>
      </c>
      <c r="F86" s="86" t="s">
        <v>2169</v>
      </c>
    </row>
    <row r="87" spans="1:7">
      <c r="A87" s="127" t="s">
        <v>1950</v>
      </c>
      <c r="B87" s="127">
        <v>1941524</v>
      </c>
      <c r="C87" s="139" t="s">
        <v>1312</v>
      </c>
      <c r="D87" s="276">
        <v>10113</v>
      </c>
      <c r="E87" s="85">
        <v>10959</v>
      </c>
      <c r="F87" s="86" t="s">
        <v>2098</v>
      </c>
    </row>
    <row r="88" spans="1:7">
      <c r="A88" s="127" t="s">
        <v>1950</v>
      </c>
      <c r="B88" s="127">
        <v>1978459</v>
      </c>
      <c r="C88" s="139" t="s">
        <v>1312</v>
      </c>
      <c r="D88" s="276">
        <v>10378</v>
      </c>
      <c r="E88" s="85">
        <v>11260</v>
      </c>
      <c r="F88" s="86" t="s">
        <v>2095</v>
      </c>
    </row>
    <row r="89" spans="1:7">
      <c r="A89" s="127" t="s">
        <v>1950</v>
      </c>
      <c r="B89" s="127">
        <v>1995378</v>
      </c>
      <c r="C89" s="139" t="s">
        <v>1312</v>
      </c>
      <c r="D89" s="276">
        <v>10417</v>
      </c>
      <c r="E89" s="85">
        <v>11407</v>
      </c>
      <c r="F89" s="86" t="s">
        <v>2170</v>
      </c>
    </row>
    <row r="90" spans="1:7">
      <c r="A90" s="127" t="s">
        <v>1950</v>
      </c>
      <c r="B90" s="127">
        <v>2029406</v>
      </c>
      <c r="C90" s="139" t="s">
        <v>1312</v>
      </c>
      <c r="D90" s="276">
        <v>10678</v>
      </c>
      <c r="E90" s="85">
        <v>11722</v>
      </c>
      <c r="F90" s="86" t="s">
        <v>2447</v>
      </c>
    </row>
    <row r="91" spans="1:7">
      <c r="A91" s="127" t="s">
        <v>1950</v>
      </c>
      <c r="B91" s="127">
        <v>1738249</v>
      </c>
      <c r="C91" s="139" t="s">
        <v>1312</v>
      </c>
      <c r="D91" s="276">
        <v>11085</v>
      </c>
      <c r="E91" s="85">
        <v>9468</v>
      </c>
      <c r="F91" s="83" t="s">
        <v>2111</v>
      </c>
    </row>
    <row r="92" spans="1:7">
      <c r="A92" s="127" t="s">
        <v>1950</v>
      </c>
      <c r="B92" s="127">
        <v>2056001</v>
      </c>
      <c r="C92" s="139" t="s">
        <v>1312</v>
      </c>
      <c r="D92" s="276">
        <v>11289</v>
      </c>
      <c r="E92" s="85">
        <v>11960</v>
      </c>
      <c r="F92" s="86" t="s">
        <v>2170</v>
      </c>
    </row>
    <row r="93" spans="1:7">
      <c r="A93" s="127" t="s">
        <v>1950</v>
      </c>
      <c r="B93" s="127">
        <v>2220347</v>
      </c>
      <c r="C93" s="139" t="s">
        <v>1312</v>
      </c>
      <c r="D93" s="276">
        <v>12512</v>
      </c>
      <c r="E93" s="85">
        <v>13458</v>
      </c>
      <c r="F93" s="86" t="s">
        <v>2171</v>
      </c>
    </row>
    <row r="94" spans="1:7">
      <c r="A94" s="42" t="s">
        <v>1215</v>
      </c>
      <c r="B94" s="42">
        <v>1577703</v>
      </c>
      <c r="C94" s="151" t="s">
        <v>1312</v>
      </c>
      <c r="D94" s="277">
        <v>7960</v>
      </c>
      <c r="E94" s="46">
        <v>8117</v>
      </c>
      <c r="F94" s="207" t="s">
        <v>1216</v>
      </c>
      <c r="G94" s="83" t="s">
        <v>1217</v>
      </c>
    </row>
    <row r="95" spans="1:7">
      <c r="D95" s="85"/>
      <c r="E95" s="85"/>
      <c r="F95" s="86"/>
    </row>
    <row r="96" spans="1:7">
      <c r="A96" s="127" t="s">
        <v>1213</v>
      </c>
    </row>
    <row r="97" spans="1:6" s="127" customFormat="1">
      <c r="A97" s="217" t="s">
        <v>1950</v>
      </c>
      <c r="B97" s="217">
        <v>1708065</v>
      </c>
      <c r="C97" s="218" t="s">
        <v>1176</v>
      </c>
      <c r="D97" s="140">
        <v>7301</v>
      </c>
      <c r="E97" s="140">
        <v>9230</v>
      </c>
      <c r="F97" s="127" t="s">
        <v>2111</v>
      </c>
    </row>
    <row r="98" spans="1:6" s="127" customFormat="1">
      <c r="A98" s="217" t="s">
        <v>1950</v>
      </c>
      <c r="B98" s="217">
        <v>1760986</v>
      </c>
      <c r="C98" s="218" t="s">
        <v>1176</v>
      </c>
      <c r="D98" s="140">
        <v>7445</v>
      </c>
      <c r="E98" s="140">
        <v>9650</v>
      </c>
      <c r="F98" s="127" t="s">
        <v>2111</v>
      </c>
    </row>
    <row r="99" spans="1:6" s="127" customFormat="1">
      <c r="A99" s="217" t="s">
        <v>1950</v>
      </c>
      <c r="B99" s="217">
        <v>1788171</v>
      </c>
      <c r="C99" s="218" t="s">
        <v>1176</v>
      </c>
      <c r="D99" s="140">
        <v>8002</v>
      </c>
      <c r="E99" s="140">
        <v>9867</v>
      </c>
      <c r="F99" s="127" t="s">
        <v>2100</v>
      </c>
    </row>
    <row r="100" spans="1:6">
      <c r="A100" s="127" t="s">
        <v>1950</v>
      </c>
      <c r="B100" s="127">
        <v>1821202</v>
      </c>
      <c r="C100" s="139" t="s">
        <v>1176</v>
      </c>
      <c r="D100" s="85">
        <v>8622</v>
      </c>
      <c r="E100" s="85">
        <v>10105</v>
      </c>
      <c r="F100" s="83" t="s">
        <v>2448</v>
      </c>
    </row>
    <row r="101" spans="1:6">
      <c r="A101" s="127" t="s">
        <v>1950</v>
      </c>
      <c r="B101" s="127">
        <v>1893048</v>
      </c>
      <c r="C101" s="139" t="s">
        <v>1176</v>
      </c>
      <c r="D101" s="85">
        <v>8622</v>
      </c>
      <c r="E101" s="85">
        <v>10595</v>
      </c>
      <c r="F101" s="83" t="s">
        <v>2448</v>
      </c>
    </row>
    <row r="102" spans="1:6">
      <c r="A102" s="127" t="s">
        <v>1950</v>
      </c>
      <c r="B102" s="127">
        <v>1886927</v>
      </c>
      <c r="C102" s="139" t="s">
        <v>1176</v>
      </c>
      <c r="D102" s="85">
        <v>8652</v>
      </c>
      <c r="E102" s="85">
        <v>10539</v>
      </c>
      <c r="F102" s="83" t="s">
        <v>2166</v>
      </c>
    </row>
    <row r="103" spans="1:6">
      <c r="A103" s="127" t="s">
        <v>1950</v>
      </c>
      <c r="B103" s="127">
        <v>1843182</v>
      </c>
      <c r="C103" s="139" t="s">
        <v>1176</v>
      </c>
      <c r="D103" s="85">
        <v>8718</v>
      </c>
      <c r="E103" s="85">
        <v>10259</v>
      </c>
      <c r="F103" s="83" t="s">
        <v>2210</v>
      </c>
    </row>
    <row r="104" spans="1:6">
      <c r="A104" s="127" t="s">
        <v>1950</v>
      </c>
      <c r="B104" s="127">
        <v>1897976</v>
      </c>
      <c r="C104" s="139" t="s">
        <v>1176</v>
      </c>
      <c r="D104" s="85">
        <v>8729</v>
      </c>
      <c r="E104" s="85">
        <v>10637</v>
      </c>
      <c r="F104" s="83" t="s">
        <v>2448</v>
      </c>
    </row>
    <row r="105" spans="1:6">
      <c r="A105" s="127" t="s">
        <v>1950</v>
      </c>
      <c r="B105" s="127">
        <v>1789625</v>
      </c>
      <c r="C105" s="139" t="s">
        <v>1176</v>
      </c>
      <c r="D105" s="85">
        <v>8737</v>
      </c>
      <c r="E105" s="85">
        <v>9881</v>
      </c>
      <c r="F105" s="83" t="s">
        <v>2449</v>
      </c>
    </row>
    <row r="106" spans="1:6">
      <c r="A106" s="127" t="s">
        <v>1950</v>
      </c>
      <c r="B106" s="127">
        <v>1783181</v>
      </c>
      <c r="C106" s="139" t="s">
        <v>1176</v>
      </c>
      <c r="D106" s="85">
        <v>8757</v>
      </c>
      <c r="E106" s="85">
        <v>9832</v>
      </c>
      <c r="F106" s="83" t="s">
        <v>2448</v>
      </c>
    </row>
    <row r="107" spans="1:6">
      <c r="A107" s="127" t="s">
        <v>1950</v>
      </c>
      <c r="B107" s="127">
        <v>1926924</v>
      </c>
      <c r="C107" s="139" t="s">
        <v>1176</v>
      </c>
      <c r="D107" s="85">
        <v>8886</v>
      </c>
      <c r="E107" s="85">
        <v>10847</v>
      </c>
      <c r="F107" s="83" t="s">
        <v>2206</v>
      </c>
    </row>
    <row r="108" spans="1:6">
      <c r="A108" s="127" t="s">
        <v>1950</v>
      </c>
      <c r="B108" s="127">
        <v>1899029</v>
      </c>
      <c r="C108" s="139" t="s">
        <v>1176</v>
      </c>
      <c r="D108" s="85">
        <v>8937</v>
      </c>
      <c r="E108" s="85">
        <v>10651</v>
      </c>
      <c r="F108" s="83" t="s">
        <v>2164</v>
      </c>
    </row>
    <row r="109" spans="1:6">
      <c r="A109" s="127" t="s">
        <v>1950</v>
      </c>
      <c r="B109" s="127">
        <v>1832281</v>
      </c>
      <c r="C109" s="139" t="s">
        <v>1176</v>
      </c>
      <c r="D109" s="85">
        <v>9358</v>
      </c>
      <c r="E109" s="85">
        <v>10182</v>
      </c>
      <c r="F109" s="83" t="s">
        <v>2172</v>
      </c>
    </row>
    <row r="110" spans="1:6">
      <c r="A110" s="127" t="s">
        <v>1950</v>
      </c>
      <c r="B110" s="127">
        <v>1944407</v>
      </c>
      <c r="C110" s="139" t="s">
        <v>1176</v>
      </c>
      <c r="D110" s="85">
        <v>9861</v>
      </c>
      <c r="E110" s="85">
        <v>10980</v>
      </c>
      <c r="F110" s="83" t="s">
        <v>2205</v>
      </c>
    </row>
    <row r="111" spans="1:6">
      <c r="A111" s="127" t="s">
        <v>1950</v>
      </c>
      <c r="B111" s="127">
        <v>1992974</v>
      </c>
      <c r="C111" s="139" t="s">
        <v>1176</v>
      </c>
      <c r="D111" s="85">
        <v>9938</v>
      </c>
      <c r="E111" s="85">
        <v>11386</v>
      </c>
      <c r="F111" s="83" t="s">
        <v>2207</v>
      </c>
    </row>
    <row r="112" spans="1:6">
      <c r="A112" s="127" t="s">
        <v>1950</v>
      </c>
      <c r="B112" s="127">
        <v>1957560</v>
      </c>
      <c r="C112" s="139" t="s">
        <v>1176</v>
      </c>
      <c r="D112" s="85">
        <v>9997</v>
      </c>
      <c r="E112" s="85">
        <v>11085</v>
      </c>
      <c r="F112" s="83" t="s">
        <v>2207</v>
      </c>
    </row>
    <row r="113" spans="1:7">
      <c r="A113" s="127" t="s">
        <v>1950</v>
      </c>
      <c r="B113" s="127">
        <v>1925793</v>
      </c>
      <c r="C113" s="139" t="s">
        <v>1176</v>
      </c>
      <c r="D113" s="85">
        <v>10006</v>
      </c>
      <c r="E113" s="85">
        <v>10840</v>
      </c>
      <c r="F113" s="83" t="s">
        <v>2205</v>
      </c>
    </row>
    <row r="114" spans="1:7">
      <c r="A114" s="127" t="s">
        <v>1950</v>
      </c>
      <c r="B114" s="127">
        <v>2019213</v>
      </c>
      <c r="C114" s="139" t="s">
        <v>1176</v>
      </c>
      <c r="D114" s="85">
        <v>10027</v>
      </c>
      <c r="E114" s="85">
        <v>11624</v>
      </c>
      <c r="F114" s="83" t="s">
        <v>2205</v>
      </c>
    </row>
    <row r="115" spans="1:7">
      <c r="A115" s="127" t="s">
        <v>1950</v>
      </c>
      <c r="B115" s="127">
        <v>1953156</v>
      </c>
      <c r="C115" s="139" t="s">
        <v>1176</v>
      </c>
      <c r="D115" s="85">
        <v>10041</v>
      </c>
      <c r="E115" s="85">
        <v>11050</v>
      </c>
      <c r="F115" s="83" t="s">
        <v>2205</v>
      </c>
    </row>
    <row r="116" spans="1:7">
      <c r="A116" s="127" t="s">
        <v>1950</v>
      </c>
      <c r="B116" s="127">
        <v>2008560</v>
      </c>
      <c r="C116" s="139" t="s">
        <v>1176</v>
      </c>
      <c r="D116" s="85">
        <v>10590</v>
      </c>
      <c r="E116" s="85">
        <v>11519</v>
      </c>
      <c r="F116" s="83" t="s">
        <v>2272</v>
      </c>
    </row>
    <row r="117" spans="1:7">
      <c r="A117" s="127" t="s">
        <v>1950</v>
      </c>
      <c r="B117" s="127">
        <v>2071806</v>
      </c>
      <c r="C117" s="139" t="s">
        <v>1176</v>
      </c>
      <c r="D117" s="85">
        <v>11784</v>
      </c>
      <c r="E117" s="85">
        <v>12107</v>
      </c>
      <c r="F117" s="83" t="s">
        <v>2318</v>
      </c>
    </row>
    <row r="118" spans="1:7">
      <c r="A118" s="127" t="s">
        <v>1950</v>
      </c>
      <c r="B118" s="127">
        <v>2211382</v>
      </c>
      <c r="C118" s="139" t="s">
        <v>1176</v>
      </c>
      <c r="D118" s="85">
        <v>12039</v>
      </c>
      <c r="E118" s="85">
        <v>13374</v>
      </c>
      <c r="F118" s="83" t="s">
        <v>2272</v>
      </c>
    </row>
    <row r="119" spans="1:7">
      <c r="A119" s="127" t="s">
        <v>1950</v>
      </c>
      <c r="B119" s="127">
        <v>2188572</v>
      </c>
      <c r="C119" s="139" t="s">
        <v>1176</v>
      </c>
      <c r="D119" s="85">
        <v>12148</v>
      </c>
      <c r="E119" s="85">
        <v>13178</v>
      </c>
      <c r="F119" s="83" t="s">
        <v>2319</v>
      </c>
    </row>
    <row r="120" spans="1:7">
      <c r="A120" s="127" t="s">
        <v>1950</v>
      </c>
      <c r="B120" s="127">
        <v>2167283</v>
      </c>
      <c r="C120" s="139" t="s">
        <v>1176</v>
      </c>
      <c r="D120" s="85">
        <v>12512</v>
      </c>
      <c r="E120" s="85">
        <v>12989</v>
      </c>
      <c r="F120" s="83" t="s">
        <v>2272</v>
      </c>
    </row>
    <row r="121" spans="1:7">
      <c r="A121" s="127" t="s">
        <v>1950</v>
      </c>
      <c r="B121" s="127">
        <v>2238251</v>
      </c>
      <c r="C121" s="139" t="s">
        <v>1176</v>
      </c>
      <c r="D121" s="85">
        <v>13179</v>
      </c>
      <c r="E121" s="85">
        <v>13619</v>
      </c>
      <c r="F121" s="83" t="s">
        <v>2205</v>
      </c>
    </row>
    <row r="122" spans="1:7">
      <c r="A122" s="127" t="s">
        <v>1950</v>
      </c>
      <c r="B122" s="127">
        <v>2298469</v>
      </c>
      <c r="C122" s="139" t="s">
        <v>1176</v>
      </c>
      <c r="D122" s="85">
        <v>13600</v>
      </c>
      <c r="E122" s="85">
        <v>14165</v>
      </c>
      <c r="F122" s="83" t="s">
        <v>2205</v>
      </c>
    </row>
    <row r="123" spans="1:7">
      <c r="A123" s="127" t="s">
        <v>1950</v>
      </c>
      <c r="B123" s="127">
        <v>2312295</v>
      </c>
      <c r="C123" s="139" t="s">
        <v>1176</v>
      </c>
      <c r="D123" s="85">
        <v>13720</v>
      </c>
      <c r="E123" s="85">
        <v>14298</v>
      </c>
      <c r="F123" s="83" t="s">
        <v>2205</v>
      </c>
    </row>
    <row r="124" spans="1:7">
      <c r="A124" s="127" t="s">
        <v>1950</v>
      </c>
      <c r="B124" s="127">
        <v>2335144</v>
      </c>
      <c r="C124" s="139" t="s">
        <v>1176</v>
      </c>
      <c r="D124" s="85">
        <v>13944</v>
      </c>
      <c r="E124" s="85">
        <v>14571</v>
      </c>
      <c r="F124" s="83" t="s">
        <v>2205</v>
      </c>
    </row>
    <row r="125" spans="1:7">
      <c r="A125" s="127" t="s">
        <v>1950</v>
      </c>
      <c r="B125" s="127">
        <v>2415579</v>
      </c>
      <c r="C125" s="139" t="s">
        <v>1176</v>
      </c>
      <c r="D125" s="85">
        <v>14707</v>
      </c>
      <c r="E125" s="85">
        <v>15747</v>
      </c>
      <c r="F125" s="83" t="s">
        <v>1219</v>
      </c>
      <c r="G125" s="83" t="s">
        <v>1220</v>
      </c>
    </row>
    <row r="126" spans="1:7">
      <c r="A126" s="127" t="s">
        <v>1950</v>
      </c>
      <c r="B126" s="127">
        <v>2405293</v>
      </c>
      <c r="C126" s="139" t="s">
        <v>1176</v>
      </c>
      <c r="D126" s="85">
        <v>14707</v>
      </c>
      <c r="E126" s="85">
        <v>15558</v>
      </c>
      <c r="F126" s="83" t="s">
        <v>1219</v>
      </c>
      <c r="G126" s="83" t="s">
        <v>1218</v>
      </c>
    </row>
    <row r="127" spans="1:7" s="127" customFormat="1">
      <c r="C127" s="139"/>
      <c r="D127" s="140"/>
      <c r="E127" s="140"/>
    </row>
    <row r="128" spans="1:7">
      <c r="A128" s="127" t="s">
        <v>1314</v>
      </c>
    </row>
    <row r="129" spans="1:5">
      <c r="A129" s="127" t="s">
        <v>1950</v>
      </c>
      <c r="B129" s="127" t="s">
        <v>1214</v>
      </c>
      <c r="E129" s="85">
        <v>14012</v>
      </c>
    </row>
    <row r="130" spans="1:5">
      <c r="E130" s="85"/>
    </row>
    <row r="132" spans="1:5">
      <c r="A132" s="126" t="s">
        <v>1977</v>
      </c>
    </row>
    <row r="133" spans="1:5">
      <c r="A133" s="127" t="s">
        <v>1246</v>
      </c>
    </row>
    <row r="135" spans="1:5">
      <c r="A135" s="42" t="s">
        <v>842</v>
      </c>
    </row>
    <row r="136" spans="1:5">
      <c r="A136" s="42" t="s">
        <v>1284</v>
      </c>
    </row>
    <row r="137" spans="1:5">
      <c r="A137" s="42" t="s">
        <v>1243</v>
      </c>
    </row>
    <row r="138" spans="1:5">
      <c r="A138" s="42" t="s">
        <v>1244</v>
      </c>
    </row>
    <row r="139" spans="1:5">
      <c r="A139" s="42" t="s">
        <v>1368</v>
      </c>
    </row>
    <row r="140" spans="1:5">
      <c r="A140" s="42" t="s">
        <v>1369</v>
      </c>
    </row>
    <row r="141" spans="1:5">
      <c r="A141" s="42" t="s">
        <v>1370</v>
      </c>
    </row>
    <row r="142" spans="1:5">
      <c r="A142" s="42" t="s">
        <v>898</v>
      </c>
    </row>
    <row r="143" spans="1:5">
      <c r="A143" s="42" t="s">
        <v>1157</v>
      </c>
    </row>
    <row r="144" spans="1:5">
      <c r="A144" s="42" t="s">
        <v>1240</v>
      </c>
    </row>
    <row r="145" spans="1:2">
      <c r="A145" s="42" t="s">
        <v>1242</v>
      </c>
    </row>
    <row r="146" spans="1:2">
      <c r="A146" s="42" t="s">
        <v>165</v>
      </c>
    </row>
    <row r="147" spans="1:2">
      <c r="A147" s="42"/>
    </row>
    <row r="148" spans="1:2">
      <c r="A148" s="126" t="s">
        <v>1407</v>
      </c>
    </row>
    <row r="149" spans="1:2">
      <c r="A149" s="42" t="s">
        <v>843</v>
      </c>
    </row>
    <row r="150" spans="1:2">
      <c r="A150" s="42" t="s">
        <v>2670</v>
      </c>
    </row>
    <row r="151" spans="1:2">
      <c r="A151" s="42"/>
    </row>
    <row r="152" spans="1:2">
      <c r="A152" s="42"/>
    </row>
    <row r="153" spans="1:2">
      <c r="A153" s="126" t="s">
        <v>1411</v>
      </c>
    </row>
    <row r="154" spans="1:2">
      <c r="A154" s="42" t="s">
        <v>1265</v>
      </c>
      <c r="B154" s="127">
        <v>1925</v>
      </c>
    </row>
    <row r="155" spans="1:2">
      <c r="A155" s="42" t="s">
        <v>930</v>
      </c>
      <c r="B155" s="127">
        <v>1925</v>
      </c>
    </row>
    <row r="156" spans="1:2">
      <c r="A156" s="42"/>
    </row>
    <row r="157" spans="1:2">
      <c r="A157" s="126" t="s">
        <v>900</v>
      </c>
    </row>
    <row r="158" spans="1:2">
      <c r="A158" s="42" t="s">
        <v>899</v>
      </c>
      <c r="B158" s="127">
        <v>1929</v>
      </c>
    </row>
    <row r="159" spans="1:2">
      <c r="A159" s="42" t="s">
        <v>931</v>
      </c>
      <c r="B159" s="127">
        <v>1929</v>
      </c>
    </row>
    <row r="160" spans="1:2">
      <c r="A160" s="189" t="s">
        <v>904</v>
      </c>
      <c r="B160" s="127">
        <v>1929</v>
      </c>
    </row>
    <row r="161" spans="1:2">
      <c r="A161" s="189" t="s">
        <v>905</v>
      </c>
      <c r="B161" s="127">
        <v>1929</v>
      </c>
    </row>
    <row r="162" spans="1:2">
      <c r="A162" s="189" t="s">
        <v>906</v>
      </c>
      <c r="B162" s="127">
        <v>1929</v>
      </c>
    </row>
    <row r="163" spans="1:2">
      <c r="A163" s="189" t="s">
        <v>907</v>
      </c>
      <c r="B163" s="127">
        <v>1930</v>
      </c>
    </row>
    <row r="164" spans="1:2">
      <c r="A164" s="189" t="s">
        <v>908</v>
      </c>
      <c r="B164" s="127">
        <v>1930</v>
      </c>
    </row>
    <row r="165" spans="1:2">
      <c r="A165" s="189" t="s">
        <v>909</v>
      </c>
      <c r="B165" s="127">
        <v>1931</v>
      </c>
    </row>
    <row r="166" spans="1:2">
      <c r="A166" s="189" t="s">
        <v>910</v>
      </c>
      <c r="B166" s="127">
        <v>1932</v>
      </c>
    </row>
    <row r="167" spans="1:2">
      <c r="A167" s="189" t="s">
        <v>911</v>
      </c>
      <c r="B167" s="127">
        <v>1932</v>
      </c>
    </row>
    <row r="168" spans="1:2">
      <c r="A168" s="189" t="s">
        <v>830</v>
      </c>
      <c r="B168" s="127">
        <v>1933</v>
      </c>
    </row>
    <row r="169" spans="1:2">
      <c r="A169" s="189" t="s">
        <v>958</v>
      </c>
      <c r="B169" s="127">
        <v>1934</v>
      </c>
    </row>
    <row r="170" spans="1:2">
      <c r="A170" s="189" t="s">
        <v>961</v>
      </c>
      <c r="B170" s="127">
        <v>1938</v>
      </c>
    </row>
    <row r="171" spans="1:2">
      <c r="A171" s="189" t="s">
        <v>962</v>
      </c>
      <c r="B171" s="127">
        <v>1939</v>
      </c>
    </row>
    <row r="172" spans="1:2">
      <c r="A172" s="189" t="s">
        <v>963</v>
      </c>
      <c r="B172" s="127">
        <v>1939</v>
      </c>
    </row>
    <row r="173" spans="1:2">
      <c r="A173" s="189" t="s">
        <v>964</v>
      </c>
      <c r="B173" s="127">
        <v>1940</v>
      </c>
    </row>
    <row r="174" spans="1:2">
      <c r="A174" s="189" t="s">
        <v>965</v>
      </c>
      <c r="B174" s="127">
        <v>1940</v>
      </c>
    </row>
    <row r="176" spans="1:2">
      <c r="A176" s="126" t="s">
        <v>957</v>
      </c>
    </row>
    <row r="177" spans="1:2">
      <c r="A177" s="127" t="s">
        <v>871</v>
      </c>
      <c r="B177" s="127">
        <v>1933</v>
      </c>
    </row>
    <row r="178" spans="1:2">
      <c r="A178" s="127" t="s">
        <v>956</v>
      </c>
      <c r="B178" s="127">
        <v>1934</v>
      </c>
    </row>
    <row r="179" spans="1:2">
      <c r="A179" s="127" t="s">
        <v>959</v>
      </c>
      <c r="B179" s="127">
        <v>1935</v>
      </c>
    </row>
    <row r="180" spans="1:2">
      <c r="A180" s="127" t="s">
        <v>960</v>
      </c>
      <c r="B180" s="127">
        <v>1936</v>
      </c>
    </row>
    <row r="184" spans="1:2" customFormat="1"/>
    <row r="185" spans="1:2" customFormat="1"/>
    <row r="186" spans="1:2" customFormat="1"/>
    <row r="187" spans="1:2" customFormat="1"/>
    <row r="188" spans="1:2" customFormat="1"/>
    <row r="189" spans="1:2" customFormat="1"/>
    <row r="190" spans="1:2" customFormat="1"/>
    <row r="191" spans="1:2" customFormat="1"/>
    <row r="192" spans="1: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spans="1:3" customFormat="1"/>
    <row r="274" spans="1:3" customFormat="1"/>
    <row r="275" spans="1:3" customFormat="1"/>
    <row r="276" spans="1:3" customFormat="1"/>
    <row r="277" spans="1:3" customFormat="1"/>
    <row r="278" spans="1:3">
      <c r="A278" s="42"/>
      <c r="C278" s="42"/>
    </row>
    <row r="279" spans="1:3">
      <c r="A279" s="42"/>
      <c r="C279" s="42"/>
    </row>
    <row r="280" spans="1:3">
      <c r="A280" s="42"/>
      <c r="C280" s="42"/>
    </row>
    <row r="281" spans="1:3">
      <c r="A281" s="42"/>
      <c r="C281" s="42"/>
    </row>
    <row r="282" spans="1:3">
      <c r="A282" s="42"/>
      <c r="C282" s="42"/>
    </row>
    <row r="283" spans="1:3">
      <c r="A283" s="42"/>
      <c r="C283" s="42"/>
    </row>
    <row r="284" spans="1:3">
      <c r="A284" s="42"/>
      <c r="C284" s="42"/>
    </row>
    <row r="285" spans="1:3">
      <c r="A285" s="42"/>
      <c r="C285" s="42"/>
    </row>
    <row r="286" spans="1:3">
      <c r="A286" s="42"/>
      <c r="C286" s="42"/>
    </row>
    <row r="287" spans="1:3">
      <c r="A287" s="42"/>
      <c r="C287" s="42"/>
    </row>
    <row r="288" spans="1:3">
      <c r="A288" s="42"/>
      <c r="C288" s="42"/>
    </row>
    <row r="289" spans="1:3">
      <c r="A289" s="42"/>
      <c r="C289" s="42"/>
    </row>
    <row r="290" spans="1:3">
      <c r="A290" s="42"/>
      <c r="C290" s="42"/>
    </row>
    <row r="291" spans="1:3">
      <c r="A291" s="42"/>
      <c r="C291" s="42"/>
    </row>
    <row r="292" spans="1:3">
      <c r="A292" s="42"/>
      <c r="C292" s="42"/>
    </row>
    <row r="293" spans="1:3">
      <c r="A293" s="42"/>
      <c r="C293" s="42"/>
    </row>
    <row r="294" spans="1:3">
      <c r="A294" s="42"/>
      <c r="C294" s="42"/>
    </row>
    <row r="295" spans="1:3">
      <c r="A295" s="42"/>
      <c r="C295" s="42"/>
    </row>
    <row r="296" spans="1:3">
      <c r="A296" s="42"/>
      <c r="C296" s="42"/>
    </row>
    <row r="297" spans="1:3">
      <c r="A297" s="42"/>
      <c r="C297" s="42"/>
    </row>
    <row r="298" spans="1:3">
      <c r="A298" s="42"/>
      <c r="C298" s="42"/>
    </row>
    <row r="299" spans="1:3">
      <c r="A299" s="42"/>
      <c r="C299" s="42"/>
    </row>
    <row r="300" spans="1:3">
      <c r="A300" s="42"/>
      <c r="C300" s="42"/>
    </row>
    <row r="301" spans="1:3">
      <c r="A301" s="42"/>
      <c r="C301" s="42"/>
    </row>
    <row r="302" spans="1:3">
      <c r="A302" s="42"/>
      <c r="C302" s="42"/>
    </row>
    <row r="303" spans="1:3">
      <c r="A303" s="42"/>
      <c r="C303" s="42"/>
    </row>
    <row r="304" spans="1:3">
      <c r="A304" s="42"/>
      <c r="C304" s="42"/>
    </row>
    <row r="305" spans="1:3">
      <c r="A305" s="42"/>
      <c r="C305" s="42"/>
    </row>
    <row r="306" spans="1:3">
      <c r="A306" s="42"/>
      <c r="C306" s="42"/>
    </row>
    <row r="307" spans="1:3">
      <c r="A307" s="42"/>
      <c r="C307" s="42"/>
    </row>
    <row r="308" spans="1:3">
      <c r="A308" s="42"/>
      <c r="C308" s="42"/>
    </row>
    <row r="309" spans="1:3">
      <c r="A309" s="42"/>
      <c r="C309" s="42"/>
    </row>
    <row r="310" spans="1:3">
      <c r="A310" s="42"/>
      <c r="C310" s="42"/>
    </row>
    <row r="311" spans="1:3">
      <c r="A311" s="42"/>
      <c r="C311" s="42"/>
    </row>
    <row r="312" spans="1:3">
      <c r="A312" s="42"/>
      <c r="C312" s="42"/>
    </row>
    <row r="313" spans="1:3">
      <c r="A313" s="42"/>
      <c r="C313" s="42"/>
    </row>
    <row r="314" spans="1:3">
      <c r="A314" s="42"/>
      <c r="C314" s="42"/>
    </row>
    <row r="315" spans="1:3">
      <c r="A315" s="42"/>
      <c r="C315" s="42"/>
    </row>
    <row r="316" spans="1:3">
      <c r="A316" s="42"/>
      <c r="C316" s="42"/>
    </row>
    <row r="317" spans="1:3">
      <c r="A317" s="42"/>
      <c r="C317" s="42"/>
    </row>
    <row r="318" spans="1:3">
      <c r="A318" s="42"/>
      <c r="C318" s="42"/>
    </row>
    <row r="319" spans="1:3">
      <c r="A319" s="42"/>
      <c r="C319" s="42"/>
    </row>
    <row r="320" spans="1:3">
      <c r="A320" s="42"/>
      <c r="C320" s="42"/>
    </row>
    <row r="321" spans="1:3">
      <c r="A321" s="42"/>
      <c r="C321" s="42"/>
    </row>
    <row r="322" spans="1:3">
      <c r="A322" s="42"/>
      <c r="C322" s="42"/>
    </row>
    <row r="323" spans="1:3">
      <c r="A323" s="42"/>
      <c r="C323" s="42"/>
    </row>
    <row r="324" spans="1:3">
      <c r="A324" s="42"/>
      <c r="C324" s="42"/>
    </row>
    <row r="325" spans="1:3">
      <c r="A325" s="42"/>
      <c r="C325" s="42"/>
    </row>
    <row r="326" spans="1:3">
      <c r="A326" s="42"/>
      <c r="C326" s="42"/>
    </row>
    <row r="327" spans="1:3">
      <c r="A327" s="42"/>
      <c r="C327" s="42"/>
    </row>
    <row r="328" spans="1:3">
      <c r="A328" s="42"/>
      <c r="C328" s="42"/>
    </row>
    <row r="329" spans="1:3">
      <c r="A329" s="42"/>
      <c r="C329" s="42"/>
    </row>
    <row r="330" spans="1:3">
      <c r="A330" s="42"/>
      <c r="C330" s="42"/>
    </row>
    <row r="331" spans="1:3">
      <c r="A331" s="42"/>
      <c r="C331" s="42"/>
    </row>
    <row r="332" spans="1:3">
      <c r="A332" s="42"/>
      <c r="C332" s="42"/>
    </row>
    <row r="333" spans="1:3">
      <c r="A333" s="42"/>
      <c r="C333" s="42"/>
    </row>
    <row r="334" spans="1:3">
      <c r="A334" s="42"/>
      <c r="C334" s="42"/>
    </row>
    <row r="335" spans="1:3">
      <c r="A335" s="42"/>
      <c r="C335" s="42"/>
    </row>
    <row r="336" spans="1:3">
      <c r="A336" s="42"/>
      <c r="C336" s="42"/>
    </row>
    <row r="337" spans="1:3">
      <c r="A337" s="42"/>
      <c r="C337" s="42"/>
    </row>
    <row r="338" spans="1:3">
      <c r="A338" s="42"/>
      <c r="C338" s="42"/>
    </row>
    <row r="339" spans="1:3">
      <c r="A339" s="42"/>
      <c r="C339" s="42"/>
    </row>
    <row r="340" spans="1:3">
      <c r="A340" s="42"/>
      <c r="C340" s="42"/>
    </row>
    <row r="341" spans="1:3">
      <c r="A341" s="42"/>
      <c r="C341" s="42"/>
    </row>
    <row r="342" spans="1:3">
      <c r="A342" s="42"/>
      <c r="C342" s="42"/>
    </row>
    <row r="343" spans="1:3">
      <c r="A343" s="42"/>
      <c r="C343" s="42"/>
    </row>
    <row r="344" spans="1:3">
      <c r="A344" s="42"/>
      <c r="C344" s="42"/>
    </row>
    <row r="345" spans="1:3">
      <c r="A345" s="42"/>
      <c r="C345" s="42"/>
    </row>
    <row r="346" spans="1:3">
      <c r="A346" s="42"/>
      <c r="C346" s="42"/>
    </row>
    <row r="347" spans="1:3">
      <c r="A347" s="42"/>
    </row>
    <row r="348" spans="1:3">
      <c r="A348" s="42"/>
    </row>
    <row r="349" spans="1:3">
      <c r="A349" s="42"/>
    </row>
    <row r="350" spans="1:3">
      <c r="A350" s="42"/>
    </row>
    <row r="351" spans="1:3">
      <c r="A351" s="42"/>
    </row>
    <row r="352" spans="1:3">
      <c r="A352" s="42"/>
    </row>
    <row r="353" spans="1:1">
      <c r="A353" s="42"/>
    </row>
    <row r="354" spans="1:1">
      <c r="A354" s="42"/>
    </row>
    <row r="355" spans="1:1">
      <c r="A355" s="42"/>
    </row>
    <row r="356" spans="1:1">
      <c r="A356" s="42"/>
    </row>
    <row r="357" spans="1:1">
      <c r="A357" s="42"/>
    </row>
    <row r="358" spans="1:1">
      <c r="A358" s="42"/>
    </row>
    <row r="359" spans="1:1">
      <c r="A359" s="42"/>
    </row>
    <row r="360" spans="1:1">
      <c r="A360" s="42"/>
    </row>
    <row r="361" spans="1:1">
      <c r="A361" s="42"/>
    </row>
    <row r="362" spans="1:1">
      <c r="A362" s="42"/>
    </row>
    <row r="363" spans="1:1">
      <c r="A363" s="42"/>
    </row>
    <row r="364" spans="1:1">
      <c r="A364" s="42"/>
    </row>
    <row r="365" spans="1:1">
      <c r="A365" s="42"/>
    </row>
    <row r="366" spans="1:1">
      <c r="A366" s="42"/>
    </row>
    <row r="367" spans="1:1">
      <c r="A367" s="42"/>
    </row>
    <row r="368" spans="1:1">
      <c r="A368" s="42"/>
    </row>
    <row r="369" spans="1:1">
      <c r="A369" s="42"/>
    </row>
  </sheetData>
  <sortState ref="A97:G126">
    <sortCondition ref="D97:D126"/>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206"/>
  <sheetViews>
    <sheetView workbookViewId="0">
      <selection activeCell="A44" sqref="A44:XFD155"/>
    </sheetView>
  </sheetViews>
  <sheetFormatPr baseColWidth="10" defaultRowHeight="13"/>
  <cols>
    <col min="1" max="1" width="9.28515625" style="83" customWidth="1"/>
    <col min="2" max="3" width="10.7109375" style="83"/>
    <col min="4" max="4" width="8.7109375" style="83" customWidth="1"/>
    <col min="5" max="16384" width="10.7109375" style="83"/>
  </cols>
  <sheetData>
    <row r="1" spans="1:6" ht="39">
      <c r="A1" s="82" t="s">
        <v>1869</v>
      </c>
      <c r="B1" s="82" t="s">
        <v>1511</v>
      </c>
      <c r="C1" s="82" t="s">
        <v>1175</v>
      </c>
      <c r="D1" s="82" t="s">
        <v>2174</v>
      </c>
      <c r="E1" s="82" t="s">
        <v>1528</v>
      </c>
      <c r="F1" s="82" t="s">
        <v>1529</v>
      </c>
    </row>
    <row r="2" spans="1:6">
      <c r="A2" s="84" t="s">
        <v>2454</v>
      </c>
      <c r="B2" s="82"/>
      <c r="C2" s="82"/>
      <c r="D2" s="82"/>
      <c r="E2" s="82"/>
      <c r="F2" s="82"/>
    </row>
    <row r="3" spans="1:6" s="70" customFormat="1">
      <c r="A3" s="127" t="s">
        <v>2400</v>
      </c>
      <c r="B3" s="219">
        <v>2192444</v>
      </c>
      <c r="C3" s="102" t="s">
        <v>1176</v>
      </c>
      <c r="D3" s="133">
        <v>11575</v>
      </c>
      <c r="E3" s="133">
        <v>13213</v>
      </c>
      <c r="F3" s="83" t="s">
        <v>2401</v>
      </c>
    </row>
    <row r="4" spans="1:6" s="70" customFormat="1">
      <c r="A4" s="127" t="s">
        <v>2400</v>
      </c>
      <c r="B4" s="219">
        <v>2309321</v>
      </c>
      <c r="C4" s="102" t="s">
        <v>1176</v>
      </c>
      <c r="D4" s="133">
        <v>12583</v>
      </c>
      <c r="E4" s="133">
        <v>14270</v>
      </c>
      <c r="F4" s="83" t="s">
        <v>2401</v>
      </c>
    </row>
    <row r="5" spans="1:6" s="70" customFormat="1">
      <c r="A5" s="127" t="s">
        <v>2400</v>
      </c>
      <c r="B5" s="219">
        <v>2226664</v>
      </c>
      <c r="C5" s="102" t="s">
        <v>1176</v>
      </c>
      <c r="D5" s="133">
        <v>12731</v>
      </c>
      <c r="E5" s="133">
        <v>13514</v>
      </c>
      <c r="F5" s="83" t="s">
        <v>2402</v>
      </c>
    </row>
    <row r="6" spans="1:6">
      <c r="A6" s="127" t="s">
        <v>2400</v>
      </c>
      <c r="B6" s="127">
        <v>2324470</v>
      </c>
      <c r="C6" s="102" t="s">
        <v>1176</v>
      </c>
      <c r="D6" s="85">
        <v>13745</v>
      </c>
      <c r="E6" s="85">
        <v>14445</v>
      </c>
      <c r="F6" s="83" t="s">
        <v>2401</v>
      </c>
    </row>
    <row r="7" spans="1:6">
      <c r="A7" s="127" t="s">
        <v>2400</v>
      </c>
      <c r="B7" s="127">
        <v>2380530</v>
      </c>
      <c r="C7" s="102" t="s">
        <v>1176</v>
      </c>
      <c r="D7" s="85">
        <v>14374</v>
      </c>
      <c r="E7" s="85">
        <v>15187</v>
      </c>
      <c r="F7" s="83" t="s">
        <v>2401</v>
      </c>
    </row>
    <row r="8" spans="1:6">
      <c r="A8" s="127" t="s">
        <v>2400</v>
      </c>
      <c r="B8" s="127">
        <v>2581785</v>
      </c>
      <c r="C8" s="102" t="s">
        <v>1176</v>
      </c>
      <c r="D8" s="85">
        <v>15607</v>
      </c>
      <c r="E8" s="85">
        <v>17539</v>
      </c>
      <c r="F8" s="83" t="s">
        <v>2402</v>
      </c>
    </row>
    <row r="9" spans="1:6">
      <c r="A9" s="127" t="s">
        <v>2400</v>
      </c>
      <c r="B9" s="127">
        <v>2569331</v>
      </c>
      <c r="C9" s="102" t="s">
        <v>1176</v>
      </c>
      <c r="D9" s="85">
        <v>15886</v>
      </c>
      <c r="E9" s="85">
        <v>17434</v>
      </c>
      <c r="F9" s="83" t="s">
        <v>2403</v>
      </c>
    </row>
    <row r="11" spans="1:6">
      <c r="A11" s="47" t="s">
        <v>1977</v>
      </c>
    </row>
    <row r="12" spans="1:6">
      <c r="A12" s="83" t="s">
        <v>2476</v>
      </c>
    </row>
    <row r="15" spans="1:6">
      <c r="A15" s="123" t="s">
        <v>2483</v>
      </c>
    </row>
    <row r="16" spans="1:6">
      <c r="A16" s="123" t="s">
        <v>2455</v>
      </c>
    </row>
    <row r="17" spans="1:2">
      <c r="A17" s="123" t="s">
        <v>2461</v>
      </c>
    </row>
    <row r="18" spans="1:2">
      <c r="A18" s="123" t="s">
        <v>2462</v>
      </c>
    </row>
    <row r="19" spans="1:2">
      <c r="A19" s="123" t="s">
        <v>1368</v>
      </c>
    </row>
    <row r="20" spans="1:2">
      <c r="A20" s="123" t="s">
        <v>1369</v>
      </c>
    </row>
    <row r="21" spans="1:2">
      <c r="A21" s="123" t="s">
        <v>2396</v>
      </c>
    </row>
    <row r="22" spans="1:2">
      <c r="A22" s="123" t="s">
        <v>2399</v>
      </c>
    </row>
    <row r="23" spans="1:2">
      <c r="A23" s="123" t="s">
        <v>2397</v>
      </c>
    </row>
    <row r="24" spans="1:2">
      <c r="A24" s="123" t="s">
        <v>2398</v>
      </c>
    </row>
    <row r="25" spans="1:2">
      <c r="A25" s="123" t="s">
        <v>1377</v>
      </c>
      <c r="B25" s="83" t="s">
        <v>2421</v>
      </c>
    </row>
    <row r="26" spans="1:2">
      <c r="A26" s="203" t="s">
        <v>162</v>
      </c>
    </row>
    <row r="27" spans="1:2">
      <c r="A27" s="123"/>
    </row>
    <row r="28" spans="1:2">
      <c r="A28" s="47" t="s">
        <v>1407</v>
      </c>
    </row>
    <row r="29" spans="1:2">
      <c r="A29" s="123" t="s">
        <v>2488</v>
      </c>
    </row>
    <row r="30" spans="1:2">
      <c r="A30" s="123"/>
    </row>
    <row r="31" spans="1:2">
      <c r="A31" s="47" t="s">
        <v>2405</v>
      </c>
    </row>
    <row r="32" spans="1:2">
      <c r="A32" s="86" t="s">
        <v>2460</v>
      </c>
    </row>
    <row r="33" spans="1:2">
      <c r="A33" s="204" t="s">
        <v>2672</v>
      </c>
    </row>
    <row r="35" spans="1:2">
      <c r="A35" s="47" t="s">
        <v>2486</v>
      </c>
    </row>
    <row r="36" spans="1:2">
      <c r="A36" s="83" t="s">
        <v>2484</v>
      </c>
      <c r="B36" s="83">
        <v>1926</v>
      </c>
    </row>
    <row r="37" spans="1:2">
      <c r="A37" s="83" t="s">
        <v>2485</v>
      </c>
      <c r="B37" s="83">
        <v>1926</v>
      </c>
    </row>
    <row r="38" spans="1:2">
      <c r="A38" s="83" t="s">
        <v>2489</v>
      </c>
      <c r="B38" s="83">
        <v>1930</v>
      </c>
    </row>
    <row r="39" spans="1:2">
      <c r="A39" s="83" t="s">
        <v>2487</v>
      </c>
      <c r="B39" s="83">
        <v>1934</v>
      </c>
    </row>
    <row r="40" spans="1:2">
      <c r="A40" s="83" t="s">
        <v>2526</v>
      </c>
      <c r="B40" s="83">
        <v>1935</v>
      </c>
    </row>
    <row r="41" spans="1:2">
      <c r="A41" s="83" t="s">
        <v>2416</v>
      </c>
      <c r="B41" s="83">
        <v>1936</v>
      </c>
    </row>
    <row r="44" spans="1:2" customFormat="1"/>
    <row r="45" spans="1:2" customFormat="1"/>
    <row r="46" spans="1:2" customFormat="1"/>
    <row r="47" spans="1:2" customFormat="1"/>
    <row r="48" spans="1:2"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spans="3:3" customFormat="1"/>
    <row r="146" spans="3:3" customFormat="1"/>
    <row r="147" spans="3:3" customFormat="1"/>
    <row r="148" spans="3:3" customFormat="1"/>
    <row r="149" spans="3:3" customFormat="1"/>
    <row r="150" spans="3:3" customFormat="1"/>
    <row r="151" spans="3:3" customFormat="1"/>
    <row r="152" spans="3:3" customFormat="1"/>
    <row r="153" spans="3:3" customFormat="1"/>
    <row r="154" spans="3:3" customFormat="1"/>
    <row r="155" spans="3:3" customFormat="1"/>
    <row r="156" spans="3:3">
      <c r="C156"/>
    </row>
    <row r="157" spans="3:3">
      <c r="C157"/>
    </row>
    <row r="158" spans="3:3">
      <c r="C158"/>
    </row>
    <row r="159" spans="3:3">
      <c r="C159"/>
    </row>
    <row r="160" spans="3:3">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row r="198" spans="3:3">
      <c r="C198"/>
    </row>
    <row r="199" spans="3:3">
      <c r="C199"/>
    </row>
    <row r="200" spans="3:3">
      <c r="C200"/>
    </row>
    <row r="201" spans="3:3">
      <c r="C201"/>
    </row>
    <row r="202" spans="3:3">
      <c r="C202"/>
    </row>
    <row r="203" spans="3:3">
      <c r="C203"/>
    </row>
    <row r="204" spans="3:3">
      <c r="C204"/>
    </row>
    <row r="205" spans="3:3">
      <c r="C205"/>
    </row>
    <row r="206" spans="3:3">
      <c r="C206"/>
    </row>
  </sheetData>
  <sortState ref="A3:G9">
    <sortCondition ref="D3:D9"/>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W74"/>
  <sheetViews>
    <sheetView topLeftCell="A54" workbookViewId="0">
      <selection activeCell="G69" sqref="G69"/>
    </sheetView>
  </sheetViews>
  <sheetFormatPr baseColWidth="10" defaultRowHeight="13"/>
  <cols>
    <col min="1" max="3" width="10.7109375" style="42"/>
    <col min="4" max="16384" width="10.7109375" style="115"/>
  </cols>
  <sheetData>
    <row r="1" spans="1:49" s="87" customFormat="1" ht="39">
      <c r="A1" s="100" t="s">
        <v>1869</v>
      </c>
      <c r="B1" s="100" t="s">
        <v>1747</v>
      </c>
      <c r="C1" s="100" t="s">
        <v>1175</v>
      </c>
      <c r="D1" s="82" t="s">
        <v>2174</v>
      </c>
      <c r="E1" s="82" t="s">
        <v>2022</v>
      </c>
      <c r="F1" s="82" t="s">
        <v>2023</v>
      </c>
      <c r="G1" s="90" t="s">
        <v>1631</v>
      </c>
      <c r="H1" s="91" t="s">
        <v>1632</v>
      </c>
      <c r="I1" s="92" t="s">
        <v>1797</v>
      </c>
      <c r="J1" s="92" t="s">
        <v>1689</v>
      </c>
      <c r="K1" s="92" t="s">
        <v>1633</v>
      </c>
      <c r="L1" s="92" t="s">
        <v>1827</v>
      </c>
      <c r="M1" s="92" t="s">
        <v>1828</v>
      </c>
      <c r="N1" s="92" t="s">
        <v>1692</v>
      </c>
      <c r="O1" s="92" t="s">
        <v>1793</v>
      </c>
      <c r="P1" s="92" t="s">
        <v>1638</v>
      </c>
      <c r="Q1" s="92" t="s">
        <v>1801</v>
      </c>
      <c r="R1" s="92" t="s">
        <v>1700</v>
      </c>
      <c r="S1" s="93" t="s">
        <v>1683</v>
      </c>
      <c r="T1" s="94" t="s">
        <v>1684</v>
      </c>
      <c r="U1" s="94" t="s">
        <v>1900</v>
      </c>
      <c r="V1" s="94" t="s">
        <v>1901</v>
      </c>
      <c r="W1" s="94" t="s">
        <v>1685</v>
      </c>
      <c r="X1" s="94" t="s">
        <v>1686</v>
      </c>
      <c r="Y1" s="95" t="s">
        <v>1687</v>
      </c>
      <c r="Z1" s="96" t="s">
        <v>1688</v>
      </c>
      <c r="AA1" s="97" t="s">
        <v>1810</v>
      </c>
      <c r="AB1" s="97" t="s">
        <v>1728</v>
      </c>
      <c r="AC1" s="97" t="s">
        <v>1763</v>
      </c>
      <c r="AD1" s="97" t="s">
        <v>1764</v>
      </c>
      <c r="AE1" s="97" t="s">
        <v>1860</v>
      </c>
      <c r="AF1" s="97" t="s">
        <v>1861</v>
      </c>
      <c r="AG1" s="97" t="s">
        <v>1693</v>
      </c>
      <c r="AH1" s="93" t="s">
        <v>1694</v>
      </c>
      <c r="AI1" s="94" t="s">
        <v>1862</v>
      </c>
      <c r="AJ1" s="94" t="s">
        <v>1744</v>
      </c>
      <c r="AK1" s="95" t="s">
        <v>1758</v>
      </c>
      <c r="AL1" s="95" t="s">
        <v>1921</v>
      </c>
      <c r="AM1" s="95" t="s">
        <v>1835</v>
      </c>
      <c r="AN1" s="95" t="s">
        <v>1836</v>
      </c>
      <c r="AO1" s="95" t="s">
        <v>1893</v>
      </c>
      <c r="AP1" s="95" t="s">
        <v>1894</v>
      </c>
      <c r="AQ1" s="98" t="s">
        <v>1895</v>
      </c>
      <c r="AR1" s="98" t="s">
        <v>1745</v>
      </c>
      <c r="AS1" s="98" t="s">
        <v>2193</v>
      </c>
      <c r="AT1" s="99" t="s">
        <v>1746</v>
      </c>
      <c r="AU1" s="82" t="s">
        <v>1899</v>
      </c>
      <c r="AV1" s="82" t="s">
        <v>2194</v>
      </c>
      <c r="AW1" s="82" t="s">
        <v>2195</v>
      </c>
    </row>
    <row r="2" spans="1:49" s="87" customFormat="1">
      <c r="A2" s="125" t="s">
        <v>1201</v>
      </c>
      <c r="B2" s="100"/>
      <c r="C2" s="100"/>
      <c r="D2" s="82"/>
      <c r="E2" s="82"/>
      <c r="F2" s="82"/>
      <c r="G2" s="110"/>
      <c r="H2" s="110"/>
      <c r="I2" s="92"/>
      <c r="J2" s="92"/>
      <c r="K2" s="92"/>
      <c r="L2" s="92"/>
      <c r="M2" s="92"/>
      <c r="N2" s="92"/>
      <c r="O2" s="92"/>
      <c r="P2" s="92"/>
      <c r="Q2" s="92"/>
      <c r="R2" s="92"/>
      <c r="S2" s="94"/>
      <c r="T2" s="94"/>
      <c r="U2" s="94"/>
      <c r="V2" s="94"/>
      <c r="W2" s="94"/>
      <c r="X2" s="94"/>
      <c r="Y2" s="94"/>
      <c r="Z2" s="97"/>
      <c r="AA2" s="97"/>
      <c r="AB2" s="97"/>
      <c r="AC2" s="97"/>
      <c r="AD2" s="97"/>
      <c r="AE2" s="97"/>
      <c r="AF2" s="97"/>
      <c r="AG2" s="97"/>
      <c r="AH2" s="94"/>
      <c r="AI2" s="94"/>
      <c r="AJ2" s="94"/>
      <c r="AK2" s="94"/>
      <c r="AL2" s="94"/>
      <c r="AM2" s="94"/>
      <c r="AN2" s="94"/>
      <c r="AO2" s="94"/>
      <c r="AP2" s="94"/>
      <c r="AQ2" s="98"/>
      <c r="AR2" s="98"/>
      <c r="AS2" s="98"/>
      <c r="AT2" s="111"/>
      <c r="AU2" s="82"/>
      <c r="AV2" s="82"/>
      <c r="AW2" s="82"/>
    </row>
    <row r="3" spans="1:49">
      <c r="A3" s="220" t="s">
        <v>228</v>
      </c>
      <c r="B3" s="220">
        <v>1718815</v>
      </c>
      <c r="C3" s="221" t="s">
        <v>1312</v>
      </c>
      <c r="D3" s="46">
        <v>8391</v>
      </c>
      <c r="E3" s="46">
        <v>9307</v>
      </c>
      <c r="F3" s="115" t="s">
        <v>2353</v>
      </c>
    </row>
    <row r="4" spans="1:49">
      <c r="A4" s="220" t="s">
        <v>228</v>
      </c>
      <c r="B4" s="220">
        <v>1977315</v>
      </c>
      <c r="C4" s="221" t="s">
        <v>1312</v>
      </c>
      <c r="D4" s="46">
        <v>8518</v>
      </c>
      <c r="E4" s="46">
        <v>11246</v>
      </c>
      <c r="F4" s="109" t="s">
        <v>2353</v>
      </c>
    </row>
    <row r="5" spans="1:49">
      <c r="A5" s="220" t="s">
        <v>228</v>
      </c>
      <c r="B5" s="220">
        <v>1670656</v>
      </c>
      <c r="C5" s="221" t="s">
        <v>1312</v>
      </c>
      <c r="D5" s="46">
        <v>8540</v>
      </c>
      <c r="E5" s="46">
        <v>11932</v>
      </c>
      <c r="F5" s="207" t="s">
        <v>2478</v>
      </c>
      <c r="G5" s="115" t="s">
        <v>2481</v>
      </c>
    </row>
    <row r="6" spans="1:49">
      <c r="A6" s="220" t="s">
        <v>228</v>
      </c>
      <c r="B6" s="220">
        <v>1737661</v>
      </c>
      <c r="C6" s="221" t="s">
        <v>1312</v>
      </c>
      <c r="D6" s="46">
        <v>8572</v>
      </c>
      <c r="E6" s="46">
        <v>9468</v>
      </c>
      <c r="F6" s="109" t="s">
        <v>2353</v>
      </c>
    </row>
    <row r="7" spans="1:49">
      <c r="A7" s="220" t="s">
        <v>228</v>
      </c>
      <c r="B7" s="220">
        <v>1817384</v>
      </c>
      <c r="C7" s="221" t="s">
        <v>1312</v>
      </c>
      <c r="D7" s="46">
        <v>8614</v>
      </c>
      <c r="E7" s="46">
        <v>10077</v>
      </c>
      <c r="F7" s="109" t="s">
        <v>2353</v>
      </c>
    </row>
    <row r="8" spans="1:49">
      <c r="A8" s="220" t="s">
        <v>228</v>
      </c>
      <c r="B8" s="220">
        <v>1840565</v>
      </c>
      <c r="C8" s="221" t="s">
        <v>1312</v>
      </c>
      <c r="D8" s="46">
        <v>8614</v>
      </c>
      <c r="E8" s="46">
        <v>10238</v>
      </c>
      <c r="F8" s="207" t="s">
        <v>2353</v>
      </c>
    </row>
    <row r="9" spans="1:49">
      <c r="A9" s="220" t="s">
        <v>228</v>
      </c>
      <c r="B9" s="220">
        <v>1819643</v>
      </c>
      <c r="C9" s="221" t="s">
        <v>1312</v>
      </c>
      <c r="D9" s="46">
        <v>8734</v>
      </c>
      <c r="E9" s="46">
        <v>10728</v>
      </c>
      <c r="F9" s="207" t="s">
        <v>2354</v>
      </c>
      <c r="G9" s="115" t="s">
        <v>2420</v>
      </c>
    </row>
    <row r="10" spans="1:49">
      <c r="A10" s="42" t="s">
        <v>228</v>
      </c>
      <c r="B10" s="42">
        <v>1751805</v>
      </c>
      <c r="C10" s="151" t="s">
        <v>1312</v>
      </c>
      <c r="D10" s="46">
        <v>8778</v>
      </c>
      <c r="E10" s="46">
        <v>9580</v>
      </c>
      <c r="F10" s="109" t="s">
        <v>2353</v>
      </c>
    </row>
    <row r="11" spans="1:49">
      <c r="A11" s="42" t="s">
        <v>228</v>
      </c>
      <c r="B11" s="42">
        <v>1751806</v>
      </c>
      <c r="C11" s="151" t="s">
        <v>1312</v>
      </c>
      <c r="D11" s="46">
        <v>8804</v>
      </c>
      <c r="E11" s="46">
        <v>9580</v>
      </c>
      <c r="F11" s="109" t="s">
        <v>2354</v>
      </c>
    </row>
    <row r="12" spans="1:49">
      <c r="A12" s="42" t="s">
        <v>228</v>
      </c>
      <c r="B12" s="42">
        <v>1902563</v>
      </c>
      <c r="C12" s="151" t="s">
        <v>1312</v>
      </c>
      <c r="D12" s="46">
        <v>8819</v>
      </c>
      <c r="E12" s="46">
        <v>10672</v>
      </c>
      <c r="F12" s="109" t="s">
        <v>2355</v>
      </c>
    </row>
    <row r="13" spans="1:49">
      <c r="A13" s="42" t="s">
        <v>228</v>
      </c>
      <c r="B13" s="42">
        <v>1749763</v>
      </c>
      <c r="C13" s="151" t="s">
        <v>1312</v>
      </c>
      <c r="D13" s="46">
        <v>8986</v>
      </c>
      <c r="E13" s="46">
        <v>9930</v>
      </c>
      <c r="F13" s="115" t="s">
        <v>2354</v>
      </c>
      <c r="G13" s="115" t="s">
        <v>2419</v>
      </c>
    </row>
    <row r="14" spans="1:49">
      <c r="A14" s="42" t="s">
        <v>228</v>
      </c>
      <c r="B14" s="42">
        <v>1878618</v>
      </c>
      <c r="C14" s="151" t="s">
        <v>1312</v>
      </c>
      <c r="D14" s="46">
        <v>9408</v>
      </c>
      <c r="E14" s="46">
        <v>12765</v>
      </c>
      <c r="F14" s="115" t="s">
        <v>2478</v>
      </c>
      <c r="G14" s="115" t="s">
        <v>2352</v>
      </c>
    </row>
    <row r="15" spans="1:49">
      <c r="A15" s="42" t="s">
        <v>228</v>
      </c>
      <c r="B15" s="42">
        <v>1863576</v>
      </c>
      <c r="C15" s="151" t="s">
        <v>1312</v>
      </c>
      <c r="D15" s="46">
        <v>9457</v>
      </c>
      <c r="E15" s="46">
        <v>10399</v>
      </c>
      <c r="F15" s="115" t="s">
        <v>2356</v>
      </c>
    </row>
    <row r="16" spans="1:49">
      <c r="A16" s="42" t="s">
        <v>228</v>
      </c>
      <c r="B16" s="42">
        <v>1863577</v>
      </c>
      <c r="C16" s="151" t="s">
        <v>1312</v>
      </c>
      <c r="D16" s="46">
        <v>9457</v>
      </c>
      <c r="E16" s="46">
        <v>10399</v>
      </c>
      <c r="F16" s="115" t="s">
        <v>2356</v>
      </c>
    </row>
    <row r="17" spans="1:7">
      <c r="A17" s="42" t="s">
        <v>228</v>
      </c>
      <c r="B17" s="42">
        <v>1863578</v>
      </c>
      <c r="C17" s="151" t="s">
        <v>1312</v>
      </c>
      <c r="D17" s="46">
        <v>9457</v>
      </c>
      <c r="E17" s="46">
        <v>10399</v>
      </c>
      <c r="F17" s="115" t="s">
        <v>2356</v>
      </c>
    </row>
    <row r="18" spans="1:7">
      <c r="A18" s="42" t="s">
        <v>228</v>
      </c>
      <c r="B18" s="42">
        <v>1863579</v>
      </c>
      <c r="C18" s="151" t="s">
        <v>1312</v>
      </c>
      <c r="D18" s="46">
        <v>9457</v>
      </c>
      <c r="E18" s="46">
        <v>10399</v>
      </c>
      <c r="F18" s="207" t="s">
        <v>2356</v>
      </c>
    </row>
    <row r="19" spans="1:7">
      <c r="A19" s="42" t="s">
        <v>228</v>
      </c>
      <c r="B19" s="42">
        <v>2112685</v>
      </c>
      <c r="C19" s="151" t="s">
        <v>1312</v>
      </c>
      <c r="D19" s="46">
        <v>9533</v>
      </c>
      <c r="E19" s="46">
        <v>12506</v>
      </c>
      <c r="F19" s="207" t="s">
        <v>2478</v>
      </c>
    </row>
    <row r="20" spans="1:7">
      <c r="A20" s="42" t="s">
        <v>228</v>
      </c>
      <c r="B20" s="42">
        <v>2110164</v>
      </c>
      <c r="C20" s="151" t="s">
        <v>1312</v>
      </c>
      <c r="D20" s="46">
        <v>9772</v>
      </c>
      <c r="E20" s="46">
        <v>12485</v>
      </c>
      <c r="F20" s="207" t="s">
        <v>2480</v>
      </c>
    </row>
    <row r="21" spans="1:7">
      <c r="A21" s="42" t="s">
        <v>228</v>
      </c>
      <c r="B21" s="42">
        <v>1846875</v>
      </c>
      <c r="C21" s="151" t="s">
        <v>1312</v>
      </c>
      <c r="D21" s="46">
        <v>9924</v>
      </c>
      <c r="E21" s="46">
        <v>10280</v>
      </c>
      <c r="F21" s="109" t="s">
        <v>2357</v>
      </c>
    </row>
    <row r="22" spans="1:7">
      <c r="A22" s="42" t="s">
        <v>228</v>
      </c>
      <c r="B22" s="42">
        <v>1904468</v>
      </c>
      <c r="C22" s="151" t="s">
        <v>1312</v>
      </c>
      <c r="D22" s="46">
        <v>9958</v>
      </c>
      <c r="E22" s="46">
        <v>11918</v>
      </c>
      <c r="F22" s="109" t="s">
        <v>2478</v>
      </c>
      <c r="G22" s="115" t="s">
        <v>2284</v>
      </c>
    </row>
    <row r="23" spans="1:7">
      <c r="A23" s="42" t="s">
        <v>228</v>
      </c>
      <c r="B23" s="42">
        <v>1895444</v>
      </c>
      <c r="C23" s="151" t="s">
        <v>1312</v>
      </c>
      <c r="D23" s="46">
        <v>9999</v>
      </c>
      <c r="E23" s="46">
        <v>10623</v>
      </c>
      <c r="F23" s="109" t="s">
        <v>2356</v>
      </c>
    </row>
    <row r="24" spans="1:7">
      <c r="A24" s="42" t="s">
        <v>228</v>
      </c>
      <c r="B24" s="42">
        <v>1983023</v>
      </c>
      <c r="C24" s="151" t="s">
        <v>1312</v>
      </c>
      <c r="D24" s="46">
        <v>10240</v>
      </c>
      <c r="E24" s="46">
        <v>11295</v>
      </c>
      <c r="F24" s="109" t="s">
        <v>2353</v>
      </c>
    </row>
    <row r="25" spans="1:7">
      <c r="A25" s="42" t="s">
        <v>228</v>
      </c>
      <c r="B25" s="42">
        <v>2110203</v>
      </c>
      <c r="C25" s="151" t="s">
        <v>1312</v>
      </c>
      <c r="D25" s="46">
        <v>10324</v>
      </c>
      <c r="E25" s="46">
        <v>12485</v>
      </c>
      <c r="F25" s="115" t="s">
        <v>2189</v>
      </c>
    </row>
    <row r="26" spans="1:7">
      <c r="A26" s="42" t="s">
        <v>228</v>
      </c>
      <c r="B26" s="42">
        <v>2131725</v>
      </c>
      <c r="C26" s="151" t="s">
        <v>1312</v>
      </c>
      <c r="D26" s="46">
        <v>10504</v>
      </c>
      <c r="E26" s="46">
        <v>12695</v>
      </c>
      <c r="F26" s="115" t="s">
        <v>2478</v>
      </c>
    </row>
    <row r="27" spans="1:7">
      <c r="A27" s="42" t="s">
        <v>228</v>
      </c>
      <c r="B27" s="42">
        <v>1955406</v>
      </c>
      <c r="C27" s="151" t="s">
        <v>1312</v>
      </c>
      <c r="D27" s="46">
        <v>10576</v>
      </c>
      <c r="E27" s="46">
        <v>11064</v>
      </c>
      <c r="F27" s="115" t="s">
        <v>2353</v>
      </c>
    </row>
    <row r="28" spans="1:7">
      <c r="A28" s="42" t="s">
        <v>228</v>
      </c>
      <c r="B28" s="42">
        <v>2009529</v>
      </c>
      <c r="C28" s="151" t="s">
        <v>1312</v>
      </c>
      <c r="D28" s="46">
        <v>10616</v>
      </c>
      <c r="E28" s="46">
        <v>11533</v>
      </c>
      <c r="F28" s="115" t="s">
        <v>2189</v>
      </c>
    </row>
    <row r="29" spans="1:7">
      <c r="A29" s="42" t="s">
        <v>228</v>
      </c>
      <c r="B29" s="42">
        <v>1956707</v>
      </c>
      <c r="C29" s="151" t="s">
        <v>1312</v>
      </c>
      <c r="D29" s="46">
        <v>10753</v>
      </c>
      <c r="E29" s="46">
        <v>13836</v>
      </c>
      <c r="F29" s="115" t="s">
        <v>2478</v>
      </c>
      <c r="G29" s="115" t="s">
        <v>2417</v>
      </c>
    </row>
    <row r="30" spans="1:7">
      <c r="A30" s="42" t="s">
        <v>228</v>
      </c>
      <c r="B30" s="42">
        <v>2249856</v>
      </c>
      <c r="C30" s="151" t="s">
        <v>1312</v>
      </c>
      <c r="D30" s="46">
        <v>10945</v>
      </c>
      <c r="E30" s="46">
        <v>13717</v>
      </c>
      <c r="F30" s="115" t="s">
        <v>2478</v>
      </c>
    </row>
    <row r="31" spans="1:7">
      <c r="A31" s="42" t="s">
        <v>228</v>
      </c>
      <c r="B31" s="42">
        <v>2202946</v>
      </c>
      <c r="C31" s="151" t="s">
        <v>1312</v>
      </c>
      <c r="D31" s="46">
        <v>11430</v>
      </c>
      <c r="E31" s="46">
        <v>13304</v>
      </c>
      <c r="F31" s="115" t="s">
        <v>2479</v>
      </c>
    </row>
    <row r="32" spans="1:7">
      <c r="A32" s="42" t="s">
        <v>228</v>
      </c>
      <c r="B32" s="42">
        <v>2150505</v>
      </c>
      <c r="C32" s="151" t="s">
        <v>1312</v>
      </c>
      <c r="D32" s="46">
        <v>11431</v>
      </c>
      <c r="E32" s="46">
        <v>12856</v>
      </c>
      <c r="F32" s="115" t="s">
        <v>2478</v>
      </c>
    </row>
    <row r="33" spans="1:6">
      <c r="A33" s="42" t="s">
        <v>228</v>
      </c>
      <c r="B33" s="42">
        <v>2105692</v>
      </c>
      <c r="C33" s="151" t="s">
        <v>1312</v>
      </c>
      <c r="D33" s="46">
        <v>11459</v>
      </c>
      <c r="E33" s="46">
        <v>12436</v>
      </c>
      <c r="F33" s="115" t="s">
        <v>2478</v>
      </c>
    </row>
    <row r="34" spans="1:6">
      <c r="A34" s="42" t="s">
        <v>228</v>
      </c>
      <c r="B34" s="42">
        <v>2213350</v>
      </c>
      <c r="C34" s="151" t="s">
        <v>1312</v>
      </c>
      <c r="D34" s="46">
        <v>12550</v>
      </c>
      <c r="E34" s="46">
        <v>13395</v>
      </c>
      <c r="F34" s="115" t="s">
        <v>2478</v>
      </c>
    </row>
    <row r="35" spans="1:6">
      <c r="A35" s="42" t="s">
        <v>228</v>
      </c>
      <c r="B35" s="42">
        <v>2259780</v>
      </c>
      <c r="C35" s="151" t="s">
        <v>1312</v>
      </c>
      <c r="D35" s="46">
        <v>12745</v>
      </c>
      <c r="E35" s="46">
        <v>13808</v>
      </c>
      <c r="F35" s="115" t="s">
        <v>2478</v>
      </c>
    </row>
    <row r="38" spans="1:6">
      <c r="A38" s="126" t="s">
        <v>2271</v>
      </c>
    </row>
    <row r="39" spans="1:6">
      <c r="A39" s="125" t="s">
        <v>2283</v>
      </c>
    </row>
    <row r="43" spans="1:6">
      <c r="A43" s="42" t="s">
        <v>1212</v>
      </c>
    </row>
    <row r="44" spans="1:6">
      <c r="A44" s="42" t="s">
        <v>271</v>
      </c>
    </row>
    <row r="45" spans="1:6">
      <c r="A45" s="42" t="s">
        <v>1155</v>
      </c>
    </row>
    <row r="46" spans="1:6">
      <c r="A46" s="42" t="s">
        <v>1156</v>
      </c>
    </row>
    <row r="47" spans="1:6">
      <c r="A47" s="42" t="s">
        <v>1202</v>
      </c>
    </row>
    <row r="48" spans="1:6">
      <c r="A48" s="42" t="s">
        <v>1369</v>
      </c>
    </row>
    <row r="49" spans="1:3">
      <c r="A49" s="42" t="s">
        <v>1370</v>
      </c>
    </row>
    <row r="50" spans="1:3">
      <c r="A50" s="42" t="s">
        <v>1211</v>
      </c>
    </row>
    <row r="51" spans="1:3">
      <c r="A51" s="42" t="s">
        <v>1154</v>
      </c>
    </row>
    <row r="52" spans="1:3">
      <c r="A52" s="42" t="s">
        <v>1153</v>
      </c>
    </row>
    <row r="53" spans="1:3">
      <c r="A53" s="42" t="s">
        <v>1152</v>
      </c>
    </row>
    <row r="54" spans="1:3" s="203" customFormat="1">
      <c r="A54" s="42" t="s">
        <v>182</v>
      </c>
      <c r="B54" s="42"/>
      <c r="C54" s="42"/>
    </row>
    <row r="56" spans="1:3">
      <c r="A56" s="126" t="s">
        <v>1407</v>
      </c>
    </row>
    <row r="57" spans="1:3">
      <c r="A57" s="42" t="s">
        <v>1149</v>
      </c>
    </row>
    <row r="58" spans="1:3">
      <c r="A58" s="42" t="s">
        <v>2710</v>
      </c>
    </row>
    <row r="60" spans="1:3">
      <c r="A60" s="126" t="s">
        <v>1411</v>
      </c>
    </row>
    <row r="61" spans="1:3">
      <c r="A61" s="42" t="s">
        <v>1203</v>
      </c>
      <c r="B61" s="42">
        <v>1927</v>
      </c>
    </row>
    <row r="62" spans="1:3">
      <c r="A62" s="42" t="s">
        <v>1227</v>
      </c>
      <c r="B62" s="42">
        <v>1927</v>
      </c>
    </row>
    <row r="63" spans="1:3">
      <c r="A63" s="42" t="s">
        <v>1204</v>
      </c>
      <c r="B63" s="42">
        <v>1933</v>
      </c>
    </row>
    <row r="64" spans="1:3">
      <c r="A64" s="42" t="s">
        <v>1205</v>
      </c>
      <c r="B64" s="42">
        <v>1933</v>
      </c>
    </row>
    <row r="67" spans="1:2">
      <c r="A67" s="126" t="s">
        <v>1148</v>
      </c>
    </row>
    <row r="68" spans="1:2">
      <c r="A68" s="42" t="s">
        <v>1221</v>
      </c>
      <c r="B68" s="42">
        <v>1933</v>
      </c>
    </row>
    <row r="69" spans="1:2">
      <c r="A69" s="42" t="s">
        <v>1222</v>
      </c>
      <c r="B69" s="42">
        <v>1936</v>
      </c>
    </row>
    <row r="70" spans="1:2">
      <c r="A70" s="42" t="s">
        <v>1223</v>
      </c>
      <c r="B70" s="42">
        <v>1937</v>
      </c>
    </row>
    <row r="71" spans="1:2">
      <c r="A71" s="42" t="s">
        <v>1224</v>
      </c>
      <c r="B71" s="42">
        <v>1938</v>
      </c>
    </row>
    <row r="72" spans="1:2">
      <c r="A72" s="42" t="s">
        <v>1208</v>
      </c>
      <c r="B72" s="42">
        <v>1938</v>
      </c>
    </row>
    <row r="73" spans="1:2">
      <c r="A73" s="42" t="s">
        <v>1209</v>
      </c>
      <c r="B73" s="42">
        <v>1940</v>
      </c>
    </row>
    <row r="74" spans="1:2">
      <c r="A74" s="42" t="s">
        <v>1210</v>
      </c>
      <c r="B74" s="42">
        <v>1943</v>
      </c>
    </row>
  </sheetData>
  <sortState ref="A3:H35">
    <sortCondition ref="D3:D35"/>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699"/>
  <sheetViews>
    <sheetView workbookViewId="0">
      <selection activeCell="B10" sqref="B10"/>
    </sheetView>
  </sheetViews>
  <sheetFormatPr baseColWidth="10" defaultColWidth="10.7109375" defaultRowHeight="13"/>
  <cols>
    <col min="1" max="1" width="8.7109375" style="279" customWidth="1"/>
    <col min="2" max="2" width="17.140625" style="279" customWidth="1"/>
    <col min="3" max="3" width="8.7109375" style="279" customWidth="1"/>
    <col min="4" max="4" width="12.140625" style="279" customWidth="1"/>
    <col min="5" max="6" width="10.28515625" style="267" customWidth="1"/>
    <col min="7" max="7" width="10.42578125" style="267" customWidth="1"/>
    <col min="8" max="8" width="15.42578125" style="279" customWidth="1"/>
    <col min="9" max="9" width="8.7109375" style="279" customWidth="1"/>
    <col min="10" max="10" width="8.28515625" style="279" customWidth="1"/>
    <col min="11" max="11" width="10.7109375" style="267"/>
    <col min="12" max="12" width="10.140625" style="267" customWidth="1"/>
    <col min="13" max="16384" width="10.7109375" style="83"/>
  </cols>
  <sheetData>
    <row r="1" spans="1:12" ht="26">
      <c r="A1" s="82" t="s">
        <v>1869</v>
      </c>
      <c r="B1" s="82" t="s">
        <v>2831</v>
      </c>
      <c r="C1" s="82" t="s">
        <v>1890</v>
      </c>
      <c r="D1" s="82" t="s">
        <v>820</v>
      </c>
      <c r="E1" s="201" t="s">
        <v>2832</v>
      </c>
      <c r="F1" s="201" t="s">
        <v>807</v>
      </c>
      <c r="G1" s="201" t="s">
        <v>1528</v>
      </c>
      <c r="H1" s="82" t="s">
        <v>590</v>
      </c>
      <c r="I1" s="82" t="s">
        <v>809</v>
      </c>
      <c r="J1" s="82" t="s">
        <v>459</v>
      </c>
      <c r="K1" s="201" t="s">
        <v>3080</v>
      </c>
      <c r="L1" s="201" t="s">
        <v>757</v>
      </c>
    </row>
    <row r="2" spans="1:12">
      <c r="A2" s="86" t="s">
        <v>3081</v>
      </c>
      <c r="B2" s="86" t="s">
        <v>351</v>
      </c>
      <c r="C2" s="86">
        <v>1197705</v>
      </c>
      <c r="D2" s="86"/>
      <c r="E2" s="300">
        <v>3401</v>
      </c>
      <c r="F2" s="300"/>
      <c r="G2" s="300">
        <v>4638</v>
      </c>
      <c r="H2" s="86" t="s">
        <v>3215</v>
      </c>
      <c r="I2" s="86" t="s">
        <v>3216</v>
      </c>
      <c r="J2" s="86"/>
      <c r="K2" s="300"/>
      <c r="L2" s="300"/>
    </row>
    <row r="3" spans="1:12">
      <c r="A3" s="86" t="s">
        <v>3081</v>
      </c>
      <c r="B3" s="86" t="s">
        <v>351</v>
      </c>
      <c r="C3" s="86">
        <v>1201738</v>
      </c>
      <c r="D3" s="86"/>
      <c r="E3" s="300">
        <v>3679</v>
      </c>
      <c r="F3" s="300"/>
      <c r="G3" s="300">
        <v>4673</v>
      </c>
      <c r="H3" s="86" t="s">
        <v>3215</v>
      </c>
      <c r="I3" s="86" t="s">
        <v>3217</v>
      </c>
      <c r="J3" s="86"/>
      <c r="K3" s="300"/>
      <c r="L3" s="300"/>
    </row>
    <row r="4" spans="1:12">
      <c r="A4" s="86" t="s">
        <v>3081</v>
      </c>
      <c r="B4" s="86" t="s">
        <v>351</v>
      </c>
      <c r="C4" s="86">
        <v>1203343</v>
      </c>
      <c r="D4" s="86"/>
      <c r="E4" s="300">
        <v>4085</v>
      </c>
      <c r="F4" s="300"/>
      <c r="G4" s="300">
        <v>4687</v>
      </c>
      <c r="H4" s="86" t="s">
        <v>3215</v>
      </c>
      <c r="I4" s="86" t="s">
        <v>3218</v>
      </c>
      <c r="J4" s="86"/>
      <c r="K4" s="300"/>
      <c r="L4" s="300"/>
    </row>
    <row r="5" spans="1:12">
      <c r="A5" s="86" t="s">
        <v>3081</v>
      </c>
      <c r="B5" s="86" t="s">
        <v>351</v>
      </c>
      <c r="C5" s="86">
        <v>1205002</v>
      </c>
      <c r="D5" s="86"/>
      <c r="E5" s="300">
        <v>2852</v>
      </c>
      <c r="F5" s="300"/>
      <c r="G5" s="202">
        <v>4701</v>
      </c>
      <c r="H5" s="86" t="s">
        <v>3215</v>
      </c>
      <c r="I5" s="189" t="s">
        <v>3349</v>
      </c>
      <c r="J5" s="86"/>
      <c r="K5" s="300"/>
      <c r="L5" s="300"/>
    </row>
    <row r="6" spans="1:12">
      <c r="A6" s="86" t="s">
        <v>3081</v>
      </c>
      <c r="B6" s="86" t="s">
        <v>351</v>
      </c>
      <c r="C6" s="86">
        <v>1206333</v>
      </c>
      <c r="D6" s="86"/>
      <c r="E6" s="300">
        <v>3717</v>
      </c>
      <c r="F6" s="300"/>
      <c r="G6" s="300">
        <v>4715</v>
      </c>
      <c r="H6" s="86" t="s">
        <v>3350</v>
      </c>
      <c r="I6" s="86" t="s">
        <v>3351</v>
      </c>
      <c r="J6" s="86"/>
      <c r="K6" s="300"/>
      <c r="L6" s="300"/>
    </row>
    <row r="7" spans="1:12">
      <c r="A7" s="86" t="s">
        <v>3081</v>
      </c>
      <c r="B7" s="86" t="s">
        <v>351</v>
      </c>
      <c r="C7" s="86">
        <v>1206686</v>
      </c>
      <c r="D7" s="86"/>
      <c r="E7" s="300">
        <v>3115</v>
      </c>
      <c r="F7" s="300"/>
      <c r="G7" s="300">
        <v>4715</v>
      </c>
      <c r="H7" s="86" t="s">
        <v>3215</v>
      </c>
      <c r="I7" s="86" t="s">
        <v>3352</v>
      </c>
      <c r="J7" s="86"/>
      <c r="K7" s="300"/>
      <c r="L7" s="300"/>
    </row>
    <row r="8" spans="1:12">
      <c r="A8" s="86" t="s">
        <v>3081</v>
      </c>
      <c r="B8" s="86" t="s">
        <v>351</v>
      </c>
      <c r="C8" s="86">
        <v>1210620</v>
      </c>
      <c r="D8" s="86"/>
      <c r="E8" s="300">
        <v>3988</v>
      </c>
      <c r="F8" s="300"/>
      <c r="G8" s="300">
        <v>4750</v>
      </c>
      <c r="H8" s="86" t="s">
        <v>3215</v>
      </c>
      <c r="I8" s="86" t="s">
        <v>3352</v>
      </c>
      <c r="J8" s="86"/>
      <c r="K8" s="300"/>
      <c r="L8" s="300"/>
    </row>
    <row r="9" spans="1:12">
      <c r="A9" s="86" t="s">
        <v>3081</v>
      </c>
      <c r="B9" s="86" t="s">
        <v>351</v>
      </c>
      <c r="C9" s="86">
        <v>1212793</v>
      </c>
      <c r="D9" s="86"/>
      <c r="E9" s="300">
        <v>3384</v>
      </c>
      <c r="F9" s="300"/>
      <c r="G9" s="300">
        <v>4764</v>
      </c>
      <c r="H9" s="86" t="s">
        <v>3215</v>
      </c>
      <c r="I9" s="86" t="s">
        <v>3353</v>
      </c>
      <c r="J9" s="86"/>
      <c r="K9" s="300"/>
      <c r="L9" s="300"/>
    </row>
    <row r="10" spans="1:12">
      <c r="A10" s="86" t="s">
        <v>3081</v>
      </c>
      <c r="B10" s="86" t="s">
        <v>351</v>
      </c>
      <c r="C10" s="86">
        <v>1213852</v>
      </c>
      <c r="D10" s="86"/>
      <c r="E10" s="300">
        <v>3860</v>
      </c>
      <c r="F10" s="300"/>
      <c r="G10" s="300">
        <v>4778</v>
      </c>
      <c r="H10" s="86" t="s">
        <v>3215</v>
      </c>
      <c r="I10" s="86" t="s">
        <v>3225</v>
      </c>
      <c r="J10" s="86"/>
      <c r="K10" s="300"/>
      <c r="L10" s="300"/>
    </row>
    <row r="11" spans="1:12">
      <c r="A11" s="86" t="s">
        <v>3081</v>
      </c>
      <c r="B11" s="86" t="s">
        <v>351</v>
      </c>
      <c r="C11" s="86">
        <v>1213975</v>
      </c>
      <c r="D11" s="86" t="s">
        <v>3226</v>
      </c>
      <c r="E11" s="300">
        <v>4191</v>
      </c>
      <c r="F11" s="300">
        <v>4430</v>
      </c>
      <c r="G11" s="300">
        <v>4778</v>
      </c>
      <c r="H11" s="86" t="s">
        <v>3215</v>
      </c>
      <c r="I11" s="86" t="s">
        <v>3227</v>
      </c>
      <c r="J11" s="86"/>
      <c r="K11" s="300"/>
      <c r="L11" s="300"/>
    </row>
    <row r="12" spans="1:12">
      <c r="A12" s="86" t="s">
        <v>3081</v>
      </c>
      <c r="B12" s="86" t="s">
        <v>351</v>
      </c>
      <c r="C12" s="86">
        <v>1223958</v>
      </c>
      <c r="D12" s="86"/>
      <c r="E12" s="300">
        <v>3198</v>
      </c>
      <c r="F12" s="300"/>
      <c r="G12" s="300">
        <v>4862</v>
      </c>
      <c r="H12" s="86" t="s">
        <v>3215</v>
      </c>
      <c r="I12" s="86" t="s">
        <v>3096</v>
      </c>
      <c r="J12" s="86"/>
      <c r="K12" s="300"/>
      <c r="L12" s="300"/>
    </row>
    <row r="13" spans="1:12">
      <c r="A13" s="86" t="s">
        <v>3081</v>
      </c>
      <c r="B13" s="86" t="s">
        <v>351</v>
      </c>
      <c r="C13" s="86">
        <v>1227659</v>
      </c>
      <c r="D13" s="86"/>
      <c r="E13" s="300">
        <v>4085</v>
      </c>
      <c r="F13" s="300"/>
      <c r="G13" s="300">
        <v>4897</v>
      </c>
      <c r="H13" s="86" t="s">
        <v>3215</v>
      </c>
      <c r="I13" s="86" t="s">
        <v>3101</v>
      </c>
      <c r="J13" s="86"/>
      <c r="K13" s="300"/>
      <c r="L13" s="300"/>
    </row>
    <row r="14" spans="1:12">
      <c r="A14" s="86" t="s">
        <v>3081</v>
      </c>
      <c r="B14" s="86" t="s">
        <v>351</v>
      </c>
      <c r="C14" s="86">
        <v>1229474</v>
      </c>
      <c r="D14" s="86"/>
      <c r="E14" s="300">
        <v>3156</v>
      </c>
      <c r="F14" s="300"/>
      <c r="G14" s="300">
        <v>4911</v>
      </c>
      <c r="H14" s="86" t="s">
        <v>3102</v>
      </c>
      <c r="I14" s="86" t="s">
        <v>3103</v>
      </c>
      <c r="J14" s="86"/>
      <c r="K14" s="300"/>
      <c r="L14" s="300"/>
    </row>
    <row r="15" spans="1:12">
      <c r="A15" s="86" t="s">
        <v>3081</v>
      </c>
      <c r="B15" s="86" t="s">
        <v>351</v>
      </c>
      <c r="C15" s="86">
        <v>1229538</v>
      </c>
      <c r="D15" s="86"/>
      <c r="E15" s="300">
        <v>3394</v>
      </c>
      <c r="F15" s="300"/>
      <c r="G15" s="300">
        <v>4911</v>
      </c>
      <c r="H15" s="86" t="s">
        <v>3102</v>
      </c>
      <c r="I15" s="86" t="s">
        <v>3104</v>
      </c>
      <c r="J15" s="86"/>
      <c r="K15" s="300"/>
      <c r="L15" s="300"/>
    </row>
    <row r="16" spans="1:12">
      <c r="A16" s="86" t="s">
        <v>3081</v>
      </c>
      <c r="B16" s="86" t="s">
        <v>351</v>
      </c>
      <c r="C16" s="86">
        <v>1230869</v>
      </c>
      <c r="D16" s="86"/>
      <c r="E16" s="300">
        <v>2502</v>
      </c>
      <c r="F16" s="300"/>
      <c r="G16" s="300">
        <v>4925</v>
      </c>
      <c r="H16" s="86" t="s">
        <v>3215</v>
      </c>
      <c r="I16" s="86" t="s">
        <v>3105</v>
      </c>
      <c r="J16" s="86"/>
      <c r="K16" s="300"/>
      <c r="L16" s="300"/>
    </row>
    <row r="17" spans="1:12">
      <c r="A17" s="86" t="s">
        <v>3081</v>
      </c>
      <c r="B17" s="86" t="s">
        <v>351</v>
      </c>
      <c r="C17" s="86">
        <v>1231416</v>
      </c>
      <c r="D17" s="86"/>
      <c r="E17" s="300">
        <v>4401</v>
      </c>
      <c r="F17" s="300"/>
      <c r="G17" s="300">
        <v>4925</v>
      </c>
      <c r="H17" s="86" t="s">
        <v>3215</v>
      </c>
      <c r="I17" s="86" t="s">
        <v>3106</v>
      </c>
      <c r="J17" s="86"/>
      <c r="K17" s="300"/>
      <c r="L17" s="300"/>
    </row>
    <row r="18" spans="1:12">
      <c r="A18" s="86" t="s">
        <v>3081</v>
      </c>
      <c r="B18" s="86" t="s">
        <v>351</v>
      </c>
      <c r="C18" s="86">
        <v>1234060</v>
      </c>
      <c r="D18" s="86"/>
      <c r="E18" s="300">
        <v>3407</v>
      </c>
      <c r="F18" s="300"/>
      <c r="G18" s="300">
        <v>4946</v>
      </c>
      <c r="H18" s="86" t="s">
        <v>3215</v>
      </c>
      <c r="I18" s="86" t="s">
        <v>3107</v>
      </c>
      <c r="J18" s="86"/>
      <c r="K18" s="300"/>
      <c r="L18" s="300"/>
    </row>
    <row r="19" spans="1:12">
      <c r="A19" s="86" t="s">
        <v>3081</v>
      </c>
      <c r="B19" s="86" t="s">
        <v>351</v>
      </c>
      <c r="C19" s="86">
        <v>1237210</v>
      </c>
      <c r="D19" s="86"/>
      <c r="E19" s="300">
        <v>3787</v>
      </c>
      <c r="F19" s="300"/>
      <c r="G19" s="300">
        <v>4974</v>
      </c>
      <c r="H19" s="86" t="s">
        <v>3215</v>
      </c>
      <c r="I19" s="86" t="s">
        <v>2970</v>
      </c>
      <c r="J19" s="86"/>
      <c r="K19" s="300"/>
      <c r="L19" s="300"/>
    </row>
    <row r="20" spans="1:12">
      <c r="A20" s="86" t="s">
        <v>3081</v>
      </c>
      <c r="B20" s="86" t="s">
        <v>351</v>
      </c>
      <c r="C20" s="86">
        <v>1237611</v>
      </c>
      <c r="D20" s="86"/>
      <c r="E20" s="300">
        <v>3694</v>
      </c>
      <c r="F20" s="300"/>
      <c r="G20" s="300">
        <v>4981</v>
      </c>
      <c r="H20" s="86" t="s">
        <v>3350</v>
      </c>
      <c r="I20" s="86" t="s">
        <v>2971</v>
      </c>
      <c r="J20" s="86"/>
      <c r="K20" s="300"/>
      <c r="L20" s="300"/>
    </row>
    <row r="21" spans="1:12">
      <c r="A21" s="86" t="s">
        <v>3081</v>
      </c>
      <c r="B21" s="86" t="s">
        <v>351</v>
      </c>
      <c r="C21" s="86">
        <v>1237653</v>
      </c>
      <c r="D21" s="86"/>
      <c r="E21" s="300">
        <v>3680</v>
      </c>
      <c r="F21" s="300"/>
      <c r="G21" s="300">
        <v>4981</v>
      </c>
      <c r="H21" s="86" t="s">
        <v>3350</v>
      </c>
      <c r="I21" s="86" t="s">
        <v>3351</v>
      </c>
      <c r="J21" s="86"/>
      <c r="K21" s="300"/>
      <c r="L21" s="300"/>
    </row>
    <row r="22" spans="1:12">
      <c r="A22" s="86" t="s">
        <v>3081</v>
      </c>
      <c r="B22" s="86" t="s">
        <v>351</v>
      </c>
      <c r="C22" s="86">
        <v>1238575</v>
      </c>
      <c r="D22" s="86"/>
      <c r="E22" s="300">
        <v>3438</v>
      </c>
      <c r="F22" s="300"/>
      <c r="G22" s="300">
        <v>4988</v>
      </c>
      <c r="H22" s="86" t="s">
        <v>3215</v>
      </c>
      <c r="I22" s="86" t="s">
        <v>2972</v>
      </c>
      <c r="J22" s="86"/>
      <c r="K22" s="300"/>
      <c r="L22" s="300"/>
    </row>
    <row r="23" spans="1:12">
      <c r="A23" s="86" t="s">
        <v>3081</v>
      </c>
      <c r="B23" s="86" t="s">
        <v>351</v>
      </c>
      <c r="C23" s="86">
        <v>1239413</v>
      </c>
      <c r="D23" s="86"/>
      <c r="E23" s="300">
        <v>3641</v>
      </c>
      <c r="F23" s="300"/>
      <c r="G23" s="300">
        <v>4995</v>
      </c>
      <c r="H23" s="86" t="s">
        <v>3215</v>
      </c>
      <c r="I23" s="86" t="s">
        <v>3107</v>
      </c>
      <c r="J23" s="86"/>
      <c r="K23" s="300"/>
      <c r="L23" s="300"/>
    </row>
    <row r="24" spans="1:12">
      <c r="A24" s="86" t="s">
        <v>3081</v>
      </c>
      <c r="B24" s="86" t="s">
        <v>351</v>
      </c>
      <c r="C24" s="86">
        <v>1240700</v>
      </c>
      <c r="D24" s="86"/>
      <c r="E24" s="300">
        <v>3449</v>
      </c>
      <c r="F24" s="300"/>
      <c r="G24" s="300">
        <v>5009</v>
      </c>
      <c r="H24" s="86" t="s">
        <v>3215</v>
      </c>
      <c r="I24" s="86" t="s">
        <v>2973</v>
      </c>
      <c r="J24" s="86"/>
      <c r="K24" s="300"/>
      <c r="L24" s="300"/>
    </row>
    <row r="25" spans="1:12">
      <c r="A25" s="86" t="s">
        <v>3081</v>
      </c>
      <c r="B25" s="86" t="s">
        <v>351</v>
      </c>
      <c r="C25" s="86">
        <v>1245600</v>
      </c>
      <c r="D25" s="86"/>
      <c r="E25" s="300">
        <v>3552</v>
      </c>
      <c r="F25" s="300"/>
      <c r="G25" s="300">
        <v>5058</v>
      </c>
      <c r="H25" s="86" t="s">
        <v>3215</v>
      </c>
      <c r="I25" s="86" t="s">
        <v>2974</v>
      </c>
      <c r="J25" s="86"/>
      <c r="K25" s="300"/>
      <c r="L25" s="300"/>
    </row>
    <row r="26" spans="1:12">
      <c r="A26" s="86" t="s">
        <v>3081</v>
      </c>
      <c r="B26" s="86" t="s">
        <v>351</v>
      </c>
      <c r="C26" s="86">
        <v>1246118</v>
      </c>
      <c r="D26" s="86"/>
      <c r="E26" s="300">
        <v>3534</v>
      </c>
      <c r="F26" s="300"/>
      <c r="G26" s="300">
        <v>5065</v>
      </c>
      <c r="H26" s="86" t="s">
        <v>3215</v>
      </c>
      <c r="I26" s="86" t="s">
        <v>2970</v>
      </c>
      <c r="J26" s="86"/>
      <c r="K26" s="300"/>
      <c r="L26" s="300"/>
    </row>
    <row r="27" spans="1:12">
      <c r="A27" s="86" t="s">
        <v>3081</v>
      </c>
      <c r="B27" s="86" t="s">
        <v>351</v>
      </c>
      <c r="C27" s="86">
        <v>1247068</v>
      </c>
      <c r="D27" s="86"/>
      <c r="E27" s="300">
        <v>3564</v>
      </c>
      <c r="F27" s="300"/>
      <c r="G27" s="300">
        <v>5072</v>
      </c>
      <c r="H27" s="86" t="s">
        <v>3215</v>
      </c>
      <c r="I27" s="86" t="s">
        <v>2975</v>
      </c>
      <c r="J27" s="86"/>
      <c r="K27" s="300"/>
      <c r="L27" s="300"/>
    </row>
    <row r="28" spans="1:12">
      <c r="A28" s="86" t="s">
        <v>3081</v>
      </c>
      <c r="B28" s="86" t="s">
        <v>351</v>
      </c>
      <c r="C28" s="86">
        <v>1249978</v>
      </c>
      <c r="D28" s="86"/>
      <c r="E28" s="300">
        <v>3538</v>
      </c>
      <c r="F28" s="300"/>
      <c r="G28" s="300">
        <v>5093</v>
      </c>
      <c r="H28" s="86" t="s">
        <v>3215</v>
      </c>
      <c r="I28" s="86" t="s">
        <v>3107</v>
      </c>
      <c r="J28" s="86"/>
      <c r="K28" s="300"/>
      <c r="L28" s="300"/>
    </row>
    <row r="29" spans="1:12">
      <c r="A29" s="86" t="s">
        <v>3081</v>
      </c>
      <c r="B29" s="86" t="s">
        <v>351</v>
      </c>
      <c r="C29" s="86">
        <v>1250770</v>
      </c>
      <c r="D29" s="86"/>
      <c r="E29" s="300">
        <v>4512</v>
      </c>
      <c r="F29" s="300"/>
      <c r="G29" s="300">
        <v>5100</v>
      </c>
      <c r="H29" s="86" t="s">
        <v>3215</v>
      </c>
      <c r="I29" s="86" t="s">
        <v>2976</v>
      </c>
      <c r="J29" s="86"/>
      <c r="K29" s="300"/>
      <c r="L29" s="300"/>
    </row>
    <row r="30" spans="1:12">
      <c r="A30" s="86" t="s">
        <v>3081</v>
      </c>
      <c r="B30" s="86" t="s">
        <v>351</v>
      </c>
      <c r="C30" s="86">
        <v>1250815</v>
      </c>
      <c r="D30" s="86"/>
      <c r="E30" s="300">
        <v>3688</v>
      </c>
      <c r="F30" s="300"/>
      <c r="G30" s="300">
        <v>5100</v>
      </c>
      <c r="H30" s="86" t="s">
        <v>3215</v>
      </c>
      <c r="I30" s="86" t="s">
        <v>3110</v>
      </c>
      <c r="J30" s="86"/>
      <c r="K30" s="300"/>
      <c r="L30" s="300"/>
    </row>
    <row r="31" spans="1:12">
      <c r="A31" s="86" t="s">
        <v>3081</v>
      </c>
      <c r="B31" s="86" t="s">
        <v>351</v>
      </c>
      <c r="C31" s="86">
        <v>1265575</v>
      </c>
      <c r="D31" s="86"/>
      <c r="E31" s="300">
        <v>3757</v>
      </c>
      <c r="F31" s="300"/>
      <c r="G31" s="300">
        <v>5240</v>
      </c>
      <c r="H31" s="86" t="s">
        <v>3215</v>
      </c>
      <c r="I31" s="86" t="s">
        <v>3111</v>
      </c>
      <c r="J31" s="86"/>
      <c r="K31" s="300"/>
      <c r="L31" s="300"/>
    </row>
    <row r="32" spans="1:12">
      <c r="A32" s="86" t="s">
        <v>3081</v>
      </c>
      <c r="B32" s="86" t="s">
        <v>351</v>
      </c>
      <c r="C32" s="86">
        <v>1265665</v>
      </c>
      <c r="D32" s="86"/>
      <c r="E32" s="300">
        <v>3750</v>
      </c>
      <c r="F32" s="300"/>
      <c r="G32" s="300">
        <v>5240</v>
      </c>
      <c r="H32" s="86" t="s">
        <v>3215</v>
      </c>
      <c r="I32" s="86" t="s">
        <v>2979</v>
      </c>
      <c r="J32" s="86"/>
      <c r="K32" s="300"/>
      <c r="L32" s="300"/>
    </row>
    <row r="33" spans="1:12">
      <c r="A33" s="86" t="s">
        <v>3081</v>
      </c>
      <c r="B33" s="86" t="s">
        <v>351</v>
      </c>
      <c r="C33" s="86">
        <v>1268647</v>
      </c>
      <c r="D33" s="86"/>
      <c r="E33" s="300">
        <v>3650</v>
      </c>
      <c r="F33" s="300"/>
      <c r="G33" s="300">
        <v>5268</v>
      </c>
      <c r="H33" s="86" t="s">
        <v>3215</v>
      </c>
      <c r="I33" s="86" t="s">
        <v>3114</v>
      </c>
      <c r="J33" s="86"/>
      <c r="K33" s="300"/>
      <c r="L33" s="300"/>
    </row>
    <row r="34" spans="1:12">
      <c r="A34" s="86" t="s">
        <v>3081</v>
      </c>
      <c r="B34" s="86" t="s">
        <v>351</v>
      </c>
      <c r="C34" s="86">
        <v>1269510</v>
      </c>
      <c r="D34" s="86" t="s">
        <v>3115</v>
      </c>
      <c r="E34" s="300">
        <v>3564</v>
      </c>
      <c r="F34" s="300">
        <v>3699</v>
      </c>
      <c r="G34" s="300">
        <v>5275</v>
      </c>
      <c r="H34" s="301"/>
      <c r="I34" s="86" t="s">
        <v>3102</v>
      </c>
      <c r="J34" s="86"/>
      <c r="K34" s="300"/>
      <c r="L34" s="202"/>
    </row>
    <row r="35" spans="1:12">
      <c r="A35" s="86" t="s">
        <v>3081</v>
      </c>
      <c r="B35" s="86" t="s">
        <v>351</v>
      </c>
      <c r="C35" s="86">
        <v>1269520</v>
      </c>
      <c r="D35" s="86"/>
      <c r="E35" s="300">
        <v>4491</v>
      </c>
      <c r="F35" s="300"/>
      <c r="G35" s="300">
        <v>5275</v>
      </c>
      <c r="H35" s="86" t="s">
        <v>3215</v>
      </c>
      <c r="I35" s="86" t="s">
        <v>2907</v>
      </c>
      <c r="J35" s="86"/>
      <c r="K35" s="300"/>
      <c r="L35" s="300"/>
    </row>
    <row r="36" spans="1:12">
      <c r="A36" s="86" t="s">
        <v>3081</v>
      </c>
      <c r="B36" s="86" t="s">
        <v>351</v>
      </c>
      <c r="C36" s="86">
        <v>1270843</v>
      </c>
      <c r="D36" s="86"/>
      <c r="E36" s="300">
        <v>3829</v>
      </c>
      <c r="F36" s="300"/>
      <c r="G36" s="300">
        <v>5296</v>
      </c>
      <c r="H36" s="86" t="s">
        <v>3350</v>
      </c>
      <c r="I36" s="86" t="s">
        <v>3351</v>
      </c>
      <c r="J36" s="86"/>
      <c r="K36" s="300"/>
      <c r="L36" s="300"/>
    </row>
    <row r="37" spans="1:12">
      <c r="A37" s="86" t="s">
        <v>3081</v>
      </c>
      <c r="B37" s="86" t="s">
        <v>351</v>
      </c>
      <c r="C37" s="86">
        <v>1270856</v>
      </c>
      <c r="D37" s="86"/>
      <c r="E37" s="300">
        <v>3830</v>
      </c>
      <c r="F37" s="300"/>
      <c r="G37" s="300">
        <v>5296</v>
      </c>
      <c r="H37" s="86" t="s">
        <v>3350</v>
      </c>
      <c r="I37" s="86" t="s">
        <v>2908</v>
      </c>
      <c r="J37" s="86"/>
      <c r="K37" s="300"/>
      <c r="L37" s="300"/>
    </row>
    <row r="38" spans="1:12">
      <c r="A38" s="86" t="s">
        <v>3081</v>
      </c>
      <c r="B38" s="86" t="s">
        <v>351</v>
      </c>
      <c r="C38" s="86">
        <v>1271483</v>
      </c>
      <c r="D38" s="86" t="s">
        <v>2980</v>
      </c>
      <c r="E38" s="300">
        <v>3534</v>
      </c>
      <c r="F38" s="300">
        <v>4820</v>
      </c>
      <c r="G38" s="300">
        <v>5296</v>
      </c>
      <c r="H38" s="86" t="s">
        <v>3215</v>
      </c>
      <c r="I38" s="86" t="s">
        <v>2970</v>
      </c>
      <c r="J38" s="86"/>
      <c r="K38" s="300"/>
      <c r="L38" s="202"/>
    </row>
    <row r="39" spans="1:12">
      <c r="A39" s="86" t="s">
        <v>3081</v>
      </c>
      <c r="B39" s="86" t="s">
        <v>351</v>
      </c>
      <c r="C39" s="86">
        <v>1273629</v>
      </c>
      <c r="D39" s="86"/>
      <c r="E39" s="300">
        <v>3991</v>
      </c>
      <c r="F39" s="300"/>
      <c r="G39" s="300">
        <v>5317</v>
      </c>
      <c r="H39" s="86" t="s">
        <v>3215</v>
      </c>
      <c r="I39" s="86" t="s">
        <v>2970</v>
      </c>
      <c r="J39" s="86"/>
      <c r="K39" s="300"/>
      <c r="L39" s="300"/>
    </row>
    <row r="40" spans="1:12">
      <c r="A40" s="86" t="s">
        <v>3081</v>
      </c>
      <c r="B40" s="86" t="s">
        <v>351</v>
      </c>
      <c r="C40" s="86">
        <v>1273758</v>
      </c>
      <c r="D40" s="86"/>
      <c r="E40" s="300">
        <v>4285</v>
      </c>
      <c r="F40" s="300"/>
      <c r="G40" s="300">
        <v>5317</v>
      </c>
      <c r="H40" s="86" t="s">
        <v>3215</v>
      </c>
      <c r="I40" s="86" t="s">
        <v>3246</v>
      </c>
      <c r="J40" s="86"/>
      <c r="K40" s="300"/>
      <c r="L40" s="300"/>
    </row>
    <row r="41" spans="1:12">
      <c r="A41" s="86" t="s">
        <v>3081</v>
      </c>
      <c r="B41" s="86" t="s">
        <v>351</v>
      </c>
      <c r="C41" s="86">
        <v>1275926</v>
      </c>
      <c r="D41" s="86"/>
      <c r="E41" s="300">
        <v>4334</v>
      </c>
      <c r="F41" s="300"/>
      <c r="G41" s="300">
        <v>5338</v>
      </c>
      <c r="H41" s="86" t="s">
        <v>3215</v>
      </c>
      <c r="I41" s="86" t="s">
        <v>3218</v>
      </c>
      <c r="J41" s="86"/>
      <c r="K41" s="300"/>
      <c r="L41" s="300"/>
    </row>
    <row r="42" spans="1:12">
      <c r="A42" s="86" t="s">
        <v>3081</v>
      </c>
      <c r="B42" s="86" t="s">
        <v>351</v>
      </c>
      <c r="C42" s="86">
        <v>1284648</v>
      </c>
      <c r="D42" s="86"/>
      <c r="E42" s="300">
        <v>4197</v>
      </c>
      <c r="F42" s="300"/>
      <c r="G42" s="202">
        <v>5429</v>
      </c>
      <c r="H42" s="86" t="s">
        <v>3215</v>
      </c>
      <c r="I42" s="86" t="s">
        <v>3247</v>
      </c>
      <c r="J42" s="86"/>
      <c r="K42" s="300"/>
      <c r="L42" s="300"/>
    </row>
    <row r="43" spans="1:12">
      <c r="A43" s="86" t="s">
        <v>3081</v>
      </c>
      <c r="B43" s="86" t="s">
        <v>351</v>
      </c>
      <c r="C43" s="86">
        <v>1288916</v>
      </c>
      <c r="D43" s="86"/>
      <c r="E43" s="300">
        <v>3840</v>
      </c>
      <c r="F43" s="300"/>
      <c r="G43" s="300">
        <v>5471</v>
      </c>
      <c r="H43" s="86" t="s">
        <v>3215</v>
      </c>
      <c r="I43" s="86" t="s">
        <v>3351</v>
      </c>
      <c r="J43" s="86"/>
      <c r="K43" s="300"/>
      <c r="L43" s="300"/>
    </row>
    <row r="44" spans="1:12">
      <c r="A44" s="86" t="s">
        <v>3081</v>
      </c>
      <c r="B44" s="86" t="s">
        <v>351</v>
      </c>
      <c r="C44" s="86">
        <v>1289993</v>
      </c>
      <c r="D44" s="86"/>
      <c r="E44" s="300">
        <v>5030</v>
      </c>
      <c r="F44" s="300"/>
      <c r="G44" s="300">
        <v>5478</v>
      </c>
      <c r="H44" s="86" t="s">
        <v>3215</v>
      </c>
      <c r="I44" s="86" t="s">
        <v>3248</v>
      </c>
      <c r="J44" s="86"/>
      <c r="K44" s="300"/>
      <c r="L44" s="300"/>
    </row>
    <row r="45" spans="1:12">
      <c r="A45" s="86" t="s">
        <v>3081</v>
      </c>
      <c r="B45" s="86" t="s">
        <v>351</v>
      </c>
      <c r="C45" s="86">
        <v>1291209</v>
      </c>
      <c r="D45" s="86"/>
      <c r="E45" s="300">
        <v>4542</v>
      </c>
      <c r="F45" s="300"/>
      <c r="G45" s="300">
        <v>5492</v>
      </c>
      <c r="H45" s="86" t="s">
        <v>3119</v>
      </c>
      <c r="I45" s="86" t="s">
        <v>3120</v>
      </c>
      <c r="J45" s="86"/>
      <c r="K45" s="300"/>
      <c r="L45" s="300"/>
    </row>
    <row r="46" spans="1:12">
      <c r="A46" s="86" t="s">
        <v>3081</v>
      </c>
      <c r="B46" s="86" t="s">
        <v>351</v>
      </c>
      <c r="C46" s="86">
        <v>1292482</v>
      </c>
      <c r="D46" s="86"/>
      <c r="E46" s="300">
        <v>3694</v>
      </c>
      <c r="F46" s="300"/>
      <c r="G46" s="300">
        <v>5506</v>
      </c>
      <c r="H46" s="86" t="s">
        <v>3350</v>
      </c>
      <c r="I46" s="86" t="s">
        <v>3351</v>
      </c>
      <c r="J46" s="86"/>
      <c r="K46" s="300"/>
      <c r="L46" s="300"/>
    </row>
    <row r="47" spans="1:12">
      <c r="A47" s="86" t="s">
        <v>3081</v>
      </c>
      <c r="B47" s="86" t="s">
        <v>351</v>
      </c>
      <c r="C47" s="86">
        <v>1293441</v>
      </c>
      <c r="D47" s="86"/>
      <c r="E47" s="300">
        <v>5117</v>
      </c>
      <c r="F47" s="300"/>
      <c r="G47" s="300">
        <v>5513</v>
      </c>
      <c r="H47" s="86" t="s">
        <v>3121</v>
      </c>
      <c r="I47" s="86" t="s">
        <v>3122</v>
      </c>
      <c r="J47" s="86"/>
      <c r="K47" s="300"/>
      <c r="L47" s="300"/>
    </row>
    <row r="48" spans="1:12">
      <c r="A48" s="86" t="s">
        <v>3081</v>
      </c>
      <c r="B48" s="86" t="s">
        <v>351</v>
      </c>
      <c r="C48" s="86">
        <v>1297879</v>
      </c>
      <c r="D48" s="86"/>
      <c r="E48" s="300">
        <v>4850</v>
      </c>
      <c r="F48" s="300"/>
      <c r="G48" s="300">
        <v>5555</v>
      </c>
      <c r="H48" s="86" t="s">
        <v>3215</v>
      </c>
      <c r="I48" s="86" t="s">
        <v>3123</v>
      </c>
      <c r="J48" s="86"/>
      <c r="K48" s="300"/>
      <c r="L48" s="300"/>
    </row>
    <row r="49" spans="1:12">
      <c r="A49" s="86" t="s">
        <v>3081</v>
      </c>
      <c r="B49" s="86" t="s">
        <v>351</v>
      </c>
      <c r="C49" s="86">
        <v>1298533</v>
      </c>
      <c r="D49" s="86"/>
      <c r="E49" s="300">
        <v>4513</v>
      </c>
      <c r="F49" s="300"/>
      <c r="G49" s="300">
        <v>5562</v>
      </c>
      <c r="H49" s="86" t="s">
        <v>3215</v>
      </c>
      <c r="I49" s="86" t="s">
        <v>3124</v>
      </c>
      <c r="J49" s="86"/>
      <c r="K49" s="300"/>
      <c r="L49" s="300"/>
    </row>
    <row r="50" spans="1:12">
      <c r="A50" s="86" t="s">
        <v>3081</v>
      </c>
      <c r="B50" s="86" t="s">
        <v>351</v>
      </c>
      <c r="C50" s="86">
        <v>1298569</v>
      </c>
      <c r="D50" s="86"/>
      <c r="E50" s="300">
        <v>4778</v>
      </c>
      <c r="F50" s="300"/>
      <c r="G50" s="300">
        <v>5562</v>
      </c>
      <c r="H50" s="86" t="s">
        <v>3215</v>
      </c>
      <c r="I50" s="86" t="s">
        <v>2991</v>
      </c>
      <c r="J50" s="86"/>
      <c r="K50" s="300"/>
      <c r="L50" s="300"/>
    </row>
    <row r="51" spans="1:12">
      <c r="A51" s="86" t="s">
        <v>3081</v>
      </c>
      <c r="B51" s="86" t="s">
        <v>351</v>
      </c>
      <c r="C51" s="86">
        <v>1301079</v>
      </c>
      <c r="D51" s="86"/>
      <c r="E51" s="300">
        <v>5279</v>
      </c>
      <c r="F51" s="300"/>
      <c r="G51" s="300">
        <v>5583</v>
      </c>
      <c r="H51" s="86" t="s">
        <v>3215</v>
      </c>
      <c r="I51" s="86" t="s">
        <v>2992</v>
      </c>
      <c r="J51" s="86"/>
      <c r="K51" s="300"/>
      <c r="L51" s="300"/>
    </row>
    <row r="52" spans="1:12">
      <c r="A52" s="86" t="s">
        <v>3081</v>
      </c>
      <c r="B52" s="86" t="s">
        <v>351</v>
      </c>
      <c r="C52" s="86">
        <v>1306259</v>
      </c>
      <c r="D52" s="86"/>
      <c r="E52" s="300">
        <v>4399</v>
      </c>
      <c r="F52" s="300" t="s">
        <v>2993</v>
      </c>
      <c r="G52" s="300">
        <v>5639</v>
      </c>
      <c r="H52" s="86" t="s">
        <v>3350</v>
      </c>
      <c r="I52" s="86" t="s">
        <v>3351</v>
      </c>
      <c r="J52" s="86"/>
      <c r="K52" s="300"/>
      <c r="L52" s="202"/>
    </row>
    <row r="53" spans="1:12">
      <c r="A53" s="86" t="s">
        <v>3081</v>
      </c>
      <c r="B53" s="86" t="s">
        <v>351</v>
      </c>
      <c r="C53" s="86">
        <v>1306643</v>
      </c>
      <c r="D53" s="86"/>
      <c r="E53" s="300">
        <v>4919</v>
      </c>
      <c r="F53" s="300"/>
      <c r="G53" s="300">
        <v>5639</v>
      </c>
      <c r="H53" s="86" t="s">
        <v>3215</v>
      </c>
      <c r="I53" s="86" t="s">
        <v>2994</v>
      </c>
      <c r="J53" s="86"/>
      <c r="K53" s="300"/>
      <c r="L53" s="300"/>
    </row>
    <row r="54" spans="1:12">
      <c r="A54" s="86" t="s">
        <v>3081</v>
      </c>
      <c r="B54" s="86" t="s">
        <v>351</v>
      </c>
      <c r="C54" s="86">
        <v>1306912</v>
      </c>
      <c r="D54" s="86" t="s">
        <v>3033</v>
      </c>
      <c r="E54" s="300">
        <v>3660</v>
      </c>
      <c r="F54" s="300">
        <v>4109</v>
      </c>
      <c r="G54" s="300">
        <v>5646</v>
      </c>
      <c r="H54" s="86" t="s">
        <v>3350</v>
      </c>
      <c r="I54" s="86" t="s">
        <v>3351</v>
      </c>
      <c r="J54" s="86"/>
      <c r="K54" s="300"/>
      <c r="L54" s="202"/>
    </row>
    <row r="55" spans="1:12">
      <c r="A55" s="86" t="s">
        <v>3081</v>
      </c>
      <c r="B55" s="86" t="s">
        <v>351</v>
      </c>
      <c r="C55" s="86">
        <v>1308907</v>
      </c>
      <c r="D55" s="86"/>
      <c r="E55" s="300">
        <v>4306</v>
      </c>
      <c r="F55" s="300"/>
      <c r="G55" s="300">
        <v>5667</v>
      </c>
      <c r="H55" s="86" t="s">
        <v>3350</v>
      </c>
      <c r="I55" s="86" t="s">
        <v>3351</v>
      </c>
      <c r="J55" s="86"/>
      <c r="K55" s="300"/>
      <c r="L55" s="300"/>
    </row>
    <row r="56" spans="1:12">
      <c r="A56" s="86" t="s">
        <v>3081</v>
      </c>
      <c r="B56" s="86" t="s">
        <v>351</v>
      </c>
      <c r="C56" s="86">
        <v>1312513</v>
      </c>
      <c r="D56" s="86"/>
      <c r="E56" s="300">
        <v>4512</v>
      </c>
      <c r="F56" s="300"/>
      <c r="G56" s="300">
        <v>5702</v>
      </c>
      <c r="H56" s="86" t="s">
        <v>3215</v>
      </c>
      <c r="I56" s="86" t="s">
        <v>2976</v>
      </c>
      <c r="J56" s="86"/>
      <c r="K56" s="300"/>
      <c r="L56" s="300"/>
    </row>
    <row r="57" spans="1:12">
      <c r="A57" s="86" t="s">
        <v>3081</v>
      </c>
      <c r="B57" s="86" t="s">
        <v>351</v>
      </c>
      <c r="C57" s="86">
        <v>1313337</v>
      </c>
      <c r="D57" s="86"/>
      <c r="E57" s="300">
        <v>4532</v>
      </c>
      <c r="F57" s="300"/>
      <c r="G57" s="300">
        <v>5709</v>
      </c>
      <c r="H57" s="86" t="s">
        <v>3215</v>
      </c>
      <c r="I57" s="86" t="s">
        <v>3034</v>
      </c>
      <c r="J57" s="86"/>
      <c r="K57" s="300"/>
      <c r="L57" s="300"/>
    </row>
    <row r="58" spans="1:12">
      <c r="A58" s="86" t="s">
        <v>3081</v>
      </c>
      <c r="B58" s="86" t="s">
        <v>351</v>
      </c>
      <c r="C58" s="86">
        <v>1315783</v>
      </c>
      <c r="D58" s="86"/>
      <c r="E58" s="300">
        <v>4778</v>
      </c>
      <c r="F58" s="300"/>
      <c r="G58" s="300">
        <v>5730</v>
      </c>
      <c r="H58" s="86" t="s">
        <v>3215</v>
      </c>
      <c r="I58" s="86" t="s">
        <v>2991</v>
      </c>
      <c r="J58" s="86"/>
      <c r="K58" s="300"/>
      <c r="L58" s="300"/>
    </row>
    <row r="59" spans="1:12">
      <c r="A59" s="86" t="s">
        <v>3081</v>
      </c>
      <c r="B59" s="86" t="s">
        <v>351</v>
      </c>
      <c r="C59" s="86">
        <v>1317492</v>
      </c>
      <c r="D59" s="86"/>
      <c r="E59" s="300">
        <v>4759</v>
      </c>
      <c r="F59" s="300"/>
      <c r="G59" s="300">
        <v>5751</v>
      </c>
      <c r="H59" s="301"/>
      <c r="I59" s="86" t="s">
        <v>3035</v>
      </c>
      <c r="J59" s="86"/>
      <c r="K59" s="300"/>
      <c r="L59" s="300"/>
    </row>
    <row r="60" spans="1:12">
      <c r="A60" s="86" t="s">
        <v>3081</v>
      </c>
      <c r="B60" s="86" t="s">
        <v>351</v>
      </c>
      <c r="C60" s="86">
        <v>1320874</v>
      </c>
      <c r="D60" s="86"/>
      <c r="E60" s="300">
        <v>4619</v>
      </c>
      <c r="F60" s="300"/>
      <c r="G60" s="300">
        <v>5786</v>
      </c>
      <c r="H60" s="86" t="s">
        <v>3215</v>
      </c>
      <c r="I60" s="86" t="s">
        <v>2970</v>
      </c>
      <c r="J60" s="86"/>
      <c r="K60" s="300"/>
      <c r="L60" s="300"/>
    </row>
    <row r="61" spans="1:12">
      <c r="A61" s="86" t="s">
        <v>3081</v>
      </c>
      <c r="B61" s="86" t="s">
        <v>351</v>
      </c>
      <c r="C61" s="86">
        <v>1326121</v>
      </c>
      <c r="D61" s="86"/>
      <c r="E61" s="300">
        <v>5275</v>
      </c>
      <c r="F61" s="300"/>
      <c r="G61" s="300">
        <v>5835</v>
      </c>
      <c r="H61" s="86" t="s">
        <v>3215</v>
      </c>
      <c r="I61" s="86" t="s">
        <v>2992</v>
      </c>
      <c r="J61" s="86"/>
      <c r="K61" s="300"/>
      <c r="L61" s="300"/>
    </row>
    <row r="62" spans="1:12">
      <c r="A62" s="86" t="s">
        <v>3081</v>
      </c>
      <c r="B62" s="86" t="s">
        <v>351</v>
      </c>
      <c r="C62" s="86">
        <v>1331085</v>
      </c>
      <c r="D62" s="86"/>
      <c r="E62" s="300">
        <v>4257</v>
      </c>
      <c r="F62" s="300"/>
      <c r="G62" s="300">
        <v>5891</v>
      </c>
      <c r="H62" s="86" t="s">
        <v>3215</v>
      </c>
      <c r="I62" s="86" t="s">
        <v>3036</v>
      </c>
      <c r="J62" s="86"/>
      <c r="K62" s="300"/>
      <c r="L62" s="300"/>
    </row>
    <row r="63" spans="1:12">
      <c r="A63" s="86" t="s">
        <v>3081</v>
      </c>
      <c r="B63" s="86" t="s">
        <v>351</v>
      </c>
      <c r="C63" s="86">
        <v>1331937</v>
      </c>
      <c r="D63" s="86"/>
      <c r="E63" s="300">
        <v>4250</v>
      </c>
      <c r="F63" s="202" t="s">
        <v>3044</v>
      </c>
      <c r="G63" s="300">
        <v>5898</v>
      </c>
      <c r="H63" s="86" t="s">
        <v>3215</v>
      </c>
      <c r="I63" s="86" t="s">
        <v>3045</v>
      </c>
      <c r="J63" s="86"/>
      <c r="K63" s="300"/>
      <c r="L63" s="300"/>
    </row>
    <row r="64" spans="1:12">
      <c r="A64" s="86" t="s">
        <v>3081</v>
      </c>
      <c r="B64" s="86" t="s">
        <v>351</v>
      </c>
      <c r="C64" s="86">
        <v>1339998</v>
      </c>
      <c r="D64" s="86" t="s">
        <v>3046</v>
      </c>
      <c r="E64" s="202">
        <v>3757</v>
      </c>
      <c r="F64" s="300">
        <v>5001</v>
      </c>
      <c r="G64" s="300">
        <v>5975</v>
      </c>
      <c r="H64" s="86" t="s">
        <v>3215</v>
      </c>
      <c r="I64" s="86" t="s">
        <v>3111</v>
      </c>
      <c r="J64" s="86"/>
      <c r="K64" s="202"/>
      <c r="L64" s="300"/>
    </row>
    <row r="65" spans="1:12">
      <c r="A65" s="86" t="s">
        <v>3081</v>
      </c>
      <c r="B65" s="86" t="s">
        <v>351</v>
      </c>
      <c r="C65" s="86">
        <v>1342993</v>
      </c>
      <c r="D65" s="86"/>
      <c r="E65" s="300">
        <v>4343</v>
      </c>
      <c r="F65" s="300"/>
      <c r="G65" s="300">
        <v>6003</v>
      </c>
      <c r="H65" s="86" t="s">
        <v>3215</v>
      </c>
      <c r="I65" s="86" t="s">
        <v>3017</v>
      </c>
      <c r="J65" s="86"/>
      <c r="K65" s="300"/>
      <c r="L65" s="300"/>
    </row>
    <row r="66" spans="1:12">
      <c r="A66" s="86" t="s">
        <v>3081</v>
      </c>
      <c r="B66" s="86" t="s">
        <v>351</v>
      </c>
      <c r="C66" s="86">
        <v>1357724</v>
      </c>
      <c r="D66" s="86"/>
      <c r="E66" s="300">
        <v>4763</v>
      </c>
      <c r="F66" s="300"/>
      <c r="G66" s="300">
        <v>6150</v>
      </c>
      <c r="H66" s="86" t="s">
        <v>3215</v>
      </c>
      <c r="I66" s="86" t="s">
        <v>3018</v>
      </c>
      <c r="J66" s="86"/>
      <c r="K66" s="300"/>
      <c r="L66" s="300"/>
    </row>
    <row r="67" spans="1:12">
      <c r="A67" s="86" t="s">
        <v>3081</v>
      </c>
      <c r="B67" s="86" t="s">
        <v>351</v>
      </c>
      <c r="C67" s="86">
        <v>1359134</v>
      </c>
      <c r="D67" s="86"/>
      <c r="E67" s="300">
        <v>5312</v>
      </c>
      <c r="F67" s="300"/>
      <c r="G67" s="300">
        <v>6164</v>
      </c>
      <c r="H67" s="86" t="s">
        <v>3003</v>
      </c>
      <c r="I67" s="86" t="s">
        <v>3004</v>
      </c>
      <c r="J67" s="86"/>
      <c r="K67" s="300"/>
      <c r="L67" s="300"/>
    </row>
    <row r="68" spans="1:12">
      <c r="A68" s="86" t="s">
        <v>3081</v>
      </c>
      <c r="B68" s="86" t="s">
        <v>351</v>
      </c>
      <c r="C68" s="86">
        <v>1360152</v>
      </c>
      <c r="D68" s="86" t="s">
        <v>3005</v>
      </c>
      <c r="E68" s="300">
        <v>4919</v>
      </c>
      <c r="F68" s="300">
        <v>5386</v>
      </c>
      <c r="G68" s="300">
        <v>6171</v>
      </c>
      <c r="H68" s="86" t="s">
        <v>3215</v>
      </c>
      <c r="I68" s="86" t="s">
        <v>2994</v>
      </c>
      <c r="J68" s="86"/>
      <c r="K68" s="300"/>
      <c r="L68" s="300"/>
    </row>
    <row r="69" spans="1:12">
      <c r="A69" s="86" t="s">
        <v>3081</v>
      </c>
      <c r="B69" s="86" t="s">
        <v>351</v>
      </c>
      <c r="C69" s="86">
        <v>1361652</v>
      </c>
      <c r="D69" s="86"/>
      <c r="E69" s="300">
        <v>5963</v>
      </c>
      <c r="F69" s="300"/>
      <c r="G69" s="300">
        <v>6185</v>
      </c>
      <c r="H69" s="86" t="s">
        <v>3003</v>
      </c>
      <c r="I69" s="86" t="s">
        <v>3004</v>
      </c>
      <c r="J69" s="86"/>
      <c r="K69" s="300"/>
      <c r="L69" s="300"/>
    </row>
    <row r="70" spans="1:12">
      <c r="A70" s="86" t="s">
        <v>3081</v>
      </c>
      <c r="B70" s="86" t="s">
        <v>351</v>
      </c>
      <c r="C70" s="302">
        <v>1375920</v>
      </c>
      <c r="D70" s="86"/>
      <c r="E70" s="300">
        <v>5947</v>
      </c>
      <c r="F70" s="300"/>
      <c r="G70" s="300">
        <v>6304</v>
      </c>
      <c r="H70" s="86"/>
      <c r="I70" s="86"/>
      <c r="J70" s="86"/>
      <c r="K70" s="300"/>
      <c r="L70" s="300"/>
    </row>
    <row r="71" spans="1:12">
      <c r="A71" s="86" t="s">
        <v>3081</v>
      </c>
      <c r="B71" s="86" t="s">
        <v>351</v>
      </c>
      <c r="C71" s="86">
        <v>1386880</v>
      </c>
      <c r="D71" s="86"/>
      <c r="E71" s="300">
        <v>5871</v>
      </c>
      <c r="F71" s="300"/>
      <c r="G71" s="300">
        <v>6430</v>
      </c>
      <c r="H71" s="86" t="s">
        <v>3215</v>
      </c>
      <c r="I71" s="86" t="s">
        <v>3123</v>
      </c>
      <c r="J71" s="86"/>
      <c r="K71" s="300"/>
      <c r="L71" s="300"/>
    </row>
    <row r="72" spans="1:12">
      <c r="A72" s="86" t="s">
        <v>3081</v>
      </c>
      <c r="B72" s="86" t="s">
        <v>351</v>
      </c>
      <c r="C72" s="86">
        <v>1393550</v>
      </c>
      <c r="D72" s="86"/>
      <c r="E72" s="300">
        <v>4416</v>
      </c>
      <c r="F72" s="300"/>
      <c r="G72" s="300">
        <v>6493</v>
      </c>
      <c r="H72" s="86" t="s">
        <v>3215</v>
      </c>
      <c r="I72" s="86" t="s">
        <v>2970</v>
      </c>
      <c r="J72" s="86"/>
      <c r="K72" s="300"/>
      <c r="L72" s="300"/>
    </row>
    <row r="73" spans="1:12">
      <c r="A73" s="86" t="s">
        <v>3081</v>
      </c>
      <c r="B73" s="86" t="s">
        <v>351</v>
      </c>
      <c r="C73" s="86">
        <v>1401664</v>
      </c>
      <c r="D73" s="86"/>
      <c r="E73" s="300">
        <v>4771</v>
      </c>
      <c r="F73" s="300"/>
      <c r="G73" s="300">
        <v>6570</v>
      </c>
      <c r="H73" s="86" t="s">
        <v>3215</v>
      </c>
      <c r="I73" s="86" t="s">
        <v>3006</v>
      </c>
      <c r="J73" s="86"/>
      <c r="K73" s="300"/>
      <c r="L73" s="300"/>
    </row>
    <row r="74" spans="1:12">
      <c r="A74" s="86" t="s">
        <v>3081</v>
      </c>
      <c r="B74" s="86" t="s">
        <v>351</v>
      </c>
      <c r="C74" s="86">
        <v>1403727</v>
      </c>
      <c r="D74" s="86"/>
      <c r="E74" s="300">
        <v>5549</v>
      </c>
      <c r="F74" s="300"/>
      <c r="G74" s="300">
        <v>6591</v>
      </c>
      <c r="H74" s="86" t="s">
        <v>3215</v>
      </c>
      <c r="I74" s="86" t="s">
        <v>3142</v>
      </c>
      <c r="J74" s="86"/>
      <c r="K74" s="300"/>
      <c r="L74" s="300"/>
    </row>
    <row r="75" spans="1:12">
      <c r="A75" s="86" t="s">
        <v>3081</v>
      </c>
      <c r="B75" s="86" t="s">
        <v>351</v>
      </c>
      <c r="C75" s="86">
        <v>1410499</v>
      </c>
      <c r="D75" s="86"/>
      <c r="E75" s="300">
        <v>4799</v>
      </c>
      <c r="F75" s="300"/>
      <c r="G75" s="300">
        <v>6654</v>
      </c>
      <c r="H75" s="86" t="s">
        <v>3215</v>
      </c>
      <c r="I75" s="86" t="s">
        <v>3143</v>
      </c>
      <c r="J75" s="86"/>
      <c r="K75" s="300"/>
      <c r="L75" s="300"/>
    </row>
    <row r="76" spans="1:12">
      <c r="A76" s="86" t="s">
        <v>3081</v>
      </c>
      <c r="B76" s="86" t="s">
        <v>351</v>
      </c>
      <c r="C76" s="86">
        <v>1410665</v>
      </c>
      <c r="D76" s="86"/>
      <c r="E76" s="300">
        <v>6384</v>
      </c>
      <c r="F76" s="300"/>
      <c r="G76" s="300">
        <v>6661</v>
      </c>
      <c r="H76" s="86" t="s">
        <v>3144</v>
      </c>
      <c r="I76" s="86" t="s">
        <v>3145</v>
      </c>
      <c r="J76" s="86"/>
      <c r="K76" s="300"/>
      <c r="L76" s="300"/>
    </row>
    <row r="77" spans="1:12">
      <c r="A77" s="86" t="s">
        <v>3081</v>
      </c>
      <c r="B77" s="86" t="s">
        <v>351</v>
      </c>
      <c r="C77" s="86">
        <v>1419816</v>
      </c>
      <c r="D77" s="86"/>
      <c r="E77" s="300">
        <v>5218</v>
      </c>
      <c r="F77" s="300"/>
      <c r="G77" s="300">
        <v>6738</v>
      </c>
      <c r="H77" s="86" t="s">
        <v>3215</v>
      </c>
      <c r="I77" s="86" t="s">
        <v>3146</v>
      </c>
      <c r="J77" s="86"/>
      <c r="K77" s="300"/>
      <c r="L77" s="300"/>
    </row>
    <row r="78" spans="1:12">
      <c r="A78" s="86" t="s">
        <v>3081</v>
      </c>
      <c r="B78" s="86" t="s">
        <v>351</v>
      </c>
      <c r="C78" s="86">
        <v>1423338</v>
      </c>
      <c r="D78" s="86"/>
      <c r="E78" s="300">
        <v>6100</v>
      </c>
      <c r="F78" s="300"/>
      <c r="G78" s="300">
        <v>6773</v>
      </c>
      <c r="H78" s="86" t="s">
        <v>3215</v>
      </c>
      <c r="I78" s="86" t="s">
        <v>3147</v>
      </c>
      <c r="J78" s="86"/>
      <c r="K78" s="300"/>
      <c r="L78" s="300"/>
    </row>
    <row r="79" spans="1:12">
      <c r="A79" s="86" t="s">
        <v>3081</v>
      </c>
      <c r="B79" s="86" t="s">
        <v>351</v>
      </c>
      <c r="C79" s="86">
        <v>1423956</v>
      </c>
      <c r="D79" s="86"/>
      <c r="E79" s="300">
        <v>5557</v>
      </c>
      <c r="F79" s="300"/>
      <c r="G79" s="300">
        <v>6780</v>
      </c>
      <c r="H79" s="86" t="s">
        <v>3215</v>
      </c>
      <c r="I79" s="86" t="s">
        <v>3013</v>
      </c>
      <c r="J79" s="86"/>
      <c r="K79" s="300"/>
      <c r="L79" s="300"/>
    </row>
    <row r="80" spans="1:12">
      <c r="A80" s="86" t="s">
        <v>3081</v>
      </c>
      <c r="B80" s="86" t="s">
        <v>351</v>
      </c>
      <c r="C80" s="86">
        <v>1424067</v>
      </c>
      <c r="D80" s="86"/>
      <c r="E80" s="300">
        <v>5923</v>
      </c>
      <c r="F80" s="300"/>
      <c r="G80" s="300">
        <v>6780</v>
      </c>
      <c r="H80" s="86" t="s">
        <v>3215</v>
      </c>
      <c r="I80" s="86" t="s">
        <v>3006</v>
      </c>
      <c r="J80" s="86"/>
      <c r="K80" s="300"/>
      <c r="L80" s="300"/>
    </row>
    <row r="81" spans="1:12">
      <c r="A81" s="86" t="s">
        <v>3081</v>
      </c>
      <c r="B81" s="86" t="s">
        <v>351</v>
      </c>
      <c r="C81" s="86">
        <v>1427870</v>
      </c>
      <c r="D81" s="86"/>
      <c r="E81" s="300">
        <v>5279</v>
      </c>
      <c r="F81" s="300"/>
      <c r="G81" s="300">
        <v>6822</v>
      </c>
      <c r="H81" s="86" t="s">
        <v>3215</v>
      </c>
      <c r="I81" s="86" t="s">
        <v>2992</v>
      </c>
      <c r="J81" s="86"/>
      <c r="K81" s="300"/>
      <c r="L81" s="300"/>
    </row>
    <row r="82" spans="1:12">
      <c r="A82" s="86" t="s">
        <v>3081</v>
      </c>
      <c r="B82" s="86" t="s">
        <v>351</v>
      </c>
      <c r="C82" s="86">
        <v>1430118</v>
      </c>
      <c r="D82" s="86"/>
      <c r="E82" s="300">
        <v>6034</v>
      </c>
      <c r="F82" s="300"/>
      <c r="G82" s="300">
        <v>6843</v>
      </c>
      <c r="H82" s="86" t="s">
        <v>3144</v>
      </c>
      <c r="I82" s="86" t="s">
        <v>2991</v>
      </c>
      <c r="J82" s="86"/>
      <c r="K82" s="300"/>
      <c r="L82" s="300"/>
    </row>
    <row r="83" spans="1:12">
      <c r="A83" s="86" t="s">
        <v>3081</v>
      </c>
      <c r="B83" s="86" t="s">
        <v>351</v>
      </c>
      <c r="C83" s="86">
        <v>1436717</v>
      </c>
      <c r="D83" s="86"/>
      <c r="E83" s="300">
        <v>6538</v>
      </c>
      <c r="F83" s="300"/>
      <c r="G83" s="300">
        <v>6906</v>
      </c>
      <c r="H83" s="86" t="s">
        <v>3215</v>
      </c>
      <c r="I83" s="86" t="s">
        <v>3014</v>
      </c>
      <c r="J83" s="86"/>
      <c r="K83" s="300"/>
      <c r="L83" s="300"/>
    </row>
    <row r="84" spans="1:12">
      <c r="A84" s="86" t="s">
        <v>3081</v>
      </c>
      <c r="B84" s="86" t="s">
        <v>351</v>
      </c>
      <c r="C84" s="86">
        <v>1445811</v>
      </c>
      <c r="D84" s="86"/>
      <c r="E84" s="300">
        <v>5422</v>
      </c>
      <c r="F84" s="300"/>
      <c r="G84" s="300">
        <v>6990</v>
      </c>
      <c r="H84" s="86" t="s">
        <v>3003</v>
      </c>
      <c r="I84" s="86" t="s">
        <v>3004</v>
      </c>
      <c r="J84" s="86"/>
      <c r="K84" s="300"/>
      <c r="L84" s="300"/>
    </row>
    <row r="85" spans="1:12">
      <c r="A85" s="86" t="s">
        <v>3081</v>
      </c>
      <c r="B85" s="86" t="s">
        <v>351</v>
      </c>
      <c r="C85" s="86">
        <v>1460511</v>
      </c>
      <c r="D85" s="86"/>
      <c r="E85" s="300">
        <v>5718</v>
      </c>
      <c r="F85" s="300"/>
      <c r="G85" s="300">
        <v>7123</v>
      </c>
      <c r="H85" s="86" t="s">
        <v>3015</v>
      </c>
      <c r="I85" s="86" t="s">
        <v>3102</v>
      </c>
      <c r="J85" s="86"/>
      <c r="K85" s="300"/>
      <c r="L85" s="300"/>
    </row>
    <row r="86" spans="1:12">
      <c r="A86" s="86" t="s">
        <v>3081</v>
      </c>
      <c r="B86" s="86" t="s">
        <v>351</v>
      </c>
      <c r="C86" s="86">
        <v>1463504</v>
      </c>
      <c r="D86" s="86"/>
      <c r="E86" s="300">
        <v>6121</v>
      </c>
      <c r="F86" s="300"/>
      <c r="G86" s="300">
        <v>7151</v>
      </c>
      <c r="H86" s="86" t="s">
        <v>3215</v>
      </c>
      <c r="I86" s="86" t="s">
        <v>3016</v>
      </c>
      <c r="J86" s="86"/>
      <c r="K86" s="300"/>
      <c r="L86" s="300"/>
    </row>
    <row r="87" spans="1:12">
      <c r="A87" s="86" t="s">
        <v>3081</v>
      </c>
      <c r="B87" s="86" t="s">
        <v>351</v>
      </c>
      <c r="C87" s="86">
        <v>1464101</v>
      </c>
      <c r="D87" s="86"/>
      <c r="E87" s="300">
        <v>5788</v>
      </c>
      <c r="F87" s="300"/>
      <c r="G87" s="300">
        <v>7158</v>
      </c>
      <c r="H87" s="86" t="s">
        <v>3215</v>
      </c>
      <c r="I87" s="86" t="s">
        <v>3150</v>
      </c>
      <c r="J87" s="86"/>
      <c r="K87" s="300"/>
      <c r="L87" s="300"/>
    </row>
    <row r="88" spans="1:12">
      <c r="A88" s="86" t="s">
        <v>3081</v>
      </c>
      <c r="B88" s="86" t="s">
        <v>351</v>
      </c>
      <c r="C88" s="86">
        <v>1468073</v>
      </c>
      <c r="D88" s="86"/>
      <c r="E88" s="300">
        <v>5858</v>
      </c>
      <c r="F88" s="300" t="s">
        <v>3151</v>
      </c>
      <c r="G88" s="300">
        <v>7200</v>
      </c>
      <c r="H88" s="86" t="s">
        <v>3215</v>
      </c>
      <c r="I88" s="86" t="s">
        <v>3143</v>
      </c>
      <c r="J88" s="86"/>
      <c r="K88" s="300"/>
      <c r="L88" s="300"/>
    </row>
    <row r="89" spans="1:12">
      <c r="A89" s="86" t="s">
        <v>3081</v>
      </c>
      <c r="B89" s="86" t="s">
        <v>351</v>
      </c>
      <c r="C89" s="86">
        <v>1468084</v>
      </c>
      <c r="D89" s="86"/>
      <c r="E89" s="300">
        <v>5496</v>
      </c>
      <c r="F89" s="300"/>
      <c r="G89" s="300">
        <v>7200</v>
      </c>
      <c r="H89" s="86" t="s">
        <v>3215</v>
      </c>
      <c r="I89" s="86" t="s">
        <v>3417</v>
      </c>
      <c r="J89" s="86"/>
      <c r="K89" s="300"/>
      <c r="L89" s="300"/>
    </row>
    <row r="90" spans="1:12">
      <c r="A90" s="86" t="s">
        <v>3081</v>
      </c>
      <c r="B90" s="86" t="s">
        <v>351</v>
      </c>
      <c r="C90" s="86">
        <v>1477618</v>
      </c>
      <c r="D90" s="86"/>
      <c r="E90" s="300">
        <v>6017</v>
      </c>
      <c r="F90" s="300"/>
      <c r="G90" s="300">
        <v>7291</v>
      </c>
      <c r="H90" s="86" t="s">
        <v>3003</v>
      </c>
      <c r="I90" s="86" t="s">
        <v>3418</v>
      </c>
      <c r="J90" s="86"/>
      <c r="K90" s="300"/>
      <c r="L90" s="300"/>
    </row>
    <row r="91" spans="1:12">
      <c r="A91" s="86" t="s">
        <v>3081</v>
      </c>
      <c r="B91" s="86" t="s">
        <v>351</v>
      </c>
      <c r="C91" s="86">
        <v>1491436</v>
      </c>
      <c r="D91" s="86"/>
      <c r="E91" s="300">
        <v>5611</v>
      </c>
      <c r="F91" s="300"/>
      <c r="G91" s="300">
        <v>7417</v>
      </c>
      <c r="H91" s="86" t="s">
        <v>3215</v>
      </c>
      <c r="I91" s="86" t="s">
        <v>3288</v>
      </c>
      <c r="J91" s="86"/>
      <c r="K91" s="300"/>
      <c r="L91" s="300"/>
    </row>
    <row r="92" spans="1:12">
      <c r="A92" s="86" t="s">
        <v>3081</v>
      </c>
      <c r="B92" s="86" t="s">
        <v>351</v>
      </c>
      <c r="C92" s="86">
        <v>1496457</v>
      </c>
      <c r="D92" s="86"/>
      <c r="E92" s="300">
        <v>5676</v>
      </c>
      <c r="F92" s="300" t="s">
        <v>3289</v>
      </c>
      <c r="G92" s="300">
        <v>7459</v>
      </c>
      <c r="H92" s="86" t="s">
        <v>3215</v>
      </c>
      <c r="I92" s="86" t="s">
        <v>3290</v>
      </c>
      <c r="J92" s="86"/>
      <c r="K92" s="300"/>
      <c r="L92" s="300"/>
    </row>
    <row r="93" spans="1:12">
      <c r="A93" s="86" t="s">
        <v>3081</v>
      </c>
      <c r="B93" s="86" t="s">
        <v>351</v>
      </c>
      <c r="C93" s="86">
        <v>1498908</v>
      </c>
      <c r="D93" s="86"/>
      <c r="E93" s="300">
        <v>4040</v>
      </c>
      <c r="F93" s="300"/>
      <c r="G93" s="300">
        <v>7480</v>
      </c>
      <c r="H93" s="86" t="s">
        <v>3215</v>
      </c>
      <c r="I93" s="86" t="s">
        <v>3017</v>
      </c>
      <c r="J93" s="86"/>
      <c r="K93" s="300"/>
      <c r="L93" s="300"/>
    </row>
    <row r="94" spans="1:12">
      <c r="A94" s="86" t="s">
        <v>3081</v>
      </c>
      <c r="B94" s="86" t="s">
        <v>351</v>
      </c>
      <c r="C94" s="86">
        <v>1508242</v>
      </c>
      <c r="D94" s="86"/>
      <c r="E94" s="300">
        <v>7022</v>
      </c>
      <c r="F94" s="300"/>
      <c r="G94" s="300">
        <v>7557</v>
      </c>
      <c r="H94" s="86" t="s">
        <v>3215</v>
      </c>
      <c r="I94" s="86" t="s">
        <v>3291</v>
      </c>
      <c r="J94" s="86"/>
      <c r="K94" s="300"/>
      <c r="L94" s="300"/>
    </row>
    <row r="95" spans="1:12">
      <c r="A95" s="86" t="s">
        <v>3081</v>
      </c>
      <c r="B95" s="86" t="s">
        <v>351</v>
      </c>
      <c r="C95" s="86">
        <v>1531265</v>
      </c>
      <c r="D95" s="86"/>
      <c r="E95" s="300">
        <v>6424</v>
      </c>
      <c r="F95" s="300"/>
      <c r="G95" s="300">
        <v>7753</v>
      </c>
      <c r="H95" s="86" t="s">
        <v>3215</v>
      </c>
      <c r="I95" s="86" t="s">
        <v>3292</v>
      </c>
      <c r="J95" s="86"/>
      <c r="K95" s="300"/>
      <c r="L95" s="300"/>
    </row>
    <row r="96" spans="1:12">
      <c r="A96" s="86" t="s">
        <v>3081</v>
      </c>
      <c r="B96" s="86" t="s">
        <v>351</v>
      </c>
      <c r="C96" s="86">
        <v>1536833</v>
      </c>
      <c r="D96" s="86"/>
      <c r="E96" s="300">
        <v>6836</v>
      </c>
      <c r="F96" s="300"/>
      <c r="G96" s="300">
        <v>7795</v>
      </c>
      <c r="H96" s="86" t="s">
        <v>3215</v>
      </c>
      <c r="I96" s="86" t="s">
        <v>3293</v>
      </c>
      <c r="J96" s="86"/>
      <c r="K96" s="300"/>
      <c r="L96" s="300"/>
    </row>
    <row r="97" spans="1:12">
      <c r="A97" s="86" t="s">
        <v>3081</v>
      </c>
      <c r="B97" s="86" t="s">
        <v>351</v>
      </c>
      <c r="C97" s="86">
        <v>1539672</v>
      </c>
      <c r="D97" s="86"/>
      <c r="E97" s="300">
        <v>6116</v>
      </c>
      <c r="F97" s="300"/>
      <c r="G97" s="300">
        <v>7816</v>
      </c>
      <c r="H97" s="86" t="s">
        <v>3423</v>
      </c>
      <c r="I97" s="86" t="s">
        <v>3424</v>
      </c>
      <c r="J97" s="86"/>
      <c r="K97" s="300"/>
      <c r="L97" s="300"/>
    </row>
    <row r="98" spans="1:12">
      <c r="A98" s="86" t="s">
        <v>3081</v>
      </c>
      <c r="B98" s="86" t="s">
        <v>351</v>
      </c>
      <c r="C98" s="86">
        <v>1540537</v>
      </c>
      <c r="D98" s="86"/>
      <c r="E98" s="300">
        <v>6538</v>
      </c>
      <c r="F98" s="300"/>
      <c r="G98" s="300">
        <v>7823</v>
      </c>
      <c r="H98" s="86" t="s">
        <v>3215</v>
      </c>
      <c r="I98" s="86" t="s">
        <v>3425</v>
      </c>
      <c r="J98" s="86"/>
      <c r="K98" s="300"/>
      <c r="L98" s="300"/>
    </row>
    <row r="99" spans="1:12">
      <c r="A99" s="86" t="s">
        <v>3081</v>
      </c>
      <c r="B99" s="86" t="s">
        <v>351</v>
      </c>
      <c r="C99" s="86">
        <v>1541596</v>
      </c>
      <c r="D99" s="86"/>
      <c r="E99" s="300">
        <v>7612</v>
      </c>
      <c r="F99" s="300"/>
      <c r="G99" s="300">
        <v>7830</v>
      </c>
      <c r="H99" s="86" t="s">
        <v>3215</v>
      </c>
      <c r="I99" s="86" t="s">
        <v>3163</v>
      </c>
      <c r="J99" s="86"/>
      <c r="K99" s="300"/>
      <c r="L99" s="300"/>
    </row>
    <row r="100" spans="1:12">
      <c r="A100" s="86" t="s">
        <v>3081</v>
      </c>
      <c r="B100" s="86" t="s">
        <v>351</v>
      </c>
      <c r="C100" s="86">
        <v>1542390</v>
      </c>
      <c r="D100" s="86"/>
      <c r="E100" s="300">
        <v>6399</v>
      </c>
      <c r="F100" s="300"/>
      <c r="G100" s="300">
        <v>7837</v>
      </c>
      <c r="H100" s="86" t="s">
        <v>3215</v>
      </c>
      <c r="I100" s="86" t="s">
        <v>3122</v>
      </c>
      <c r="J100" s="86"/>
      <c r="K100" s="300"/>
      <c r="L100" s="300"/>
    </row>
    <row r="101" spans="1:12">
      <c r="A101" s="86" t="s">
        <v>3081</v>
      </c>
      <c r="B101" s="86" t="s">
        <v>351</v>
      </c>
      <c r="C101" s="86">
        <v>1546352</v>
      </c>
      <c r="D101" s="86"/>
      <c r="E101" s="300">
        <v>6398</v>
      </c>
      <c r="F101" s="300"/>
      <c r="G101" s="300">
        <v>7865</v>
      </c>
      <c r="H101" s="86" t="s">
        <v>3215</v>
      </c>
      <c r="I101" s="86" t="s">
        <v>3164</v>
      </c>
      <c r="J101" s="86"/>
      <c r="K101" s="300"/>
      <c r="L101" s="300"/>
    </row>
    <row r="102" spans="1:12">
      <c r="A102" s="86" t="s">
        <v>3081</v>
      </c>
      <c r="B102" s="86" t="s">
        <v>351</v>
      </c>
      <c r="C102" s="86">
        <v>1546353</v>
      </c>
      <c r="D102" s="86"/>
      <c r="E102" s="300">
        <v>6398</v>
      </c>
      <c r="F102" s="300"/>
      <c r="G102" s="300">
        <v>7865</v>
      </c>
      <c r="H102" s="86" t="s">
        <v>3215</v>
      </c>
      <c r="I102" s="86" t="s">
        <v>3165</v>
      </c>
      <c r="J102" s="86"/>
      <c r="K102" s="300"/>
      <c r="L102" s="300"/>
    </row>
    <row r="103" spans="1:12">
      <c r="A103" s="86" t="s">
        <v>3081</v>
      </c>
      <c r="B103" s="86" t="s">
        <v>351</v>
      </c>
      <c r="C103" s="86">
        <v>1547304</v>
      </c>
      <c r="D103" s="86"/>
      <c r="E103" s="300">
        <v>6535</v>
      </c>
      <c r="F103" s="300"/>
      <c r="G103" s="300">
        <v>7879</v>
      </c>
      <c r="H103" s="86" t="s">
        <v>3166</v>
      </c>
      <c r="I103" s="86" t="s">
        <v>3167</v>
      </c>
      <c r="J103" s="86"/>
      <c r="K103" s="300"/>
      <c r="L103" s="300"/>
    </row>
    <row r="104" spans="1:12">
      <c r="A104" s="86" t="s">
        <v>3081</v>
      </c>
      <c r="B104" s="86" t="s">
        <v>351</v>
      </c>
      <c r="C104" s="86">
        <v>1547395</v>
      </c>
      <c r="D104" s="86"/>
      <c r="E104" s="300">
        <v>6543</v>
      </c>
      <c r="F104" s="300"/>
      <c r="G104" s="300">
        <v>7879</v>
      </c>
      <c r="H104" s="86" t="s">
        <v>3215</v>
      </c>
      <c r="I104" s="86" t="s">
        <v>3168</v>
      </c>
      <c r="J104" s="86"/>
      <c r="K104" s="300"/>
      <c r="L104" s="300"/>
    </row>
    <row r="105" spans="1:12">
      <c r="A105" s="86" t="s">
        <v>3081</v>
      </c>
      <c r="B105" s="86" t="s">
        <v>351</v>
      </c>
      <c r="C105" s="86">
        <v>1549476</v>
      </c>
      <c r="D105" s="86"/>
      <c r="E105" s="300">
        <v>6459</v>
      </c>
      <c r="F105" s="300"/>
      <c r="G105" s="300">
        <v>7893</v>
      </c>
      <c r="H105" s="86" t="s">
        <v>3215</v>
      </c>
      <c r="I105" s="86" t="s">
        <v>3145</v>
      </c>
      <c r="J105" s="86"/>
      <c r="K105" s="300"/>
      <c r="L105" s="300"/>
    </row>
    <row r="106" spans="1:12">
      <c r="A106" s="86" t="s">
        <v>3081</v>
      </c>
      <c r="B106" s="86" t="s">
        <v>351</v>
      </c>
      <c r="C106" s="86">
        <v>1551527</v>
      </c>
      <c r="D106" s="86"/>
      <c r="E106" s="300">
        <v>6935</v>
      </c>
      <c r="F106" s="300"/>
      <c r="G106" s="300">
        <v>7907</v>
      </c>
      <c r="H106" s="86" t="s">
        <v>3215</v>
      </c>
      <c r="I106" s="86" t="s">
        <v>3169</v>
      </c>
      <c r="J106" s="86"/>
      <c r="K106" s="300"/>
      <c r="L106" s="300"/>
    </row>
    <row r="107" spans="1:12">
      <c r="A107" s="86" t="s">
        <v>3081</v>
      </c>
      <c r="B107" s="86" t="s">
        <v>351</v>
      </c>
      <c r="C107" s="86">
        <v>1552128</v>
      </c>
      <c r="D107" s="86"/>
      <c r="E107" s="300">
        <v>7078</v>
      </c>
      <c r="F107" s="300"/>
      <c r="G107" s="300">
        <v>7914</v>
      </c>
      <c r="H107" s="86" t="s">
        <v>3215</v>
      </c>
      <c r="I107" s="86" t="s">
        <v>3170</v>
      </c>
      <c r="J107" s="86"/>
      <c r="K107" s="300"/>
      <c r="L107" s="300"/>
    </row>
    <row r="108" spans="1:12">
      <c r="A108" s="86" t="s">
        <v>3081</v>
      </c>
      <c r="B108" s="86" t="s">
        <v>351</v>
      </c>
      <c r="C108" s="86">
        <v>1558524</v>
      </c>
      <c r="D108" s="86"/>
      <c r="E108" s="300">
        <v>5849</v>
      </c>
      <c r="F108" s="300"/>
      <c r="G108" s="300">
        <v>7239</v>
      </c>
      <c r="H108" s="86" t="s">
        <v>3215</v>
      </c>
      <c r="I108" s="86" t="s">
        <v>3037</v>
      </c>
      <c r="J108" s="86"/>
      <c r="K108" s="300"/>
      <c r="L108" s="300"/>
    </row>
    <row r="109" spans="1:12">
      <c r="A109" s="86" t="s">
        <v>3081</v>
      </c>
      <c r="B109" s="86" t="s">
        <v>351</v>
      </c>
      <c r="C109" s="86">
        <v>1560265</v>
      </c>
      <c r="D109" s="86"/>
      <c r="E109" s="300">
        <v>6298</v>
      </c>
      <c r="F109" s="300"/>
      <c r="G109" s="300">
        <v>7977</v>
      </c>
      <c r="H109" s="86" t="s">
        <v>3215</v>
      </c>
      <c r="I109" s="86" t="s">
        <v>3038</v>
      </c>
      <c r="J109" s="86"/>
      <c r="K109" s="300"/>
      <c r="L109" s="300"/>
    </row>
    <row r="110" spans="1:12">
      <c r="A110" s="86" t="s">
        <v>3081</v>
      </c>
      <c r="B110" s="86" t="s">
        <v>351</v>
      </c>
      <c r="C110" s="86">
        <v>1560936</v>
      </c>
      <c r="D110" s="86"/>
      <c r="E110" s="300">
        <v>6766</v>
      </c>
      <c r="F110" s="300"/>
      <c r="G110" s="300">
        <v>7984</v>
      </c>
      <c r="H110" s="86" t="s">
        <v>3215</v>
      </c>
      <c r="I110" s="86" t="s">
        <v>3039</v>
      </c>
      <c r="J110" s="86"/>
      <c r="K110" s="300"/>
      <c r="L110" s="300"/>
    </row>
    <row r="111" spans="1:12">
      <c r="A111" s="86" t="s">
        <v>3081</v>
      </c>
      <c r="B111" s="86" t="s">
        <v>351</v>
      </c>
      <c r="C111" s="86">
        <v>1560981</v>
      </c>
      <c r="D111" s="86"/>
      <c r="E111" s="300">
        <v>6165</v>
      </c>
      <c r="F111" s="300"/>
      <c r="G111" s="300">
        <v>7984</v>
      </c>
      <c r="H111" s="86" t="s">
        <v>3215</v>
      </c>
      <c r="I111" s="86" t="s">
        <v>3040</v>
      </c>
      <c r="J111" s="86"/>
      <c r="K111" s="300"/>
      <c r="L111" s="300"/>
    </row>
    <row r="112" spans="1:12">
      <c r="A112" s="86" t="s">
        <v>3081</v>
      </c>
      <c r="B112" s="86" t="s">
        <v>351</v>
      </c>
      <c r="C112" s="86">
        <v>1566848</v>
      </c>
      <c r="D112" s="86"/>
      <c r="E112" s="300">
        <v>6600</v>
      </c>
      <c r="F112" s="300"/>
      <c r="G112" s="300">
        <v>8026</v>
      </c>
      <c r="H112" s="86" t="s">
        <v>3215</v>
      </c>
      <c r="I112" s="86" t="s">
        <v>3290</v>
      </c>
      <c r="J112" s="86"/>
      <c r="K112" s="300"/>
      <c r="L112" s="300"/>
    </row>
    <row r="113" spans="1:12">
      <c r="A113" s="86" t="s">
        <v>3081</v>
      </c>
      <c r="B113" s="86" t="s">
        <v>351</v>
      </c>
      <c r="C113" s="86">
        <v>1569095</v>
      </c>
      <c r="D113" s="86"/>
      <c r="E113" s="300">
        <v>7264</v>
      </c>
      <c r="F113" s="300"/>
      <c r="G113" s="300">
        <v>8047</v>
      </c>
      <c r="H113" s="86" t="s">
        <v>3041</v>
      </c>
      <c r="I113" s="86" t="s">
        <v>3147</v>
      </c>
      <c r="J113" s="86"/>
      <c r="K113" s="300"/>
      <c r="L113" s="300"/>
    </row>
    <row r="114" spans="1:12">
      <c r="A114" s="86" t="s">
        <v>3081</v>
      </c>
      <c r="B114" s="86" t="s">
        <v>351</v>
      </c>
      <c r="C114" s="86">
        <v>1573601</v>
      </c>
      <c r="D114" s="86"/>
      <c r="E114" s="300">
        <v>6600</v>
      </c>
      <c r="F114" s="300"/>
      <c r="G114" s="300">
        <v>8082</v>
      </c>
      <c r="H114" s="86" t="s">
        <v>3215</v>
      </c>
      <c r="I114" s="86" t="s">
        <v>3174</v>
      </c>
      <c r="J114" s="86"/>
      <c r="K114" s="300"/>
      <c r="L114" s="300"/>
    </row>
    <row r="115" spans="1:12">
      <c r="A115" s="86" t="s">
        <v>3081</v>
      </c>
      <c r="B115" s="86" t="s">
        <v>351</v>
      </c>
      <c r="C115" s="86">
        <v>1575994</v>
      </c>
      <c r="D115" s="86"/>
      <c r="E115" s="300">
        <v>7252</v>
      </c>
      <c r="F115" s="300"/>
      <c r="G115" s="300">
        <v>8103</v>
      </c>
      <c r="H115" s="86" t="s">
        <v>3041</v>
      </c>
      <c r="I115" s="86" t="s">
        <v>3147</v>
      </c>
      <c r="J115" s="86"/>
      <c r="K115" s="300"/>
      <c r="L115" s="300"/>
    </row>
    <row r="116" spans="1:12">
      <c r="A116" s="86" t="s">
        <v>3081</v>
      </c>
      <c r="B116" s="86" t="s">
        <v>351</v>
      </c>
      <c r="C116" s="86">
        <v>1576221</v>
      </c>
      <c r="D116" s="86"/>
      <c r="E116" s="300">
        <v>5769</v>
      </c>
      <c r="F116" s="300"/>
      <c r="G116" s="300">
        <v>8103</v>
      </c>
      <c r="H116" s="86" t="s">
        <v>3215</v>
      </c>
      <c r="I116" s="86" t="s">
        <v>3164</v>
      </c>
      <c r="J116" s="86"/>
      <c r="K116" s="300"/>
      <c r="L116" s="300"/>
    </row>
    <row r="117" spans="1:12">
      <c r="A117" s="86" t="s">
        <v>3081</v>
      </c>
      <c r="B117" s="86" t="s">
        <v>351</v>
      </c>
      <c r="C117" s="86">
        <v>1588179</v>
      </c>
      <c r="D117" s="86"/>
      <c r="E117" s="300">
        <v>6451</v>
      </c>
      <c r="F117" s="300"/>
      <c r="G117" s="300">
        <v>8194</v>
      </c>
      <c r="H117" s="86" t="s">
        <v>3215</v>
      </c>
      <c r="I117" s="86" t="s">
        <v>2973</v>
      </c>
      <c r="J117" s="86" t="s">
        <v>845</v>
      </c>
      <c r="K117" s="300">
        <v>4423</v>
      </c>
      <c r="L117" s="300"/>
    </row>
    <row r="118" spans="1:12">
      <c r="A118" s="86" t="s">
        <v>3081</v>
      </c>
      <c r="B118" s="86" t="s">
        <v>351</v>
      </c>
      <c r="C118" s="86">
        <v>1591113</v>
      </c>
      <c r="D118" s="86"/>
      <c r="E118" s="300">
        <v>7547</v>
      </c>
      <c r="F118" s="300"/>
      <c r="G118" s="300">
        <v>8222</v>
      </c>
      <c r="H118" s="86" t="s">
        <v>3350</v>
      </c>
      <c r="I118" s="86" t="s">
        <v>3175</v>
      </c>
      <c r="J118" s="86"/>
      <c r="K118" s="300"/>
      <c r="L118" s="300"/>
    </row>
    <row r="119" spans="1:12">
      <c r="A119" s="86" t="s">
        <v>3081</v>
      </c>
      <c r="B119" s="86" t="s">
        <v>351</v>
      </c>
      <c r="C119" s="86">
        <v>1591833</v>
      </c>
      <c r="D119" s="86"/>
      <c r="E119" s="300">
        <v>7228</v>
      </c>
      <c r="F119" s="300"/>
      <c r="G119" s="300">
        <v>8222</v>
      </c>
      <c r="H119" s="86" t="s">
        <v>3215</v>
      </c>
      <c r="I119" s="86" t="s">
        <v>3176</v>
      </c>
      <c r="J119" s="86"/>
      <c r="K119" s="300"/>
      <c r="L119" s="300"/>
    </row>
    <row r="120" spans="1:12">
      <c r="A120" s="86" t="s">
        <v>3081</v>
      </c>
      <c r="B120" s="86" t="s">
        <v>351</v>
      </c>
      <c r="C120" s="86">
        <v>1591910</v>
      </c>
      <c r="D120" s="86"/>
      <c r="E120" s="300">
        <v>6048</v>
      </c>
      <c r="F120" s="300"/>
      <c r="G120" s="300">
        <v>8222</v>
      </c>
      <c r="H120" s="86" t="s">
        <v>3215</v>
      </c>
      <c r="I120" s="86" t="s">
        <v>3043</v>
      </c>
      <c r="J120" s="86"/>
      <c r="K120" s="300"/>
      <c r="L120" s="300"/>
    </row>
    <row r="121" spans="1:12">
      <c r="A121" s="86" t="s">
        <v>3081</v>
      </c>
      <c r="B121" s="86" t="s">
        <v>351</v>
      </c>
      <c r="C121" s="86">
        <v>1591911</v>
      </c>
      <c r="D121" s="86"/>
      <c r="E121" s="300">
        <v>6048</v>
      </c>
      <c r="F121" s="300"/>
      <c r="G121" s="300">
        <v>8222</v>
      </c>
      <c r="H121" s="86" t="s">
        <v>3215</v>
      </c>
      <c r="I121" s="86" t="s">
        <v>3178</v>
      </c>
      <c r="J121" s="86"/>
      <c r="K121" s="300"/>
      <c r="L121" s="300"/>
    </row>
    <row r="122" spans="1:12">
      <c r="A122" s="86" t="s">
        <v>3081</v>
      </c>
      <c r="B122" s="86" t="s">
        <v>351</v>
      </c>
      <c r="C122" s="86">
        <v>1594057</v>
      </c>
      <c r="D122" s="86"/>
      <c r="E122" s="300">
        <v>7547</v>
      </c>
      <c r="F122" s="300"/>
      <c r="G122" s="300">
        <v>8243</v>
      </c>
      <c r="H122" s="86" t="s">
        <v>3215</v>
      </c>
      <c r="I122" s="86" t="s">
        <v>3290</v>
      </c>
      <c r="J122" s="86"/>
      <c r="K122" s="300"/>
      <c r="L122" s="300"/>
    </row>
    <row r="123" spans="1:12">
      <c r="A123" s="86" t="s">
        <v>3081</v>
      </c>
      <c r="B123" s="86" t="s">
        <v>351</v>
      </c>
      <c r="C123" s="86">
        <v>1597439</v>
      </c>
      <c r="D123" s="86" t="s">
        <v>3179</v>
      </c>
      <c r="E123" s="300">
        <v>6836</v>
      </c>
      <c r="F123" s="300">
        <v>7689</v>
      </c>
      <c r="G123" s="300">
        <v>8271</v>
      </c>
      <c r="H123" s="86" t="s">
        <v>3215</v>
      </c>
      <c r="I123" s="86" t="s">
        <v>3293</v>
      </c>
      <c r="J123" s="86"/>
      <c r="K123" s="300"/>
      <c r="L123" s="300"/>
    </row>
    <row r="124" spans="1:12">
      <c r="A124" s="86" t="s">
        <v>3081</v>
      </c>
      <c r="B124" s="86" t="s">
        <v>351</v>
      </c>
      <c r="C124" s="86">
        <v>1600072</v>
      </c>
      <c r="D124" s="86"/>
      <c r="E124" s="300">
        <v>7760</v>
      </c>
      <c r="F124" s="300"/>
      <c r="G124" s="300">
        <v>8292</v>
      </c>
      <c r="H124" s="86" t="s">
        <v>3215</v>
      </c>
      <c r="I124" s="86" t="s">
        <v>2944</v>
      </c>
      <c r="J124" s="86" t="s">
        <v>845</v>
      </c>
      <c r="K124" s="300">
        <v>7495</v>
      </c>
      <c r="L124" s="300"/>
    </row>
    <row r="125" spans="1:12">
      <c r="A125" s="86" t="s">
        <v>3081</v>
      </c>
      <c r="B125" s="86" t="s">
        <v>351</v>
      </c>
      <c r="C125" s="86">
        <v>1600203</v>
      </c>
      <c r="D125" s="86"/>
      <c r="E125" s="300">
        <v>6635</v>
      </c>
      <c r="F125" s="300"/>
      <c r="G125" s="300">
        <v>8292</v>
      </c>
      <c r="H125" s="86" t="s">
        <v>3215</v>
      </c>
      <c r="I125" s="86" t="s">
        <v>2945</v>
      </c>
      <c r="J125" s="86"/>
      <c r="K125" s="300"/>
      <c r="L125" s="300"/>
    </row>
    <row r="126" spans="1:12">
      <c r="A126" s="86" t="s">
        <v>3081</v>
      </c>
      <c r="B126" s="86" t="s">
        <v>351</v>
      </c>
      <c r="C126" s="86">
        <v>1601902</v>
      </c>
      <c r="D126" s="86"/>
      <c r="E126" s="300">
        <v>7349</v>
      </c>
      <c r="F126" s="300"/>
      <c r="G126" s="300">
        <v>8313</v>
      </c>
      <c r="H126" s="86" t="s">
        <v>3215</v>
      </c>
      <c r="I126" s="86" t="s">
        <v>2946</v>
      </c>
      <c r="J126" s="86" t="s">
        <v>2947</v>
      </c>
      <c r="K126" s="300">
        <v>7017</v>
      </c>
      <c r="L126" s="300"/>
    </row>
    <row r="127" spans="1:12">
      <c r="A127" s="86" t="s">
        <v>3081</v>
      </c>
      <c r="B127" s="86" t="s">
        <v>351</v>
      </c>
      <c r="C127" s="86">
        <v>1610062</v>
      </c>
      <c r="D127" s="86"/>
      <c r="E127" s="300">
        <v>6984</v>
      </c>
      <c r="F127" s="300"/>
      <c r="G127" s="300">
        <v>8376</v>
      </c>
      <c r="H127" s="86" t="s">
        <v>3215</v>
      </c>
      <c r="I127" s="86" t="s">
        <v>3310</v>
      </c>
      <c r="J127" s="86" t="s">
        <v>786</v>
      </c>
      <c r="K127" s="300">
        <v>6633</v>
      </c>
      <c r="L127" s="300"/>
    </row>
    <row r="128" spans="1:12">
      <c r="A128" s="86" t="s">
        <v>3081</v>
      </c>
      <c r="B128" s="86" t="s">
        <v>351</v>
      </c>
      <c r="C128" s="86">
        <v>1615666</v>
      </c>
      <c r="D128" s="86"/>
      <c r="E128" s="300">
        <v>4777</v>
      </c>
      <c r="F128" s="300"/>
      <c r="G128" s="300">
        <v>8425</v>
      </c>
      <c r="H128" s="86" t="s">
        <v>3215</v>
      </c>
      <c r="I128" s="86" t="s">
        <v>3111</v>
      </c>
      <c r="J128" s="86"/>
      <c r="K128" s="300"/>
      <c r="L128" s="300"/>
    </row>
    <row r="129" spans="1:12">
      <c r="A129" s="86" t="s">
        <v>3081</v>
      </c>
      <c r="B129" s="86" t="s">
        <v>351</v>
      </c>
      <c r="C129" s="86">
        <v>1620447</v>
      </c>
      <c r="D129" s="86"/>
      <c r="E129" s="300">
        <v>7769</v>
      </c>
      <c r="F129" s="300"/>
      <c r="G129" s="300">
        <v>8467</v>
      </c>
      <c r="H129" s="86" t="s">
        <v>3215</v>
      </c>
      <c r="I129" s="86" t="s">
        <v>3311</v>
      </c>
      <c r="J129" s="86"/>
      <c r="K129" s="300"/>
      <c r="L129" s="300"/>
    </row>
    <row r="130" spans="1:12">
      <c r="A130" s="86" t="s">
        <v>3081</v>
      </c>
      <c r="B130" s="86" t="s">
        <v>351</v>
      </c>
      <c r="C130" s="86">
        <v>1620523</v>
      </c>
      <c r="D130" s="86"/>
      <c r="E130" s="300">
        <v>7570</v>
      </c>
      <c r="F130" s="300"/>
      <c r="G130" s="300">
        <v>8467</v>
      </c>
      <c r="H130" s="86" t="s">
        <v>3215</v>
      </c>
      <c r="I130" s="86" t="s">
        <v>3312</v>
      </c>
      <c r="J130" s="86" t="s">
        <v>786</v>
      </c>
      <c r="K130" s="300">
        <v>7278</v>
      </c>
      <c r="L130" s="300"/>
    </row>
    <row r="131" spans="1:12">
      <c r="A131" s="86" t="s">
        <v>3081</v>
      </c>
      <c r="B131" s="86" t="s">
        <v>351</v>
      </c>
      <c r="C131" s="86">
        <v>1621359</v>
      </c>
      <c r="D131" s="86"/>
      <c r="E131" s="300">
        <v>6247</v>
      </c>
      <c r="F131" s="300"/>
      <c r="G131" s="300">
        <v>8474</v>
      </c>
      <c r="H131" s="86" t="s">
        <v>3215</v>
      </c>
      <c r="I131" s="86" t="s">
        <v>3183</v>
      </c>
      <c r="J131" s="86"/>
      <c r="K131" s="300"/>
      <c r="L131" s="300"/>
    </row>
    <row r="132" spans="1:12">
      <c r="A132" s="86" t="s">
        <v>3081</v>
      </c>
      <c r="B132" s="86" t="s">
        <v>351</v>
      </c>
      <c r="C132" s="86">
        <v>1621360</v>
      </c>
      <c r="D132" s="86"/>
      <c r="E132" s="300">
        <v>6686</v>
      </c>
      <c r="F132" s="300"/>
      <c r="G132" s="300">
        <v>8474</v>
      </c>
      <c r="H132" s="86" t="s">
        <v>3215</v>
      </c>
      <c r="I132" s="86" t="s">
        <v>3184</v>
      </c>
      <c r="J132" s="86"/>
      <c r="K132" s="300"/>
      <c r="L132" s="300"/>
    </row>
    <row r="133" spans="1:12">
      <c r="A133" s="86" t="s">
        <v>3081</v>
      </c>
      <c r="B133" s="86" t="s">
        <v>351</v>
      </c>
      <c r="C133" s="86">
        <v>1623784</v>
      </c>
      <c r="D133" s="86"/>
      <c r="E133" s="300">
        <v>7060</v>
      </c>
      <c r="F133" s="300"/>
      <c r="G133" s="300">
        <v>8495</v>
      </c>
      <c r="H133" s="86" t="s">
        <v>3215</v>
      </c>
      <c r="I133" s="86" t="s">
        <v>3290</v>
      </c>
      <c r="J133" s="86"/>
      <c r="K133" s="300"/>
      <c r="L133" s="300"/>
    </row>
    <row r="134" spans="1:12">
      <c r="A134" s="86" t="s">
        <v>3081</v>
      </c>
      <c r="B134" s="86" t="s">
        <v>351</v>
      </c>
      <c r="C134" s="86">
        <v>1624762</v>
      </c>
      <c r="D134" s="86"/>
      <c r="E134" s="300">
        <v>8169</v>
      </c>
      <c r="F134" s="300"/>
      <c r="G134" s="300">
        <v>8502</v>
      </c>
      <c r="H134" s="86" t="s">
        <v>3215</v>
      </c>
      <c r="I134" s="86" t="s">
        <v>3185</v>
      </c>
      <c r="J134" s="86" t="s">
        <v>845</v>
      </c>
      <c r="K134" s="300">
        <v>7847</v>
      </c>
      <c r="L134" s="300"/>
    </row>
    <row r="135" spans="1:12">
      <c r="A135" s="86" t="s">
        <v>3081</v>
      </c>
      <c r="B135" s="86" t="s">
        <v>351</v>
      </c>
      <c r="C135" s="86">
        <v>1628410</v>
      </c>
      <c r="D135" s="86"/>
      <c r="E135" s="300">
        <v>7347</v>
      </c>
      <c r="F135" s="300"/>
      <c r="G135" s="300">
        <v>8530</v>
      </c>
      <c r="H135" s="86" t="s">
        <v>3215</v>
      </c>
      <c r="I135" s="86" t="s">
        <v>3186</v>
      </c>
      <c r="J135" s="86" t="s">
        <v>786</v>
      </c>
      <c r="K135" s="300">
        <v>7015</v>
      </c>
      <c r="L135" s="300"/>
    </row>
    <row r="136" spans="1:12">
      <c r="A136" s="86" t="s">
        <v>3081</v>
      </c>
      <c r="B136" s="86" t="s">
        <v>351</v>
      </c>
      <c r="C136" s="86">
        <v>1628456</v>
      </c>
      <c r="D136" s="86"/>
      <c r="E136" s="300">
        <v>6784</v>
      </c>
      <c r="F136" s="300"/>
      <c r="G136" s="300">
        <v>8530</v>
      </c>
      <c r="H136" s="86" t="s">
        <v>3215</v>
      </c>
      <c r="I136" s="86" t="s">
        <v>3187</v>
      </c>
      <c r="J136" s="86"/>
      <c r="K136" s="300"/>
      <c r="L136" s="300"/>
    </row>
    <row r="137" spans="1:12">
      <c r="A137" s="86" t="s">
        <v>3081</v>
      </c>
      <c r="B137" s="86" t="s">
        <v>351</v>
      </c>
      <c r="C137" s="86">
        <v>1631377</v>
      </c>
      <c r="D137" s="86"/>
      <c r="E137" s="300">
        <v>7721</v>
      </c>
      <c r="F137" s="300"/>
      <c r="G137" s="300">
        <v>8558</v>
      </c>
      <c r="H137" s="86" t="s">
        <v>3215</v>
      </c>
      <c r="I137" s="86" t="s">
        <v>3058</v>
      </c>
      <c r="J137" s="300" t="s">
        <v>845</v>
      </c>
      <c r="K137" s="300">
        <v>7378</v>
      </c>
      <c r="L137" s="300"/>
    </row>
    <row r="138" spans="1:12">
      <c r="A138" s="86" t="s">
        <v>3081</v>
      </c>
      <c r="B138" s="86" t="s">
        <v>351</v>
      </c>
      <c r="C138" s="86">
        <v>1631378</v>
      </c>
      <c r="D138" s="86"/>
      <c r="E138" s="300">
        <v>7094</v>
      </c>
      <c r="F138" s="300"/>
      <c r="G138" s="300">
        <v>8558</v>
      </c>
      <c r="H138" s="86" t="s">
        <v>3215</v>
      </c>
      <c r="I138" s="86" t="s">
        <v>3059</v>
      </c>
      <c r="J138" s="86"/>
      <c r="K138" s="300"/>
      <c r="L138" s="300"/>
    </row>
    <row r="139" spans="1:12">
      <c r="A139" s="86" t="s">
        <v>3081</v>
      </c>
      <c r="B139" s="86" t="s">
        <v>351</v>
      </c>
      <c r="C139" s="86">
        <v>1631379</v>
      </c>
      <c r="D139" s="86"/>
      <c r="E139" s="300">
        <v>7094</v>
      </c>
      <c r="F139" s="300"/>
      <c r="G139" s="300">
        <v>8558</v>
      </c>
      <c r="H139" s="86" t="s">
        <v>3215</v>
      </c>
      <c r="I139" s="86" t="s">
        <v>3060</v>
      </c>
      <c r="J139" s="86"/>
      <c r="K139" s="300"/>
      <c r="L139" s="300"/>
    </row>
    <row r="140" spans="1:12">
      <c r="A140" s="86" t="s">
        <v>3081</v>
      </c>
      <c r="B140" s="86" t="s">
        <v>351</v>
      </c>
      <c r="C140" s="86">
        <v>1632647</v>
      </c>
      <c r="D140" s="86"/>
      <c r="E140" s="300">
        <v>7694</v>
      </c>
      <c r="F140" s="300"/>
      <c r="G140" s="300">
        <v>8565</v>
      </c>
      <c r="H140" s="86" t="s">
        <v>3215</v>
      </c>
      <c r="I140" s="86" t="s">
        <v>3290</v>
      </c>
      <c r="J140" s="86"/>
      <c r="K140" s="300"/>
      <c r="L140" s="300"/>
    </row>
    <row r="141" spans="1:12">
      <c r="A141" s="86" t="s">
        <v>3081</v>
      </c>
      <c r="B141" s="86" t="s">
        <v>351</v>
      </c>
      <c r="C141" s="86">
        <v>1632769</v>
      </c>
      <c r="D141" s="86"/>
      <c r="E141" s="300">
        <v>8373</v>
      </c>
      <c r="F141" s="300"/>
      <c r="G141" s="300">
        <v>8565</v>
      </c>
      <c r="H141" s="86" t="s">
        <v>3215</v>
      </c>
      <c r="I141" s="86" t="s">
        <v>3061</v>
      </c>
      <c r="J141" s="86"/>
      <c r="K141" s="300"/>
      <c r="L141" s="300"/>
    </row>
    <row r="142" spans="1:12">
      <c r="A142" s="86" t="s">
        <v>3081</v>
      </c>
      <c r="B142" s="86" t="s">
        <v>351</v>
      </c>
      <c r="C142" s="86">
        <v>1635055</v>
      </c>
      <c r="D142" s="86"/>
      <c r="E142" s="300">
        <v>5858</v>
      </c>
      <c r="F142" s="300"/>
      <c r="G142" s="300">
        <v>8586</v>
      </c>
      <c r="H142" s="86" t="s">
        <v>3215</v>
      </c>
      <c r="I142" s="86" t="s">
        <v>3143</v>
      </c>
      <c r="J142" s="86"/>
      <c r="K142" s="300"/>
      <c r="L142" s="300"/>
    </row>
    <row r="143" spans="1:12">
      <c r="A143" s="86" t="s">
        <v>3081</v>
      </c>
      <c r="B143" s="86" t="s">
        <v>351</v>
      </c>
      <c r="C143" s="86">
        <v>1637034</v>
      </c>
      <c r="D143" s="86"/>
      <c r="E143" s="300">
        <v>7277</v>
      </c>
      <c r="F143" s="300"/>
      <c r="G143" s="300">
        <v>8607</v>
      </c>
      <c r="H143" s="86" t="s">
        <v>3215</v>
      </c>
      <c r="I143" s="86" t="s">
        <v>3062</v>
      </c>
      <c r="J143" s="86" t="s">
        <v>2951</v>
      </c>
      <c r="K143" s="300">
        <v>6931</v>
      </c>
      <c r="L143" s="300"/>
    </row>
    <row r="144" spans="1:12">
      <c r="A144" s="86" t="s">
        <v>3081</v>
      </c>
      <c r="B144" s="86" t="s">
        <v>351</v>
      </c>
      <c r="C144" s="86">
        <v>1637037</v>
      </c>
      <c r="D144" s="86"/>
      <c r="E144" s="300">
        <v>7641</v>
      </c>
      <c r="F144" s="300"/>
      <c r="G144" s="300">
        <v>8607</v>
      </c>
      <c r="H144" s="86" t="s">
        <v>3215</v>
      </c>
      <c r="I144" s="86" t="s">
        <v>2952</v>
      </c>
      <c r="J144" s="86" t="s">
        <v>786</v>
      </c>
      <c r="K144" s="300">
        <v>7329</v>
      </c>
      <c r="L144" s="300"/>
    </row>
    <row r="145" spans="1:12">
      <c r="A145" s="86" t="s">
        <v>3081</v>
      </c>
      <c r="B145" s="86" t="s">
        <v>351</v>
      </c>
      <c r="C145" s="86">
        <v>1638369</v>
      </c>
      <c r="D145" s="86"/>
      <c r="E145" s="300">
        <v>7767</v>
      </c>
      <c r="F145" s="300"/>
      <c r="G145" s="300">
        <v>8621</v>
      </c>
      <c r="H145" s="86" t="s">
        <v>3215</v>
      </c>
      <c r="I145" s="86" t="s">
        <v>3120</v>
      </c>
      <c r="J145" s="86" t="s">
        <v>845</v>
      </c>
      <c r="K145" s="300">
        <v>7442</v>
      </c>
      <c r="L145" s="300"/>
    </row>
    <row r="146" spans="1:12">
      <c r="A146" s="86" t="s">
        <v>3081</v>
      </c>
      <c r="B146" s="86" t="s">
        <v>351</v>
      </c>
      <c r="C146" s="86">
        <v>1640442</v>
      </c>
      <c r="D146" s="86"/>
      <c r="E146" s="300">
        <v>7495</v>
      </c>
      <c r="F146" s="300"/>
      <c r="G146" s="300">
        <v>8642</v>
      </c>
      <c r="H146" s="86" t="s">
        <v>3215</v>
      </c>
      <c r="I146" s="86" t="s">
        <v>2952</v>
      </c>
      <c r="J146" s="86" t="s">
        <v>786</v>
      </c>
      <c r="K146" s="300">
        <v>7139</v>
      </c>
      <c r="L146" s="300"/>
    </row>
    <row r="147" spans="1:12">
      <c r="A147" s="86" t="s">
        <v>3081</v>
      </c>
      <c r="B147" s="86" t="s">
        <v>351</v>
      </c>
      <c r="C147" s="86">
        <v>1640458</v>
      </c>
      <c r="D147" s="86"/>
      <c r="E147" s="300">
        <v>7428</v>
      </c>
      <c r="F147" s="300"/>
      <c r="G147" s="300">
        <v>8642</v>
      </c>
      <c r="H147" s="86" t="s">
        <v>3215</v>
      </c>
      <c r="I147" s="86" t="s">
        <v>2953</v>
      </c>
      <c r="J147" s="86" t="s">
        <v>845</v>
      </c>
      <c r="K147" s="300">
        <v>7097</v>
      </c>
      <c r="L147" s="300"/>
    </row>
    <row r="148" spans="1:12">
      <c r="A148" s="86" t="s">
        <v>3081</v>
      </c>
      <c r="B148" s="86" t="s">
        <v>351</v>
      </c>
      <c r="C148" s="86">
        <v>1641761</v>
      </c>
      <c r="D148" s="86"/>
      <c r="E148" s="300">
        <v>6837</v>
      </c>
      <c r="F148" s="300"/>
      <c r="G148" s="300">
        <v>8649</v>
      </c>
      <c r="H148" s="86" t="s">
        <v>3215</v>
      </c>
      <c r="I148" s="86" t="s">
        <v>3065</v>
      </c>
      <c r="J148" s="86"/>
      <c r="K148" s="300"/>
      <c r="L148" s="300"/>
    </row>
    <row r="149" spans="1:12">
      <c r="A149" s="86" t="s">
        <v>3081</v>
      </c>
      <c r="B149" s="86" t="s">
        <v>351</v>
      </c>
      <c r="C149" s="86">
        <v>1644712</v>
      </c>
      <c r="D149" s="86"/>
      <c r="E149" s="300">
        <v>7046</v>
      </c>
      <c r="F149" s="300"/>
      <c r="G149" s="300">
        <v>8684</v>
      </c>
      <c r="H149" s="86" t="s">
        <v>3215</v>
      </c>
      <c r="I149" s="86" t="s">
        <v>3066</v>
      </c>
      <c r="J149" s="86"/>
      <c r="K149" s="300"/>
      <c r="L149" s="300"/>
    </row>
    <row r="150" spans="1:12">
      <c r="A150" s="86" t="s">
        <v>3081</v>
      </c>
      <c r="B150" s="86" t="s">
        <v>351</v>
      </c>
      <c r="C150" s="86">
        <v>1646258</v>
      </c>
      <c r="D150" s="86"/>
      <c r="E150" s="300">
        <v>7621</v>
      </c>
      <c r="F150" s="300"/>
      <c r="G150" s="300">
        <v>8691</v>
      </c>
      <c r="H150" s="86" t="s">
        <v>3215</v>
      </c>
      <c r="I150" s="86" t="s">
        <v>3067</v>
      </c>
      <c r="J150" s="86"/>
      <c r="K150" s="300"/>
      <c r="L150" s="300"/>
    </row>
    <row r="151" spans="1:12">
      <c r="A151" s="86" t="s">
        <v>3081</v>
      </c>
      <c r="B151" s="86" t="s">
        <v>351</v>
      </c>
      <c r="C151" s="86">
        <v>1648677</v>
      </c>
      <c r="D151" s="86"/>
      <c r="E151" s="300">
        <v>8341</v>
      </c>
      <c r="F151" s="300"/>
      <c r="G151" s="300">
        <v>8712</v>
      </c>
      <c r="H151" s="86" t="s">
        <v>3215</v>
      </c>
      <c r="I151" s="86" t="s">
        <v>3068</v>
      </c>
      <c r="J151" s="86" t="s">
        <v>786</v>
      </c>
      <c r="K151" s="300">
        <v>8016</v>
      </c>
      <c r="L151" s="300"/>
    </row>
    <row r="152" spans="1:12">
      <c r="A152" s="86" t="s">
        <v>3081</v>
      </c>
      <c r="B152" s="86" t="s">
        <v>351</v>
      </c>
      <c r="C152" s="86">
        <v>1648679</v>
      </c>
      <c r="D152" s="86"/>
      <c r="E152" s="300">
        <v>6227</v>
      </c>
      <c r="F152" s="300"/>
      <c r="G152" s="300">
        <v>8712</v>
      </c>
      <c r="H152" s="86" t="s">
        <v>3215</v>
      </c>
      <c r="I152" s="86" t="s">
        <v>3290</v>
      </c>
      <c r="J152" s="86"/>
      <c r="K152" s="300"/>
      <c r="L152" s="300"/>
    </row>
    <row r="153" spans="1:12">
      <c r="A153" s="86" t="s">
        <v>3081</v>
      </c>
      <c r="B153" s="86" t="s">
        <v>351</v>
      </c>
      <c r="C153" s="86">
        <v>1648690</v>
      </c>
      <c r="D153" s="86"/>
      <c r="E153" s="300">
        <v>7414</v>
      </c>
      <c r="F153" s="300"/>
      <c r="G153" s="300">
        <v>8712</v>
      </c>
      <c r="H153" s="86" t="s">
        <v>3215</v>
      </c>
      <c r="I153" s="86" t="s">
        <v>2979</v>
      </c>
      <c r="J153" s="86" t="s">
        <v>845</v>
      </c>
      <c r="K153" s="300">
        <v>7076</v>
      </c>
      <c r="L153" s="300"/>
    </row>
    <row r="154" spans="1:12">
      <c r="A154" s="86" t="s">
        <v>3081</v>
      </c>
      <c r="B154" s="86" t="s">
        <v>351</v>
      </c>
      <c r="C154" s="86">
        <v>1650602</v>
      </c>
      <c r="D154" s="86"/>
      <c r="E154" s="300">
        <v>8065</v>
      </c>
      <c r="F154" s="300"/>
      <c r="G154" s="300">
        <v>8733</v>
      </c>
      <c r="H154" s="86" t="s">
        <v>3215</v>
      </c>
      <c r="I154" s="86" t="s">
        <v>3043</v>
      </c>
      <c r="J154" s="86"/>
      <c r="K154" s="300"/>
      <c r="L154" s="300"/>
    </row>
    <row r="155" spans="1:12">
      <c r="A155" s="86" t="s">
        <v>3081</v>
      </c>
      <c r="B155" s="86" t="s">
        <v>351</v>
      </c>
      <c r="C155" s="86">
        <v>1650605</v>
      </c>
      <c r="D155" s="86"/>
      <c r="E155" s="300">
        <v>8378</v>
      </c>
      <c r="F155" s="300"/>
      <c r="G155" s="300">
        <v>8733</v>
      </c>
      <c r="H155" s="86" t="s">
        <v>3215</v>
      </c>
      <c r="I155" s="86" t="s">
        <v>2945</v>
      </c>
      <c r="J155" s="86"/>
      <c r="K155" s="300"/>
      <c r="L155" s="300"/>
    </row>
    <row r="156" spans="1:12">
      <c r="A156" s="86" t="s">
        <v>3081</v>
      </c>
      <c r="B156" s="86" t="s">
        <v>351</v>
      </c>
      <c r="C156" s="86">
        <v>1651865</v>
      </c>
      <c r="D156" s="86"/>
      <c r="E156" s="300">
        <v>7041</v>
      </c>
      <c r="F156" s="300"/>
      <c r="G156" s="300">
        <v>8740</v>
      </c>
      <c r="H156" s="86" t="s">
        <v>3215</v>
      </c>
      <c r="I156" s="86"/>
      <c r="J156" s="86"/>
      <c r="K156" s="300"/>
      <c r="L156" s="300"/>
    </row>
    <row r="157" spans="1:12">
      <c r="A157" s="86" t="s">
        <v>3081</v>
      </c>
      <c r="B157" s="86" t="s">
        <v>351</v>
      </c>
      <c r="C157" s="86">
        <v>1655140</v>
      </c>
      <c r="D157" s="86"/>
      <c r="E157" s="300">
        <v>6054</v>
      </c>
      <c r="F157" s="300"/>
      <c r="G157" s="300">
        <v>8768</v>
      </c>
      <c r="H157" s="86" t="s">
        <v>3215</v>
      </c>
      <c r="I157" s="86" t="s">
        <v>3352</v>
      </c>
      <c r="J157" s="86"/>
      <c r="K157" s="300"/>
      <c r="L157" s="300"/>
    </row>
    <row r="158" spans="1:12">
      <c r="A158" s="86" t="s">
        <v>3081</v>
      </c>
      <c r="B158" s="86" t="s">
        <v>351</v>
      </c>
      <c r="C158" s="86">
        <v>1655141</v>
      </c>
      <c r="D158" s="86"/>
      <c r="E158" s="300">
        <v>7221</v>
      </c>
      <c r="F158" s="300"/>
      <c r="G158" s="300">
        <v>8768</v>
      </c>
      <c r="H158" s="86" t="s">
        <v>3215</v>
      </c>
      <c r="I158" s="86" t="s">
        <v>3352</v>
      </c>
      <c r="J158" s="86"/>
      <c r="K158" s="300"/>
      <c r="L158" s="300"/>
    </row>
    <row r="159" spans="1:12">
      <c r="A159" s="86" t="s">
        <v>3081</v>
      </c>
      <c r="B159" s="86" t="s">
        <v>351</v>
      </c>
      <c r="C159" s="86">
        <v>1655279</v>
      </c>
      <c r="D159" s="86"/>
      <c r="E159" s="300">
        <v>6538</v>
      </c>
      <c r="F159" s="300"/>
      <c r="G159" s="300">
        <v>8768</v>
      </c>
      <c r="H159" s="86" t="s">
        <v>3215</v>
      </c>
      <c r="I159" s="86" t="s">
        <v>3069</v>
      </c>
      <c r="J159" s="86"/>
      <c r="K159" s="300"/>
      <c r="L159" s="300"/>
    </row>
    <row r="160" spans="1:12">
      <c r="A160" s="86" t="s">
        <v>3081</v>
      </c>
      <c r="B160" s="86" t="s">
        <v>351</v>
      </c>
      <c r="C160" s="86">
        <v>1655290</v>
      </c>
      <c r="D160" s="86"/>
      <c r="E160" s="300">
        <v>8138</v>
      </c>
      <c r="F160" s="300"/>
      <c r="G160" s="300">
        <v>8768</v>
      </c>
      <c r="H160" s="86" t="s">
        <v>3215</v>
      </c>
      <c r="I160" s="86" t="s">
        <v>2954</v>
      </c>
      <c r="J160" s="86"/>
      <c r="K160" s="300"/>
      <c r="L160" s="300"/>
    </row>
    <row r="161" spans="1:12">
      <c r="A161" s="86" t="s">
        <v>3081</v>
      </c>
      <c r="B161" s="86" t="s">
        <v>351</v>
      </c>
      <c r="C161" s="86">
        <v>1655466</v>
      </c>
      <c r="D161" s="86"/>
      <c r="E161" s="300">
        <v>8926</v>
      </c>
      <c r="F161" s="300"/>
      <c r="G161" s="300">
        <v>8775</v>
      </c>
      <c r="H161" s="86" t="s">
        <v>3215</v>
      </c>
      <c r="I161" s="86" t="s">
        <v>3071</v>
      </c>
      <c r="J161" s="86"/>
      <c r="K161" s="300"/>
      <c r="L161" s="300"/>
    </row>
    <row r="162" spans="1:12">
      <c r="A162" s="86" t="s">
        <v>3081</v>
      </c>
      <c r="B162" s="86" t="s">
        <v>351</v>
      </c>
      <c r="C162" s="86">
        <v>1655488</v>
      </c>
      <c r="D162" s="86"/>
      <c r="E162" s="300">
        <v>7977</v>
      </c>
      <c r="F162" s="300"/>
      <c r="G162" s="300">
        <v>8775</v>
      </c>
      <c r="H162" s="86" t="s">
        <v>3215</v>
      </c>
      <c r="I162" s="86" t="s">
        <v>3072</v>
      </c>
      <c r="J162" s="86" t="s">
        <v>845</v>
      </c>
      <c r="K162" s="300">
        <v>7747</v>
      </c>
      <c r="L162" s="300"/>
    </row>
    <row r="163" spans="1:12">
      <c r="A163" s="86" t="s">
        <v>3081</v>
      </c>
      <c r="B163" s="86" t="s">
        <v>351</v>
      </c>
      <c r="C163" s="86">
        <v>1655502</v>
      </c>
      <c r="D163" s="86"/>
      <c r="E163" s="300">
        <v>8470</v>
      </c>
      <c r="F163" s="300"/>
      <c r="G163" s="300">
        <v>8775</v>
      </c>
      <c r="H163" s="86" t="s">
        <v>3215</v>
      </c>
      <c r="I163" s="86" t="s">
        <v>3424</v>
      </c>
      <c r="J163" s="86" t="s">
        <v>786</v>
      </c>
      <c r="K163" s="300">
        <v>8135</v>
      </c>
      <c r="L163" s="300"/>
    </row>
    <row r="164" spans="1:12">
      <c r="A164" s="86" t="s">
        <v>3081</v>
      </c>
      <c r="B164" s="86" t="s">
        <v>351</v>
      </c>
      <c r="C164" s="86">
        <v>1659613</v>
      </c>
      <c r="D164" s="86"/>
      <c r="E164" s="300">
        <v>7687</v>
      </c>
      <c r="F164" s="300"/>
      <c r="G164" s="300">
        <v>8817</v>
      </c>
      <c r="H164" s="86" t="s">
        <v>3215</v>
      </c>
      <c r="I164" s="86" t="s">
        <v>3073</v>
      </c>
      <c r="J164" s="86"/>
      <c r="K164" s="300"/>
      <c r="L164" s="300"/>
    </row>
    <row r="165" spans="1:12">
      <c r="A165" s="86" t="s">
        <v>3081</v>
      </c>
      <c r="B165" s="86" t="s">
        <v>351</v>
      </c>
      <c r="C165" s="86">
        <v>1707675</v>
      </c>
      <c r="D165" s="86"/>
      <c r="E165" s="300">
        <v>8424</v>
      </c>
      <c r="F165" s="300"/>
      <c r="G165" s="300">
        <v>9223</v>
      </c>
      <c r="H165" s="86" t="s">
        <v>3215</v>
      </c>
      <c r="I165" s="86" t="s">
        <v>3074</v>
      </c>
      <c r="J165" s="86"/>
      <c r="K165" s="300"/>
      <c r="L165" s="300"/>
    </row>
    <row r="166" spans="1:12">
      <c r="A166" s="86" t="s">
        <v>3081</v>
      </c>
      <c r="B166" s="86" t="s">
        <v>351</v>
      </c>
      <c r="C166" s="86">
        <v>1708743</v>
      </c>
      <c r="D166" s="86"/>
      <c r="E166" s="300">
        <v>8370</v>
      </c>
      <c r="F166" s="300"/>
      <c r="G166" s="300">
        <v>9230</v>
      </c>
      <c r="H166" s="86" t="s">
        <v>3215</v>
      </c>
      <c r="I166" s="86" t="s">
        <v>2944</v>
      </c>
      <c r="J166" s="86" t="s">
        <v>845</v>
      </c>
      <c r="K166" s="300">
        <v>8166</v>
      </c>
      <c r="L166" s="300"/>
    </row>
    <row r="167" spans="1:12">
      <c r="A167" s="86" t="s">
        <v>3081</v>
      </c>
      <c r="B167" s="86" t="s">
        <v>351</v>
      </c>
      <c r="C167" s="86">
        <v>1708756</v>
      </c>
      <c r="D167" s="86"/>
      <c r="E167" s="300">
        <v>7722</v>
      </c>
      <c r="F167" s="300"/>
      <c r="G167" s="300">
        <v>9230</v>
      </c>
      <c r="H167" s="86" t="s">
        <v>3215</v>
      </c>
      <c r="I167" s="86" t="s">
        <v>3205</v>
      </c>
      <c r="J167" s="86"/>
      <c r="K167" s="300"/>
      <c r="L167" s="300"/>
    </row>
    <row r="168" spans="1:12">
      <c r="A168" s="86" t="s">
        <v>3081</v>
      </c>
      <c r="B168" s="86" t="s">
        <v>351</v>
      </c>
      <c r="C168" s="86">
        <v>1708788</v>
      </c>
      <c r="D168" s="86"/>
      <c r="E168" s="300">
        <v>8740</v>
      </c>
      <c r="F168" s="300"/>
      <c r="G168" s="300">
        <v>9230</v>
      </c>
      <c r="H168" s="86" t="s">
        <v>3215</v>
      </c>
      <c r="I168" s="86" t="s">
        <v>3206</v>
      </c>
      <c r="J168" s="86"/>
      <c r="K168" s="300"/>
      <c r="L168" s="300"/>
    </row>
    <row r="169" spans="1:12">
      <c r="A169" s="86" t="s">
        <v>3081</v>
      </c>
      <c r="B169" s="86" t="s">
        <v>351</v>
      </c>
      <c r="C169" s="86">
        <v>1710428</v>
      </c>
      <c r="D169" s="86"/>
      <c r="E169" s="300">
        <v>7948</v>
      </c>
      <c r="F169" s="300"/>
      <c r="G169" s="300">
        <v>9244</v>
      </c>
      <c r="H169" s="86" t="s">
        <v>3215</v>
      </c>
      <c r="I169" s="86" t="s">
        <v>3207</v>
      </c>
      <c r="J169" s="86" t="s">
        <v>845</v>
      </c>
      <c r="K169" s="300">
        <v>7609</v>
      </c>
      <c r="L169" s="300"/>
    </row>
    <row r="170" spans="1:12">
      <c r="A170" s="86" t="s">
        <v>3081</v>
      </c>
      <c r="B170" s="86" t="s">
        <v>351</v>
      </c>
      <c r="C170" s="86">
        <v>1717283</v>
      </c>
      <c r="D170" s="86"/>
      <c r="E170" s="300">
        <v>8012</v>
      </c>
      <c r="F170" s="300"/>
      <c r="G170" s="300">
        <v>9293</v>
      </c>
      <c r="H170" s="86" t="s">
        <v>3215</v>
      </c>
      <c r="I170" s="86" t="s">
        <v>3208</v>
      </c>
      <c r="J170" s="86"/>
      <c r="K170" s="300"/>
      <c r="L170" s="300"/>
    </row>
    <row r="171" spans="1:12">
      <c r="A171" s="86" t="s">
        <v>3081</v>
      </c>
      <c r="B171" s="86" t="s">
        <v>351</v>
      </c>
      <c r="C171" s="86">
        <v>1718487</v>
      </c>
      <c r="D171" s="86"/>
      <c r="E171" s="300">
        <v>8167</v>
      </c>
      <c r="F171" s="300" t="s">
        <v>3209</v>
      </c>
      <c r="G171" s="300">
        <v>9307</v>
      </c>
      <c r="H171" s="86" t="s">
        <v>3215</v>
      </c>
      <c r="I171" s="86" t="s">
        <v>3210</v>
      </c>
      <c r="J171" s="86"/>
      <c r="K171" s="300"/>
      <c r="L171" s="300"/>
    </row>
    <row r="172" spans="1:12">
      <c r="A172" s="86" t="s">
        <v>3081</v>
      </c>
      <c r="B172" s="86" t="s">
        <v>351</v>
      </c>
      <c r="C172" s="86">
        <v>1721383</v>
      </c>
      <c r="D172" s="86"/>
      <c r="E172" s="300">
        <v>7060</v>
      </c>
      <c r="F172" s="300"/>
      <c r="G172" s="300">
        <v>9328</v>
      </c>
      <c r="H172" s="86" t="s">
        <v>3215</v>
      </c>
      <c r="I172" s="86" t="s">
        <v>3290</v>
      </c>
      <c r="J172" s="86"/>
      <c r="K172" s="300"/>
      <c r="L172" s="300"/>
    </row>
    <row r="173" spans="1:12">
      <c r="A173" s="86" t="s">
        <v>3081</v>
      </c>
      <c r="B173" s="86" t="s">
        <v>351</v>
      </c>
      <c r="C173" s="86">
        <v>1721384</v>
      </c>
      <c r="D173" s="86"/>
      <c r="E173" s="300">
        <v>8917</v>
      </c>
      <c r="F173" s="300"/>
      <c r="G173" s="300">
        <v>9328</v>
      </c>
      <c r="H173" s="86" t="s">
        <v>3215</v>
      </c>
      <c r="I173" s="86" t="s">
        <v>3290</v>
      </c>
      <c r="J173" s="86"/>
      <c r="K173" s="300"/>
      <c r="L173" s="300"/>
    </row>
    <row r="174" spans="1:12">
      <c r="A174" s="86" t="s">
        <v>3081</v>
      </c>
      <c r="B174" s="86" t="s">
        <v>351</v>
      </c>
      <c r="C174" s="86">
        <v>1722161</v>
      </c>
      <c r="D174" s="86"/>
      <c r="E174" s="300">
        <v>8373</v>
      </c>
      <c r="F174" s="300"/>
      <c r="G174" s="300">
        <v>9335</v>
      </c>
      <c r="H174" s="86" t="s">
        <v>3215</v>
      </c>
      <c r="I174" s="86" t="s">
        <v>3288</v>
      </c>
      <c r="J174" s="86"/>
      <c r="K174" s="300"/>
      <c r="L174" s="300"/>
    </row>
    <row r="175" spans="1:12">
      <c r="A175" s="86" t="s">
        <v>3081</v>
      </c>
      <c r="B175" s="86" t="s">
        <v>351</v>
      </c>
      <c r="C175" s="86">
        <v>1722176</v>
      </c>
      <c r="D175" s="86"/>
      <c r="E175" s="300">
        <v>8167</v>
      </c>
      <c r="F175" s="300"/>
      <c r="G175" s="300">
        <v>9335</v>
      </c>
      <c r="H175" s="86" t="s">
        <v>3215</v>
      </c>
      <c r="I175" s="86" t="s">
        <v>3211</v>
      </c>
      <c r="J175" s="86"/>
      <c r="K175" s="300"/>
      <c r="L175" s="300"/>
    </row>
    <row r="176" spans="1:12">
      <c r="A176" s="86" t="s">
        <v>3081</v>
      </c>
      <c r="B176" s="86" t="s">
        <v>351</v>
      </c>
      <c r="C176" s="86">
        <v>1722180</v>
      </c>
      <c r="D176" s="86"/>
      <c r="E176" s="300">
        <v>6438</v>
      </c>
      <c r="F176" s="300"/>
      <c r="G176" s="300">
        <v>9335</v>
      </c>
      <c r="H176" s="86" t="s">
        <v>3215</v>
      </c>
      <c r="I176" s="86" t="s">
        <v>3184</v>
      </c>
      <c r="J176" s="86"/>
      <c r="K176" s="300"/>
      <c r="L176" s="300"/>
    </row>
    <row r="177" spans="1:12">
      <c r="A177" s="86" t="s">
        <v>3081</v>
      </c>
      <c r="B177" s="86" t="s">
        <v>351</v>
      </c>
      <c r="C177" s="86">
        <v>1722195</v>
      </c>
      <c r="D177" s="86"/>
      <c r="E177" s="300">
        <v>8879</v>
      </c>
      <c r="F177" s="300"/>
      <c r="G177" s="300">
        <v>9335</v>
      </c>
      <c r="H177" s="86" t="s">
        <v>3215</v>
      </c>
      <c r="I177" s="86" t="s">
        <v>3083</v>
      </c>
      <c r="J177" s="86"/>
      <c r="K177" s="300"/>
      <c r="L177" s="300"/>
    </row>
    <row r="178" spans="1:12">
      <c r="A178" s="86" t="s">
        <v>3081</v>
      </c>
      <c r="B178" s="86" t="s">
        <v>351</v>
      </c>
      <c r="C178" s="86">
        <v>1723021</v>
      </c>
      <c r="D178" s="86"/>
      <c r="E178" s="300">
        <v>7487</v>
      </c>
      <c r="F178" s="300"/>
      <c r="G178" s="300">
        <v>9349</v>
      </c>
      <c r="H178" s="86" t="s">
        <v>3215</v>
      </c>
      <c r="I178" s="86" t="s">
        <v>3352</v>
      </c>
      <c r="J178" s="86"/>
      <c r="K178" s="300"/>
      <c r="L178" s="300"/>
    </row>
    <row r="179" spans="1:12">
      <c r="A179" s="86" t="s">
        <v>3081</v>
      </c>
      <c r="B179" s="86" t="s">
        <v>351</v>
      </c>
      <c r="C179" s="86">
        <v>1723862</v>
      </c>
      <c r="D179" s="86"/>
      <c r="E179" s="300">
        <v>6376</v>
      </c>
      <c r="F179" s="300"/>
      <c r="G179" s="300">
        <v>9349</v>
      </c>
      <c r="H179" s="86" t="s">
        <v>3215</v>
      </c>
      <c r="I179" s="86" t="s">
        <v>2979</v>
      </c>
      <c r="J179" s="86" t="s">
        <v>845</v>
      </c>
      <c r="K179" s="300">
        <v>5971</v>
      </c>
      <c r="L179" s="300"/>
    </row>
    <row r="180" spans="1:12">
      <c r="A180" s="86" t="s">
        <v>3081</v>
      </c>
      <c r="B180" s="86" t="s">
        <v>351</v>
      </c>
      <c r="C180" s="86">
        <v>1723920</v>
      </c>
      <c r="D180" s="86"/>
      <c r="E180" s="300">
        <v>7830</v>
      </c>
      <c r="F180" s="300"/>
      <c r="G180" s="300">
        <v>9349</v>
      </c>
      <c r="H180" s="86" t="s">
        <v>3215</v>
      </c>
      <c r="I180" s="86" t="s">
        <v>3211</v>
      </c>
      <c r="J180" s="86"/>
      <c r="K180" s="300"/>
      <c r="L180" s="300"/>
    </row>
    <row r="181" spans="1:12">
      <c r="A181" s="86" t="s">
        <v>3081</v>
      </c>
      <c r="B181" s="86" t="s">
        <v>351</v>
      </c>
      <c r="C181" s="86">
        <v>1724831</v>
      </c>
      <c r="D181" s="86"/>
      <c r="E181" s="300">
        <v>8202</v>
      </c>
      <c r="F181" s="300"/>
      <c r="G181" s="300">
        <v>9356</v>
      </c>
      <c r="H181" s="86" t="s">
        <v>3215</v>
      </c>
      <c r="I181" s="86" t="s">
        <v>3183</v>
      </c>
      <c r="J181" s="86"/>
      <c r="K181" s="300"/>
      <c r="L181" s="300"/>
    </row>
    <row r="182" spans="1:12">
      <c r="A182" s="86" t="s">
        <v>3081</v>
      </c>
      <c r="B182" s="86" t="s">
        <v>351</v>
      </c>
      <c r="C182" s="86">
        <v>1726365</v>
      </c>
      <c r="D182" s="86"/>
      <c r="E182" s="300">
        <v>8896</v>
      </c>
      <c r="F182" s="300"/>
      <c r="G182" s="300">
        <v>9370</v>
      </c>
      <c r="H182" s="86" t="s">
        <v>3215</v>
      </c>
      <c r="I182" s="86" t="s">
        <v>3169</v>
      </c>
      <c r="J182" s="86" t="s">
        <v>845</v>
      </c>
      <c r="K182" s="300">
        <v>8594</v>
      </c>
      <c r="L182" s="300"/>
    </row>
    <row r="183" spans="1:12">
      <c r="A183" s="86" t="s">
        <v>3081</v>
      </c>
      <c r="B183" s="86" t="s">
        <v>351</v>
      </c>
      <c r="C183" s="86">
        <v>1726480</v>
      </c>
      <c r="D183" s="86"/>
      <c r="E183" s="300">
        <v>8527</v>
      </c>
      <c r="F183" s="300"/>
      <c r="G183" s="300">
        <v>9370</v>
      </c>
      <c r="H183" s="86" t="s">
        <v>3215</v>
      </c>
      <c r="I183" s="86" t="s">
        <v>3084</v>
      </c>
      <c r="J183" s="86" t="s">
        <v>845</v>
      </c>
      <c r="K183" s="300">
        <v>8226</v>
      </c>
      <c r="L183" s="300"/>
    </row>
    <row r="184" spans="1:12">
      <c r="A184" s="86" t="s">
        <v>3081</v>
      </c>
      <c r="B184" s="86" t="s">
        <v>351</v>
      </c>
      <c r="C184" s="86">
        <v>1728034</v>
      </c>
      <c r="D184" s="86"/>
      <c r="E184" s="300">
        <v>7337</v>
      </c>
      <c r="F184" s="300"/>
      <c r="G184" s="300">
        <v>9384</v>
      </c>
      <c r="H184" s="86" t="s">
        <v>3215</v>
      </c>
      <c r="I184" s="86" t="s">
        <v>2946</v>
      </c>
      <c r="J184" s="86" t="s">
        <v>786</v>
      </c>
      <c r="K184" s="300">
        <v>7007</v>
      </c>
      <c r="L184" s="300"/>
    </row>
    <row r="185" spans="1:12">
      <c r="A185" s="86" t="s">
        <v>3081</v>
      </c>
      <c r="B185" s="86" t="s">
        <v>351</v>
      </c>
      <c r="C185" s="86">
        <v>1728048</v>
      </c>
      <c r="D185" s="86"/>
      <c r="E185" s="300">
        <v>8470</v>
      </c>
      <c r="F185" s="300"/>
      <c r="G185" s="300">
        <v>9384</v>
      </c>
      <c r="H185" s="86" t="s">
        <v>3215</v>
      </c>
      <c r="I185" s="86" t="s">
        <v>3213</v>
      </c>
      <c r="J185" s="86"/>
      <c r="K185" s="300"/>
      <c r="L185" s="300"/>
    </row>
    <row r="186" spans="1:12">
      <c r="A186" s="86" t="s">
        <v>3081</v>
      </c>
      <c r="B186" s="86" t="s">
        <v>351</v>
      </c>
      <c r="C186" s="86">
        <v>1728814</v>
      </c>
      <c r="D186" s="86"/>
      <c r="E186" s="300">
        <v>7686</v>
      </c>
      <c r="F186" s="300"/>
      <c r="G186" s="300">
        <v>9391</v>
      </c>
      <c r="H186" s="86" t="s">
        <v>3215</v>
      </c>
      <c r="I186" s="86" t="s">
        <v>3214</v>
      </c>
      <c r="J186" s="86" t="s">
        <v>786</v>
      </c>
      <c r="K186" s="300">
        <v>7328</v>
      </c>
      <c r="L186" s="300"/>
    </row>
    <row r="187" spans="1:12">
      <c r="A187" s="86" t="s">
        <v>3081</v>
      </c>
      <c r="B187" s="86" t="s">
        <v>351</v>
      </c>
      <c r="C187" s="86">
        <v>1731843</v>
      </c>
      <c r="D187" s="86"/>
      <c r="E187" s="300">
        <v>6726</v>
      </c>
      <c r="F187" s="300"/>
      <c r="G187" s="300">
        <v>9419</v>
      </c>
      <c r="H187" s="86" t="s">
        <v>3215</v>
      </c>
      <c r="I187" s="86" t="s">
        <v>3066</v>
      </c>
      <c r="J187" s="86" t="s">
        <v>786</v>
      </c>
      <c r="K187" s="300">
        <v>6370</v>
      </c>
      <c r="L187" s="300"/>
    </row>
    <row r="188" spans="1:12">
      <c r="A188" s="86" t="s">
        <v>3081</v>
      </c>
      <c r="B188" s="86" t="s">
        <v>351</v>
      </c>
      <c r="C188" s="86">
        <v>1733076</v>
      </c>
      <c r="D188" s="86"/>
      <c r="E188" s="300">
        <v>8515</v>
      </c>
      <c r="F188" s="300"/>
      <c r="G188" s="300">
        <v>9426</v>
      </c>
      <c r="H188" s="86" t="s">
        <v>3215</v>
      </c>
      <c r="I188" s="86" t="s">
        <v>3492</v>
      </c>
      <c r="J188" s="86" t="s">
        <v>702</v>
      </c>
      <c r="K188" s="300">
        <v>8169</v>
      </c>
      <c r="L188" s="300"/>
    </row>
    <row r="189" spans="1:12">
      <c r="A189" s="86" t="s">
        <v>3081</v>
      </c>
      <c r="B189" s="86" t="s">
        <v>351</v>
      </c>
      <c r="C189" s="86">
        <v>1733881</v>
      </c>
      <c r="D189" s="86"/>
      <c r="E189" s="300">
        <v>8054</v>
      </c>
      <c r="F189" s="300"/>
      <c r="G189" s="300">
        <v>9433</v>
      </c>
      <c r="H189" s="86" t="s">
        <v>3215</v>
      </c>
      <c r="I189" s="86" t="s">
        <v>3493</v>
      </c>
      <c r="J189" s="86"/>
      <c r="K189" s="300"/>
      <c r="L189" s="300"/>
    </row>
    <row r="190" spans="1:12">
      <c r="A190" s="86" t="s">
        <v>3081</v>
      </c>
      <c r="B190" s="86" t="s">
        <v>351</v>
      </c>
      <c r="C190" s="86">
        <v>1733882</v>
      </c>
      <c r="D190" s="86" t="s">
        <v>3494</v>
      </c>
      <c r="E190" s="300">
        <v>8054</v>
      </c>
      <c r="F190" s="300">
        <v>9111</v>
      </c>
      <c r="G190" s="300">
        <v>9433</v>
      </c>
      <c r="H190" s="86" t="s">
        <v>3215</v>
      </c>
      <c r="I190" s="86" t="s">
        <v>3493</v>
      </c>
      <c r="J190" s="86"/>
      <c r="K190" s="300"/>
      <c r="L190" s="300"/>
    </row>
    <row r="191" spans="1:12">
      <c r="A191" s="86" t="s">
        <v>3081</v>
      </c>
      <c r="B191" s="86" t="s">
        <v>351</v>
      </c>
      <c r="C191" s="86">
        <v>1734900</v>
      </c>
      <c r="D191" s="86" t="s">
        <v>3363</v>
      </c>
      <c r="E191" s="300">
        <v>6451</v>
      </c>
      <c r="F191" s="300">
        <v>7607</v>
      </c>
      <c r="G191" s="300">
        <v>9440</v>
      </c>
      <c r="H191" s="86" t="s">
        <v>3215</v>
      </c>
      <c r="I191" s="86" t="s">
        <v>2973</v>
      </c>
      <c r="J191" s="86"/>
      <c r="K191" s="300"/>
      <c r="L191" s="300"/>
    </row>
    <row r="192" spans="1:12">
      <c r="A192" s="86" t="s">
        <v>3081</v>
      </c>
      <c r="B192" s="86" t="s">
        <v>351</v>
      </c>
      <c r="C192" s="86">
        <v>1736766</v>
      </c>
      <c r="D192" s="86"/>
      <c r="E192" s="300">
        <v>6739</v>
      </c>
      <c r="F192" s="300"/>
      <c r="G192" s="300">
        <v>9454</v>
      </c>
      <c r="H192" s="86" t="s">
        <v>3215</v>
      </c>
      <c r="I192" s="86" t="s">
        <v>3425</v>
      </c>
      <c r="J192" s="86"/>
      <c r="K192" s="300"/>
      <c r="L192" s="300"/>
    </row>
    <row r="193" spans="1:12">
      <c r="A193" s="86" t="s">
        <v>3081</v>
      </c>
      <c r="B193" s="86" t="s">
        <v>351</v>
      </c>
      <c r="C193" s="86">
        <v>1736767</v>
      </c>
      <c r="D193" s="86"/>
      <c r="E193" s="300">
        <v>7878</v>
      </c>
      <c r="F193" s="300"/>
      <c r="G193" s="300">
        <v>9454</v>
      </c>
      <c r="H193" s="301"/>
      <c r="I193" s="86" t="s">
        <v>3425</v>
      </c>
      <c r="J193" s="86"/>
      <c r="K193" s="300"/>
      <c r="L193" s="300"/>
    </row>
    <row r="194" spans="1:12">
      <c r="A194" s="86" t="s">
        <v>3081</v>
      </c>
      <c r="B194" s="86" t="s">
        <v>351</v>
      </c>
      <c r="C194" s="86">
        <v>1740391</v>
      </c>
      <c r="D194" s="86"/>
      <c r="E194" s="300">
        <v>8748</v>
      </c>
      <c r="F194" s="300"/>
      <c r="G194" s="300">
        <v>9482</v>
      </c>
      <c r="H194" s="86" t="s">
        <v>3215</v>
      </c>
      <c r="I194" s="86" t="s">
        <v>2945</v>
      </c>
      <c r="J194" s="86"/>
      <c r="K194" s="300"/>
      <c r="L194" s="300"/>
    </row>
    <row r="195" spans="1:12">
      <c r="A195" s="86" t="s">
        <v>3081</v>
      </c>
      <c r="B195" s="86" t="s">
        <v>351</v>
      </c>
      <c r="C195" s="86">
        <v>1742153</v>
      </c>
      <c r="D195" s="86"/>
      <c r="E195" s="300">
        <v>7813</v>
      </c>
      <c r="F195" s="300"/>
      <c r="G195" s="300">
        <v>9496</v>
      </c>
      <c r="H195" s="86" t="s">
        <v>3215</v>
      </c>
      <c r="I195" s="86" t="s">
        <v>3364</v>
      </c>
      <c r="J195" s="86"/>
      <c r="K195" s="300"/>
      <c r="L195" s="300"/>
    </row>
    <row r="196" spans="1:12">
      <c r="A196" s="86" t="s">
        <v>3081</v>
      </c>
      <c r="B196" s="86" t="s">
        <v>351</v>
      </c>
      <c r="C196" s="86">
        <v>1742966</v>
      </c>
      <c r="D196" s="86"/>
      <c r="E196" s="300">
        <v>8887</v>
      </c>
      <c r="F196" s="300"/>
      <c r="G196" s="300">
        <v>9503</v>
      </c>
      <c r="H196" s="86" t="s">
        <v>3215</v>
      </c>
      <c r="I196" s="86" t="s">
        <v>3365</v>
      </c>
      <c r="J196" s="86" t="s">
        <v>845</v>
      </c>
      <c r="K196" s="300">
        <v>8608</v>
      </c>
      <c r="L196" s="300"/>
    </row>
    <row r="197" spans="1:12">
      <c r="A197" s="86" t="s">
        <v>3081</v>
      </c>
      <c r="B197" s="86" t="s">
        <v>351</v>
      </c>
      <c r="C197" s="86">
        <v>1749684</v>
      </c>
      <c r="D197" s="86"/>
      <c r="E197" s="300">
        <v>7757</v>
      </c>
      <c r="F197" s="300" t="s">
        <v>3097</v>
      </c>
      <c r="G197" s="300">
        <v>9559</v>
      </c>
      <c r="H197" s="86" t="s">
        <v>3215</v>
      </c>
      <c r="I197" s="86" t="s">
        <v>3111</v>
      </c>
      <c r="J197" s="86"/>
      <c r="K197" s="300"/>
      <c r="L197" s="300"/>
    </row>
    <row r="198" spans="1:12">
      <c r="A198" s="86" t="s">
        <v>3081</v>
      </c>
      <c r="B198" s="86" t="s">
        <v>351</v>
      </c>
      <c r="C198" s="86">
        <v>1749719</v>
      </c>
      <c r="D198" s="86"/>
      <c r="E198" s="300">
        <v>7278</v>
      </c>
      <c r="F198" s="300" t="s">
        <v>3098</v>
      </c>
      <c r="G198" s="300">
        <v>9559</v>
      </c>
      <c r="H198" s="86" t="s">
        <v>3215</v>
      </c>
      <c r="I198" s="86" t="s">
        <v>3099</v>
      </c>
      <c r="J198" s="300" t="s">
        <v>845</v>
      </c>
      <c r="K198" s="300">
        <v>8040</v>
      </c>
      <c r="L198" s="303" t="s">
        <v>3229</v>
      </c>
    </row>
    <row r="199" spans="1:12">
      <c r="A199" s="86" t="s">
        <v>3081</v>
      </c>
      <c r="B199" s="86" t="s">
        <v>351</v>
      </c>
      <c r="C199" s="86">
        <v>1751407</v>
      </c>
      <c r="D199" s="86"/>
      <c r="E199" s="300">
        <v>9248</v>
      </c>
      <c r="F199" s="300"/>
      <c r="G199" s="300">
        <v>9573</v>
      </c>
      <c r="H199" s="86" t="s">
        <v>3215</v>
      </c>
      <c r="I199" s="86" t="s">
        <v>3230</v>
      </c>
      <c r="J199" s="86" t="s">
        <v>845</v>
      </c>
      <c r="K199" s="300">
        <v>8887</v>
      </c>
      <c r="L199" s="300"/>
    </row>
    <row r="200" spans="1:12">
      <c r="A200" s="86" t="s">
        <v>3081</v>
      </c>
      <c r="B200" s="86" t="s">
        <v>351</v>
      </c>
      <c r="C200" s="86">
        <v>1751410</v>
      </c>
      <c r="D200" s="86"/>
      <c r="E200" s="300">
        <v>8175</v>
      </c>
      <c r="F200" s="300"/>
      <c r="G200" s="300">
        <v>9573</v>
      </c>
      <c r="H200" s="86" t="s">
        <v>3215</v>
      </c>
      <c r="I200" s="86" t="s">
        <v>3186</v>
      </c>
      <c r="J200" s="86" t="s">
        <v>786</v>
      </c>
      <c r="K200" s="300">
        <v>7846</v>
      </c>
      <c r="L200" s="300"/>
    </row>
    <row r="201" spans="1:12">
      <c r="A201" s="86" t="s">
        <v>3081</v>
      </c>
      <c r="B201" s="86" t="s">
        <v>351</v>
      </c>
      <c r="C201" s="86">
        <v>1751419</v>
      </c>
      <c r="D201" s="86" t="s">
        <v>3231</v>
      </c>
      <c r="E201" s="300">
        <v>8527</v>
      </c>
      <c r="F201" s="300">
        <v>8560</v>
      </c>
      <c r="G201" s="300">
        <v>9573</v>
      </c>
      <c r="H201" s="86" t="s">
        <v>3215</v>
      </c>
      <c r="I201" s="86" t="s">
        <v>3232</v>
      </c>
      <c r="J201" s="86"/>
      <c r="K201" s="300"/>
      <c r="L201" s="300"/>
    </row>
    <row r="202" spans="1:12">
      <c r="A202" s="86" t="s">
        <v>3081</v>
      </c>
      <c r="B202" s="86" t="s">
        <v>351</v>
      </c>
      <c r="C202" s="86">
        <v>1751434</v>
      </c>
      <c r="D202" s="86"/>
      <c r="E202" s="300">
        <v>8568</v>
      </c>
      <c r="F202" s="300"/>
      <c r="G202" s="300">
        <v>9573</v>
      </c>
      <c r="H202" s="86" t="s">
        <v>3215</v>
      </c>
      <c r="I202" s="86" t="s">
        <v>3233</v>
      </c>
      <c r="J202" s="86" t="s">
        <v>786</v>
      </c>
      <c r="K202" s="300">
        <v>8216</v>
      </c>
      <c r="L202" s="300"/>
    </row>
    <row r="203" spans="1:12">
      <c r="A203" s="86" t="s">
        <v>3081</v>
      </c>
      <c r="B203" s="86" t="s">
        <v>351</v>
      </c>
      <c r="C203" s="86">
        <v>1752828</v>
      </c>
      <c r="D203" s="86"/>
      <c r="E203" s="300">
        <v>8741</v>
      </c>
      <c r="F203" s="300"/>
      <c r="G203" s="300">
        <v>9587</v>
      </c>
      <c r="H203" s="86" t="s">
        <v>3215</v>
      </c>
      <c r="I203" s="86" t="s">
        <v>3234</v>
      </c>
      <c r="J203" s="86"/>
      <c r="K203" s="300"/>
      <c r="L203" s="300"/>
    </row>
    <row r="204" spans="1:12">
      <c r="A204" s="86" t="s">
        <v>3081</v>
      </c>
      <c r="B204" s="86" t="s">
        <v>351</v>
      </c>
      <c r="C204" s="86">
        <v>1752895</v>
      </c>
      <c r="D204" s="86"/>
      <c r="E204" s="300">
        <v>8705</v>
      </c>
      <c r="F204" s="300"/>
      <c r="G204" s="300">
        <v>9587</v>
      </c>
      <c r="H204" s="86" t="s">
        <v>3215</v>
      </c>
      <c r="I204" s="86" t="s">
        <v>2952</v>
      </c>
      <c r="J204" s="86" t="s">
        <v>786</v>
      </c>
      <c r="K204" s="300">
        <v>8370</v>
      </c>
      <c r="L204" s="300"/>
    </row>
    <row r="205" spans="1:12">
      <c r="A205" s="86" t="s">
        <v>3081</v>
      </c>
      <c r="B205" s="86" t="s">
        <v>351</v>
      </c>
      <c r="C205" s="86">
        <v>1760507</v>
      </c>
      <c r="D205" s="86"/>
      <c r="E205" s="300">
        <v>8482</v>
      </c>
      <c r="F205" s="300"/>
      <c r="G205" s="300">
        <v>9643</v>
      </c>
      <c r="H205" s="86" t="s">
        <v>3215</v>
      </c>
      <c r="I205" s="86" t="s">
        <v>3108</v>
      </c>
      <c r="J205" s="86" t="s">
        <v>845</v>
      </c>
      <c r="K205" s="300">
        <v>8133</v>
      </c>
      <c r="L205" s="300"/>
    </row>
    <row r="206" spans="1:12">
      <c r="A206" s="86" t="s">
        <v>3081</v>
      </c>
      <c r="B206" s="86" t="s">
        <v>351</v>
      </c>
      <c r="C206" s="86">
        <v>1765242</v>
      </c>
      <c r="D206" s="86"/>
      <c r="E206" s="300">
        <v>7781</v>
      </c>
      <c r="F206" s="300"/>
      <c r="G206" s="300">
        <v>9664</v>
      </c>
      <c r="H206" s="86" t="s">
        <v>3215</v>
      </c>
      <c r="I206" s="86" t="s">
        <v>3109</v>
      </c>
      <c r="J206" s="86" t="s">
        <v>845</v>
      </c>
      <c r="K206" s="300">
        <v>7563</v>
      </c>
      <c r="L206" s="300"/>
    </row>
    <row r="207" spans="1:12">
      <c r="A207" s="86" t="s">
        <v>3081</v>
      </c>
      <c r="B207" s="86" t="s">
        <v>351</v>
      </c>
      <c r="C207" s="86">
        <v>1765357</v>
      </c>
      <c r="D207" s="86"/>
      <c r="E207" s="300">
        <v>8889</v>
      </c>
      <c r="F207" s="300"/>
      <c r="G207" s="300">
        <v>9664</v>
      </c>
      <c r="H207" s="86" t="s">
        <v>3215</v>
      </c>
      <c r="I207" s="86" t="s">
        <v>3239</v>
      </c>
      <c r="J207" s="86" t="s">
        <v>845</v>
      </c>
      <c r="K207" s="300">
        <v>8537</v>
      </c>
      <c r="L207" s="300"/>
    </row>
    <row r="208" spans="1:12">
      <c r="A208" s="86" t="s">
        <v>3081</v>
      </c>
      <c r="B208" s="86" t="s">
        <v>351</v>
      </c>
      <c r="C208" s="86">
        <v>1768424</v>
      </c>
      <c r="D208" s="86"/>
      <c r="E208" s="300">
        <v>8852</v>
      </c>
      <c r="F208" s="300"/>
      <c r="G208" s="300">
        <v>9671</v>
      </c>
      <c r="H208" s="86" t="s">
        <v>3215</v>
      </c>
      <c r="I208" s="86" t="s">
        <v>3240</v>
      </c>
      <c r="J208" s="86" t="s">
        <v>845</v>
      </c>
      <c r="K208" s="300">
        <v>8504</v>
      </c>
      <c r="L208" s="300"/>
    </row>
    <row r="209" spans="1:12">
      <c r="A209" s="86" t="s">
        <v>3081</v>
      </c>
      <c r="B209" s="86" t="s">
        <v>351</v>
      </c>
      <c r="C209" s="86">
        <v>1769840</v>
      </c>
      <c r="D209" s="86"/>
      <c r="E209" s="300">
        <v>9003</v>
      </c>
      <c r="F209" s="300"/>
      <c r="G209" s="300">
        <v>9678</v>
      </c>
      <c r="H209" s="86" t="s">
        <v>3215</v>
      </c>
      <c r="I209" s="86" t="s">
        <v>3112</v>
      </c>
      <c r="J209" s="86"/>
      <c r="K209" s="300"/>
      <c r="L209" s="300"/>
    </row>
    <row r="210" spans="1:12">
      <c r="A210" s="86" t="s">
        <v>3081</v>
      </c>
      <c r="B210" s="86" t="s">
        <v>351</v>
      </c>
      <c r="C210" s="86">
        <v>1771915</v>
      </c>
      <c r="D210" s="86"/>
      <c r="E210" s="300">
        <v>8588</v>
      </c>
      <c r="F210" s="300"/>
      <c r="G210" s="300">
        <v>9706</v>
      </c>
      <c r="H210" s="86" t="s">
        <v>3215</v>
      </c>
      <c r="I210" s="86" t="s">
        <v>3113</v>
      </c>
      <c r="J210" s="86" t="s">
        <v>702</v>
      </c>
      <c r="K210" s="300">
        <v>8243</v>
      </c>
      <c r="L210" s="300"/>
    </row>
    <row r="211" spans="1:12">
      <c r="A211" s="86" t="s">
        <v>3081</v>
      </c>
      <c r="B211" s="86" t="s">
        <v>351</v>
      </c>
      <c r="C211" s="86">
        <v>1771927</v>
      </c>
      <c r="D211" s="86"/>
      <c r="E211" s="300">
        <v>7126</v>
      </c>
      <c r="F211" s="300"/>
      <c r="G211" s="300">
        <v>9706</v>
      </c>
      <c r="H211" s="86" t="s">
        <v>3215</v>
      </c>
      <c r="I211" s="86" t="s">
        <v>3493</v>
      </c>
      <c r="J211" s="86"/>
      <c r="K211" s="300"/>
      <c r="L211" s="300"/>
    </row>
    <row r="212" spans="1:12">
      <c r="A212" s="86" t="s">
        <v>3081</v>
      </c>
      <c r="B212" s="86" t="s">
        <v>351</v>
      </c>
      <c r="C212" s="86">
        <v>1771957</v>
      </c>
      <c r="D212" s="86"/>
      <c r="E212" s="300">
        <v>7812</v>
      </c>
      <c r="F212" s="300"/>
      <c r="G212" s="300">
        <v>9706</v>
      </c>
      <c r="H212" s="86" t="s">
        <v>3215</v>
      </c>
      <c r="I212" s="86" t="s">
        <v>3243</v>
      </c>
      <c r="J212" s="86"/>
      <c r="K212" s="300"/>
      <c r="L212" s="300"/>
    </row>
    <row r="213" spans="1:12">
      <c r="A213" s="86" t="s">
        <v>3081</v>
      </c>
      <c r="B213" s="86" t="s">
        <v>351</v>
      </c>
      <c r="C213" s="86">
        <v>1783806</v>
      </c>
      <c r="D213" s="86"/>
      <c r="E213" s="300">
        <v>9040</v>
      </c>
      <c r="F213" s="300"/>
      <c r="G213" s="300">
        <v>9832</v>
      </c>
      <c r="H213" s="86" t="s">
        <v>3215</v>
      </c>
      <c r="I213" s="86" t="s">
        <v>3108</v>
      </c>
      <c r="J213" s="86" t="s">
        <v>845</v>
      </c>
      <c r="K213" s="300">
        <v>8732</v>
      </c>
      <c r="L213" s="300"/>
    </row>
    <row r="214" spans="1:12">
      <c r="A214" s="86" t="s">
        <v>3081</v>
      </c>
      <c r="B214" s="86" t="s">
        <v>351</v>
      </c>
      <c r="C214" s="86">
        <v>1788228</v>
      </c>
      <c r="D214" s="86"/>
      <c r="E214" s="300">
        <v>9299</v>
      </c>
      <c r="F214" s="300"/>
      <c r="G214" s="300">
        <v>9867</v>
      </c>
      <c r="H214" s="86" t="s">
        <v>3215</v>
      </c>
      <c r="I214" s="86" t="s">
        <v>3116</v>
      </c>
      <c r="J214" s="86" t="s">
        <v>786</v>
      </c>
      <c r="K214" s="300">
        <v>9077</v>
      </c>
      <c r="L214" s="300"/>
    </row>
    <row r="215" spans="1:12">
      <c r="A215" s="86" t="s">
        <v>3081</v>
      </c>
      <c r="B215" s="86" t="s">
        <v>351</v>
      </c>
      <c r="C215" s="86">
        <v>1788231</v>
      </c>
      <c r="D215" s="86"/>
      <c r="E215" s="300">
        <v>8762</v>
      </c>
      <c r="F215" s="300"/>
      <c r="G215" s="300">
        <v>9867</v>
      </c>
      <c r="H215" s="86" t="s">
        <v>3215</v>
      </c>
      <c r="I215" s="86" t="s">
        <v>3117</v>
      </c>
      <c r="J215" s="86"/>
      <c r="K215" s="300"/>
      <c r="L215" s="300"/>
    </row>
    <row r="216" spans="1:12">
      <c r="A216" s="86" t="s">
        <v>3081</v>
      </c>
      <c r="B216" s="86" t="s">
        <v>351</v>
      </c>
      <c r="C216" s="86">
        <v>1788957</v>
      </c>
      <c r="D216" s="86"/>
      <c r="E216" s="300">
        <v>8527</v>
      </c>
      <c r="F216" s="300" t="s">
        <v>3118</v>
      </c>
      <c r="G216" s="300">
        <v>9874</v>
      </c>
      <c r="H216" s="86" t="s">
        <v>3215</v>
      </c>
      <c r="I216" s="86" t="s">
        <v>3373</v>
      </c>
      <c r="J216" s="86"/>
      <c r="K216" s="300"/>
      <c r="L216" s="300"/>
    </row>
    <row r="217" spans="1:12">
      <c r="A217" s="86" t="s">
        <v>3081</v>
      </c>
      <c r="B217" s="86" t="s">
        <v>351</v>
      </c>
      <c r="C217" s="86">
        <v>1791378</v>
      </c>
      <c r="D217" s="86"/>
      <c r="E217" s="300">
        <v>8491</v>
      </c>
      <c r="F217" s="300"/>
      <c r="G217" s="300">
        <v>9895</v>
      </c>
      <c r="H217" s="86" t="s">
        <v>3215</v>
      </c>
      <c r="I217" s="86" t="s">
        <v>3239</v>
      </c>
      <c r="J217" s="86" t="s">
        <v>845</v>
      </c>
      <c r="K217" s="300">
        <v>8156</v>
      </c>
      <c r="L217" s="300"/>
    </row>
    <row r="218" spans="1:12">
      <c r="A218" s="86" t="s">
        <v>3081</v>
      </c>
      <c r="B218" s="86" t="s">
        <v>351</v>
      </c>
      <c r="C218" s="86">
        <v>1791427</v>
      </c>
      <c r="D218" s="86"/>
      <c r="E218" s="300">
        <v>8617</v>
      </c>
      <c r="F218" s="300"/>
      <c r="G218" s="300">
        <v>9895</v>
      </c>
      <c r="H218" s="86" t="s">
        <v>3215</v>
      </c>
      <c r="I218" s="86" t="s">
        <v>3239</v>
      </c>
      <c r="J218" s="86" t="s">
        <v>845</v>
      </c>
      <c r="K218" s="300">
        <v>8306</v>
      </c>
      <c r="L218" s="300"/>
    </row>
    <row r="219" spans="1:12">
      <c r="A219" s="86" t="s">
        <v>3081</v>
      </c>
      <c r="B219" s="86" t="s">
        <v>351</v>
      </c>
      <c r="C219" s="86">
        <v>1794733</v>
      </c>
      <c r="D219" s="86"/>
      <c r="E219" s="300">
        <v>9364</v>
      </c>
      <c r="F219" s="300"/>
      <c r="G219" s="300">
        <v>9923</v>
      </c>
      <c r="H219" s="86" t="s">
        <v>3215</v>
      </c>
      <c r="I219" s="86" t="s">
        <v>3239</v>
      </c>
      <c r="J219" s="86" t="s">
        <v>845</v>
      </c>
      <c r="K219" s="300">
        <v>8206</v>
      </c>
      <c r="L219" s="300"/>
    </row>
    <row r="220" spans="1:12">
      <c r="A220" s="86" t="s">
        <v>3081</v>
      </c>
      <c r="B220" s="86" t="s">
        <v>351</v>
      </c>
      <c r="C220" s="86">
        <v>1795181</v>
      </c>
      <c r="D220" s="86"/>
      <c r="E220" s="300">
        <v>8519</v>
      </c>
      <c r="F220" s="300"/>
      <c r="G220" s="300">
        <v>9923</v>
      </c>
      <c r="H220" s="86" t="s">
        <v>3215</v>
      </c>
      <c r="I220" s="86" t="s">
        <v>3373</v>
      </c>
      <c r="J220" s="86"/>
      <c r="K220" s="300"/>
      <c r="L220" s="300"/>
    </row>
    <row r="221" spans="1:12">
      <c r="A221" s="86" t="s">
        <v>3081</v>
      </c>
      <c r="B221" s="86" t="s">
        <v>351</v>
      </c>
      <c r="C221" s="86">
        <v>1795195</v>
      </c>
      <c r="D221" s="86"/>
      <c r="E221" s="300">
        <v>8583</v>
      </c>
      <c r="F221" s="300"/>
      <c r="G221" s="300">
        <v>9923</v>
      </c>
      <c r="H221" s="86" t="s">
        <v>3215</v>
      </c>
      <c r="I221" s="86" t="s">
        <v>3374</v>
      </c>
      <c r="J221" s="86" t="s">
        <v>786</v>
      </c>
      <c r="K221" s="300">
        <v>8226</v>
      </c>
      <c r="L221" s="300"/>
    </row>
    <row r="222" spans="1:12">
      <c r="A222" s="86" t="s">
        <v>3081</v>
      </c>
      <c r="B222" s="86" t="s">
        <v>351</v>
      </c>
      <c r="C222" s="86">
        <v>1797031</v>
      </c>
      <c r="D222" s="86"/>
      <c r="E222" s="300">
        <v>7368</v>
      </c>
      <c r="F222" s="300"/>
      <c r="G222" s="300">
        <v>9937</v>
      </c>
      <c r="H222" s="86" t="s">
        <v>3215</v>
      </c>
      <c r="I222" s="86" t="s">
        <v>3208</v>
      </c>
      <c r="J222" s="86"/>
      <c r="K222" s="300"/>
      <c r="L222" s="300"/>
    </row>
    <row r="223" spans="1:12">
      <c r="A223" s="86" t="s">
        <v>3081</v>
      </c>
      <c r="B223" s="86" t="s">
        <v>351</v>
      </c>
      <c r="C223" s="86">
        <v>1799743</v>
      </c>
      <c r="D223" s="86"/>
      <c r="E223" s="300">
        <v>9580</v>
      </c>
      <c r="F223" s="300"/>
      <c r="G223" s="300">
        <v>9958</v>
      </c>
      <c r="H223" s="86" t="s">
        <v>3215</v>
      </c>
      <c r="I223" s="86" t="s">
        <v>3375</v>
      </c>
      <c r="J223" s="86" t="s">
        <v>786</v>
      </c>
      <c r="K223" s="300">
        <v>9213</v>
      </c>
      <c r="L223" s="300"/>
    </row>
    <row r="224" spans="1:12">
      <c r="A224" s="86" t="s">
        <v>3081</v>
      </c>
      <c r="B224" s="86" t="s">
        <v>351</v>
      </c>
      <c r="C224" s="86">
        <v>1800012</v>
      </c>
      <c r="D224" s="86"/>
      <c r="E224" s="300">
        <v>6793</v>
      </c>
      <c r="F224" s="300"/>
      <c r="G224" s="300">
        <v>9958</v>
      </c>
      <c r="H224" s="86" t="s">
        <v>3215</v>
      </c>
      <c r="I224" s="86" t="s">
        <v>3187</v>
      </c>
      <c r="J224" s="86"/>
      <c r="K224" s="300"/>
      <c r="L224" s="300"/>
    </row>
    <row r="225" spans="1:12">
      <c r="A225" s="86" t="s">
        <v>3081</v>
      </c>
      <c r="B225" s="86" t="s">
        <v>351</v>
      </c>
      <c r="C225" s="86">
        <v>1800037</v>
      </c>
      <c r="D225" s="86"/>
      <c r="E225" s="300">
        <v>9072</v>
      </c>
      <c r="F225" s="300"/>
      <c r="G225" s="300">
        <v>9958</v>
      </c>
      <c r="H225" s="86" t="s">
        <v>3215</v>
      </c>
      <c r="I225" s="86" t="s">
        <v>3376</v>
      </c>
      <c r="J225" s="86" t="s">
        <v>845</v>
      </c>
      <c r="K225" s="300">
        <v>8728</v>
      </c>
      <c r="L225" s="300"/>
    </row>
    <row r="226" spans="1:12">
      <c r="A226" s="86" t="s">
        <v>3081</v>
      </c>
      <c r="B226" s="86" t="s">
        <v>351</v>
      </c>
      <c r="C226" s="86">
        <v>1801102</v>
      </c>
      <c r="D226" s="86"/>
      <c r="E226" s="300">
        <v>9381</v>
      </c>
      <c r="F226" s="300"/>
      <c r="G226" s="300">
        <v>9965</v>
      </c>
      <c r="H226" s="86" t="s">
        <v>3215</v>
      </c>
      <c r="I226" s="86" t="s">
        <v>3249</v>
      </c>
      <c r="J226" s="86" t="s">
        <v>786</v>
      </c>
      <c r="K226" s="300">
        <v>9034</v>
      </c>
      <c r="L226" s="300"/>
    </row>
    <row r="227" spans="1:12">
      <c r="A227" s="86" t="s">
        <v>3081</v>
      </c>
      <c r="B227" s="86" t="s">
        <v>351</v>
      </c>
      <c r="C227" s="86">
        <v>1801108</v>
      </c>
      <c r="D227" s="86"/>
      <c r="E227" s="300">
        <v>7726</v>
      </c>
      <c r="F227" s="300" t="s">
        <v>3250</v>
      </c>
      <c r="G227" s="300">
        <v>9965</v>
      </c>
      <c r="H227" s="86" t="s">
        <v>3215</v>
      </c>
      <c r="I227" s="86" t="s">
        <v>3251</v>
      </c>
      <c r="J227" s="300" t="s">
        <v>786</v>
      </c>
      <c r="K227" s="300">
        <v>7370</v>
      </c>
      <c r="L227" s="300"/>
    </row>
    <row r="228" spans="1:12">
      <c r="A228" s="86" t="s">
        <v>3081</v>
      </c>
      <c r="B228" s="86" t="s">
        <v>351</v>
      </c>
      <c r="C228" s="86">
        <v>1801119</v>
      </c>
      <c r="D228" s="86"/>
      <c r="E228" s="300">
        <v>8082</v>
      </c>
      <c r="F228" s="300"/>
      <c r="G228" s="300">
        <v>9965</v>
      </c>
      <c r="H228" s="86" t="s">
        <v>3215</v>
      </c>
      <c r="I228" s="86" t="s">
        <v>3125</v>
      </c>
      <c r="J228" s="86" t="s">
        <v>786</v>
      </c>
      <c r="K228" s="300">
        <v>7725</v>
      </c>
      <c r="L228" s="300"/>
    </row>
    <row r="229" spans="1:12">
      <c r="A229" s="86" t="s">
        <v>3081</v>
      </c>
      <c r="B229" s="86" t="s">
        <v>351</v>
      </c>
      <c r="C229" s="86">
        <v>1804349</v>
      </c>
      <c r="D229" s="86"/>
      <c r="E229" s="300">
        <v>8957</v>
      </c>
      <c r="F229" s="300"/>
      <c r="G229" s="300">
        <v>9986</v>
      </c>
      <c r="H229" s="86" t="s">
        <v>3215</v>
      </c>
      <c r="I229" s="86" t="s">
        <v>2970</v>
      </c>
      <c r="J229" s="86"/>
      <c r="K229" s="300"/>
      <c r="L229" s="300"/>
    </row>
    <row r="230" spans="1:12">
      <c r="A230" s="86" t="s">
        <v>3081</v>
      </c>
      <c r="B230" s="86" t="s">
        <v>351</v>
      </c>
      <c r="C230" s="86">
        <v>1809661</v>
      </c>
      <c r="D230" s="86"/>
      <c r="E230" s="300">
        <v>9180</v>
      </c>
      <c r="F230" s="300"/>
      <c r="G230" s="300">
        <v>10021</v>
      </c>
      <c r="H230" s="86" t="s">
        <v>3215</v>
      </c>
      <c r="I230" s="86" t="s">
        <v>3111</v>
      </c>
      <c r="J230" s="86"/>
      <c r="K230" s="300"/>
      <c r="L230" s="300"/>
    </row>
    <row r="231" spans="1:12">
      <c r="A231" s="86" t="s">
        <v>3081</v>
      </c>
      <c r="B231" s="86" t="s">
        <v>351</v>
      </c>
      <c r="C231" s="86">
        <v>1812776</v>
      </c>
      <c r="D231" s="86"/>
      <c r="E231" s="300">
        <v>9262</v>
      </c>
      <c r="F231" s="300"/>
      <c r="G231" s="300">
        <v>10042</v>
      </c>
      <c r="H231" s="86" t="s">
        <v>3215</v>
      </c>
      <c r="I231" s="86" t="s">
        <v>3126</v>
      </c>
      <c r="J231" s="86"/>
      <c r="K231" s="300"/>
      <c r="L231" s="300"/>
    </row>
    <row r="232" spans="1:12">
      <c r="A232" s="86" t="s">
        <v>3081</v>
      </c>
      <c r="B232" s="86" t="s">
        <v>351</v>
      </c>
      <c r="C232" s="86">
        <v>1812745</v>
      </c>
      <c r="D232" s="86"/>
      <c r="E232" s="300">
        <v>9406</v>
      </c>
      <c r="F232" s="300"/>
      <c r="G232" s="300">
        <v>10042</v>
      </c>
      <c r="H232" s="86" t="s">
        <v>3215</v>
      </c>
      <c r="I232" s="86" t="s">
        <v>3127</v>
      </c>
      <c r="J232" s="86"/>
      <c r="K232" s="300"/>
      <c r="L232" s="300"/>
    </row>
    <row r="233" spans="1:12">
      <c r="A233" s="86" t="s">
        <v>3081</v>
      </c>
      <c r="B233" s="86" t="s">
        <v>351</v>
      </c>
      <c r="C233" s="86">
        <v>1815779</v>
      </c>
      <c r="D233" s="86"/>
      <c r="E233" s="300">
        <v>6726</v>
      </c>
      <c r="F233" s="300" t="s">
        <v>3128</v>
      </c>
      <c r="G233" s="300">
        <v>10063</v>
      </c>
      <c r="H233" s="86" t="s">
        <v>3215</v>
      </c>
      <c r="I233" s="86" t="s">
        <v>3129</v>
      </c>
      <c r="J233" s="86" t="s">
        <v>845</v>
      </c>
      <c r="K233" s="300">
        <v>6403</v>
      </c>
      <c r="L233" s="300"/>
    </row>
    <row r="234" spans="1:12">
      <c r="A234" s="86" t="s">
        <v>3081</v>
      </c>
      <c r="B234" s="86" t="s">
        <v>351</v>
      </c>
      <c r="C234" s="86">
        <v>1815784</v>
      </c>
      <c r="D234" s="86"/>
      <c r="E234" s="300">
        <v>8867</v>
      </c>
      <c r="F234" s="300"/>
      <c r="G234" s="300">
        <v>10063</v>
      </c>
      <c r="H234" s="86" t="s">
        <v>3215</v>
      </c>
      <c r="I234" s="86" t="s">
        <v>3130</v>
      </c>
      <c r="J234" s="86" t="s">
        <v>845</v>
      </c>
      <c r="K234" s="300">
        <v>8523</v>
      </c>
      <c r="L234" s="300"/>
    </row>
    <row r="235" spans="1:12">
      <c r="A235" s="86" t="s">
        <v>3081</v>
      </c>
      <c r="B235" s="86" t="s">
        <v>351</v>
      </c>
      <c r="C235" s="86">
        <v>1816683</v>
      </c>
      <c r="D235" s="86"/>
      <c r="E235" s="300">
        <v>8764</v>
      </c>
      <c r="F235" s="300"/>
      <c r="G235" s="300">
        <v>10070</v>
      </c>
      <c r="H235" s="86" t="s">
        <v>3215</v>
      </c>
      <c r="I235" s="86" t="s">
        <v>2995</v>
      </c>
      <c r="J235" s="86" t="s">
        <v>845</v>
      </c>
      <c r="K235" s="300">
        <v>8419</v>
      </c>
      <c r="L235" s="300"/>
    </row>
    <row r="236" spans="1:12">
      <c r="A236" s="86" t="s">
        <v>3081</v>
      </c>
      <c r="B236" s="86" t="s">
        <v>351</v>
      </c>
      <c r="C236" s="86">
        <v>1817746</v>
      </c>
      <c r="D236" s="86"/>
      <c r="E236" s="300">
        <v>9547</v>
      </c>
      <c r="F236" s="300"/>
      <c r="G236" s="300">
        <v>10077</v>
      </c>
      <c r="H236" s="86" t="s">
        <v>3215</v>
      </c>
      <c r="I236" s="86" t="s">
        <v>3131</v>
      </c>
      <c r="J236" s="86" t="s">
        <v>786</v>
      </c>
      <c r="K236" s="300">
        <v>9213</v>
      </c>
      <c r="L236" s="300"/>
    </row>
    <row r="237" spans="1:12">
      <c r="A237" s="86" t="s">
        <v>3081</v>
      </c>
      <c r="B237" s="86" t="s">
        <v>351</v>
      </c>
      <c r="C237" s="86">
        <v>1817783</v>
      </c>
      <c r="D237" s="86"/>
      <c r="E237" s="300">
        <v>8673</v>
      </c>
      <c r="F237" s="300"/>
      <c r="G237" s="300">
        <v>10077</v>
      </c>
      <c r="H237" s="86" t="s">
        <v>3215</v>
      </c>
      <c r="I237" s="86" t="s">
        <v>3132</v>
      </c>
      <c r="J237" s="86" t="s">
        <v>3133</v>
      </c>
      <c r="K237" s="300">
        <v>8338</v>
      </c>
      <c r="L237" s="300"/>
    </row>
    <row r="238" spans="1:12">
      <c r="A238" s="86" t="s">
        <v>3081</v>
      </c>
      <c r="B238" s="86" t="s">
        <v>351</v>
      </c>
      <c r="C238" s="86">
        <v>1820827</v>
      </c>
      <c r="D238" s="86"/>
      <c r="E238" s="300">
        <v>8250</v>
      </c>
      <c r="F238" s="300"/>
      <c r="G238" s="300">
        <v>10098</v>
      </c>
      <c r="H238" s="86" t="s">
        <v>3215</v>
      </c>
      <c r="I238" s="86" t="s">
        <v>3169</v>
      </c>
      <c r="J238" s="86" t="s">
        <v>845</v>
      </c>
      <c r="K238" s="300">
        <v>8124</v>
      </c>
      <c r="L238" s="300"/>
    </row>
    <row r="239" spans="1:12">
      <c r="A239" s="86" t="s">
        <v>3081</v>
      </c>
      <c r="B239" s="86" t="s">
        <v>351</v>
      </c>
      <c r="C239" s="86">
        <v>1821894</v>
      </c>
      <c r="D239" s="86"/>
      <c r="E239" s="300">
        <v>9127</v>
      </c>
      <c r="F239" s="300"/>
      <c r="G239" s="300">
        <v>10105</v>
      </c>
      <c r="H239" s="86" t="s">
        <v>3215</v>
      </c>
      <c r="I239" s="86" t="s">
        <v>3134</v>
      </c>
      <c r="J239" s="86" t="s">
        <v>3133</v>
      </c>
      <c r="K239" s="300">
        <v>8793</v>
      </c>
      <c r="L239" s="300"/>
    </row>
    <row r="240" spans="1:12">
      <c r="A240" s="86" t="s">
        <v>3081</v>
      </c>
      <c r="B240" s="86" t="s">
        <v>351</v>
      </c>
      <c r="C240" s="86">
        <v>1829756</v>
      </c>
      <c r="D240" s="86"/>
      <c r="E240" s="300">
        <v>9269</v>
      </c>
      <c r="F240" s="300"/>
      <c r="G240" s="300">
        <v>10168</v>
      </c>
      <c r="H240" s="86" t="s">
        <v>3215</v>
      </c>
      <c r="I240" s="86" t="s">
        <v>3135</v>
      </c>
      <c r="J240" s="86" t="s">
        <v>845</v>
      </c>
      <c r="K240" s="300">
        <v>7839</v>
      </c>
      <c r="L240" s="300"/>
    </row>
    <row r="241" spans="1:12">
      <c r="A241" s="86" t="s">
        <v>3081</v>
      </c>
      <c r="B241" s="86" t="s">
        <v>351</v>
      </c>
      <c r="C241" s="86">
        <v>1830598</v>
      </c>
      <c r="D241" s="86"/>
      <c r="E241" s="300">
        <v>9054</v>
      </c>
      <c r="F241" s="300"/>
      <c r="G241" s="300">
        <v>10168</v>
      </c>
      <c r="H241" s="86" t="s">
        <v>3215</v>
      </c>
      <c r="I241" s="86" t="s">
        <v>3352</v>
      </c>
      <c r="J241" s="86"/>
      <c r="K241" s="300"/>
      <c r="L241" s="300"/>
    </row>
    <row r="242" spans="1:12">
      <c r="A242" s="86" t="s">
        <v>3081</v>
      </c>
      <c r="B242" s="86" t="s">
        <v>351</v>
      </c>
      <c r="C242" s="86">
        <v>1832677</v>
      </c>
      <c r="D242" s="86"/>
      <c r="E242" s="300">
        <v>8156</v>
      </c>
      <c r="F242" s="300"/>
      <c r="G242" s="300">
        <v>10182</v>
      </c>
      <c r="H242" s="86" t="s">
        <v>3215</v>
      </c>
      <c r="I242" s="86" t="s">
        <v>3233</v>
      </c>
      <c r="J242" s="86" t="s">
        <v>786</v>
      </c>
      <c r="K242" s="300">
        <v>7833</v>
      </c>
      <c r="L242" s="300"/>
    </row>
    <row r="243" spans="1:12">
      <c r="A243" s="86" t="s">
        <v>3081</v>
      </c>
      <c r="B243" s="86" t="s">
        <v>351</v>
      </c>
      <c r="C243" s="86">
        <v>1832689</v>
      </c>
      <c r="D243" s="86"/>
      <c r="E243" s="300">
        <v>8476</v>
      </c>
      <c r="F243" s="300"/>
      <c r="G243" s="300">
        <v>10182</v>
      </c>
      <c r="H243" s="86" t="s">
        <v>3215</v>
      </c>
      <c r="I243" s="86" t="s">
        <v>2945</v>
      </c>
      <c r="J243" s="86"/>
      <c r="K243" s="300"/>
      <c r="L243" s="300"/>
    </row>
    <row r="244" spans="1:12">
      <c r="A244" s="86" t="s">
        <v>3081</v>
      </c>
      <c r="B244" s="86" t="s">
        <v>351</v>
      </c>
      <c r="C244" s="86">
        <v>1832751</v>
      </c>
      <c r="D244" s="86"/>
      <c r="E244" s="300">
        <v>9266</v>
      </c>
      <c r="F244" s="300"/>
      <c r="G244" s="300">
        <v>10182</v>
      </c>
      <c r="H244" s="86" t="s">
        <v>3215</v>
      </c>
      <c r="I244" s="86" t="s">
        <v>3136</v>
      </c>
      <c r="J244" s="86"/>
      <c r="K244" s="300"/>
      <c r="L244" s="300"/>
    </row>
    <row r="245" spans="1:12">
      <c r="A245" s="86" t="s">
        <v>3081</v>
      </c>
      <c r="B245" s="86" t="s">
        <v>351</v>
      </c>
      <c r="C245" s="86">
        <v>1834781</v>
      </c>
      <c r="D245" s="86"/>
      <c r="E245" s="300">
        <v>8400</v>
      </c>
      <c r="F245" s="300"/>
      <c r="G245" s="300">
        <v>10196</v>
      </c>
      <c r="H245" s="86" t="s">
        <v>3215</v>
      </c>
      <c r="I245" s="86" t="s">
        <v>3002</v>
      </c>
      <c r="J245" s="86"/>
      <c r="K245" s="300"/>
      <c r="L245" s="300"/>
    </row>
    <row r="246" spans="1:12">
      <c r="A246" s="86" t="s">
        <v>3081</v>
      </c>
      <c r="B246" s="86" t="s">
        <v>351</v>
      </c>
      <c r="C246" s="86">
        <v>1852840</v>
      </c>
      <c r="D246" s="86"/>
      <c r="E246" s="300">
        <v>8673</v>
      </c>
      <c r="F246" s="300"/>
      <c r="G246" s="300">
        <v>10322</v>
      </c>
      <c r="H246" s="86" t="s">
        <v>3215</v>
      </c>
      <c r="I246" s="86" t="s">
        <v>3139</v>
      </c>
      <c r="J246" s="86" t="s">
        <v>3133</v>
      </c>
      <c r="K246" s="300">
        <v>8387</v>
      </c>
      <c r="L246" s="300"/>
    </row>
    <row r="247" spans="1:12">
      <c r="A247" s="86" t="s">
        <v>3081</v>
      </c>
      <c r="B247" s="86" t="s">
        <v>351</v>
      </c>
      <c r="C247" s="86">
        <v>1853947</v>
      </c>
      <c r="D247" s="86"/>
      <c r="E247" s="300">
        <v>10029</v>
      </c>
      <c r="F247" s="300"/>
      <c r="G247" s="300">
        <v>10329</v>
      </c>
      <c r="H247" s="86" t="s">
        <v>3215</v>
      </c>
      <c r="I247" s="86" t="s">
        <v>3140</v>
      </c>
      <c r="J247" s="86" t="s">
        <v>786</v>
      </c>
      <c r="K247" s="300">
        <v>10038</v>
      </c>
      <c r="L247" s="300"/>
    </row>
    <row r="248" spans="1:12">
      <c r="A248" s="86" t="s">
        <v>3081</v>
      </c>
      <c r="B248" s="86" t="s">
        <v>351</v>
      </c>
      <c r="C248" s="86">
        <v>1854943</v>
      </c>
      <c r="D248" s="86"/>
      <c r="E248" s="300">
        <v>9705</v>
      </c>
      <c r="F248" s="300"/>
      <c r="G248" s="300">
        <v>10336</v>
      </c>
      <c r="H248" s="86" t="s">
        <v>3215</v>
      </c>
      <c r="I248" s="86" t="s">
        <v>3141</v>
      </c>
      <c r="J248" s="86" t="s">
        <v>845</v>
      </c>
      <c r="K248" s="300">
        <v>9360</v>
      </c>
      <c r="L248" s="300"/>
    </row>
    <row r="249" spans="1:12">
      <c r="A249" s="86" t="s">
        <v>3081</v>
      </c>
      <c r="B249" s="86" t="s">
        <v>351</v>
      </c>
      <c r="C249" s="86">
        <v>1854970</v>
      </c>
      <c r="D249" s="86"/>
      <c r="E249" s="300">
        <v>9994</v>
      </c>
      <c r="F249" s="300"/>
      <c r="G249" s="300">
        <v>10336</v>
      </c>
      <c r="H249" s="86" t="s">
        <v>3215</v>
      </c>
      <c r="I249" s="86" t="s">
        <v>3270</v>
      </c>
      <c r="J249" s="86" t="s">
        <v>845</v>
      </c>
      <c r="K249" s="300">
        <v>9636</v>
      </c>
      <c r="L249" s="300"/>
    </row>
    <row r="250" spans="1:12">
      <c r="A250" s="86" t="s">
        <v>3081</v>
      </c>
      <c r="B250" s="86" t="s">
        <v>351</v>
      </c>
      <c r="C250" s="86">
        <v>1854988</v>
      </c>
      <c r="D250" s="86"/>
      <c r="E250" s="300">
        <v>9127</v>
      </c>
      <c r="F250" s="300"/>
      <c r="G250" s="300">
        <v>10336</v>
      </c>
      <c r="H250" s="86" t="s">
        <v>3215</v>
      </c>
      <c r="I250" s="86" t="s">
        <v>3271</v>
      </c>
      <c r="J250" s="86" t="s">
        <v>3133</v>
      </c>
      <c r="K250" s="300">
        <v>8961</v>
      </c>
      <c r="L250" s="300"/>
    </row>
    <row r="251" spans="1:12">
      <c r="A251" s="86" t="s">
        <v>3081</v>
      </c>
      <c r="B251" s="86" t="s">
        <v>351</v>
      </c>
      <c r="C251" s="86">
        <v>1857165</v>
      </c>
      <c r="D251" s="86"/>
      <c r="E251" s="300">
        <v>9768</v>
      </c>
      <c r="F251" s="300"/>
      <c r="G251" s="300">
        <v>10357</v>
      </c>
      <c r="H251" s="86" t="s">
        <v>3215</v>
      </c>
      <c r="I251" s="86" t="s">
        <v>3061</v>
      </c>
      <c r="J251" s="86"/>
      <c r="K251" s="300"/>
      <c r="L251" s="300"/>
    </row>
    <row r="252" spans="1:12">
      <c r="A252" s="86" t="s">
        <v>3081</v>
      </c>
      <c r="B252" s="86" t="s">
        <v>351</v>
      </c>
      <c r="C252" s="86">
        <v>1857182</v>
      </c>
      <c r="D252" s="86"/>
      <c r="E252" s="300">
        <v>9672</v>
      </c>
      <c r="F252" s="300"/>
      <c r="G252" s="300">
        <v>10357</v>
      </c>
      <c r="H252" s="86" t="s">
        <v>3215</v>
      </c>
      <c r="I252" s="86" t="s">
        <v>3126</v>
      </c>
      <c r="J252" s="86"/>
      <c r="K252" s="300"/>
      <c r="L252" s="300"/>
    </row>
    <row r="253" spans="1:12">
      <c r="A253" s="86" t="s">
        <v>3081</v>
      </c>
      <c r="B253" s="86" t="s">
        <v>351</v>
      </c>
      <c r="C253" s="86">
        <v>1857203</v>
      </c>
      <c r="D253" s="86"/>
      <c r="E253" s="300">
        <v>9568</v>
      </c>
      <c r="F253" s="300"/>
      <c r="G253" s="300">
        <v>10357</v>
      </c>
      <c r="H253" s="86" t="s">
        <v>3215</v>
      </c>
      <c r="I253" s="86" t="s">
        <v>3272</v>
      </c>
      <c r="J253" s="86" t="s">
        <v>786</v>
      </c>
      <c r="K253" s="300">
        <v>9465</v>
      </c>
      <c r="L253" s="300"/>
    </row>
    <row r="254" spans="1:12">
      <c r="A254" s="86" t="s">
        <v>3081</v>
      </c>
      <c r="B254" s="86" t="s">
        <v>351</v>
      </c>
      <c r="C254" s="86">
        <v>1859092</v>
      </c>
      <c r="D254" s="86"/>
      <c r="E254" s="300">
        <v>9450</v>
      </c>
      <c r="F254" s="300"/>
      <c r="G254" s="300">
        <v>10364</v>
      </c>
      <c r="H254" s="86" t="s">
        <v>3215</v>
      </c>
      <c r="I254" s="86" t="s">
        <v>3230</v>
      </c>
      <c r="J254" s="86" t="s">
        <v>845</v>
      </c>
      <c r="K254" s="300">
        <v>9121</v>
      </c>
      <c r="L254" s="300"/>
    </row>
    <row r="255" spans="1:12">
      <c r="A255" s="86" t="s">
        <v>3081</v>
      </c>
      <c r="B255" s="86" t="s">
        <v>351</v>
      </c>
      <c r="C255" s="86">
        <v>1859661</v>
      </c>
      <c r="D255" s="86"/>
      <c r="E255" s="300">
        <v>9010</v>
      </c>
      <c r="F255" s="300"/>
      <c r="G255" s="300">
        <v>10371</v>
      </c>
      <c r="H255" s="86" t="s">
        <v>3273</v>
      </c>
      <c r="I255" s="86" t="s">
        <v>3184</v>
      </c>
      <c r="J255" s="86"/>
      <c r="K255" s="300"/>
      <c r="L255" s="300"/>
    </row>
    <row r="256" spans="1:12">
      <c r="A256" s="86" t="s">
        <v>3081</v>
      </c>
      <c r="B256" s="86" t="s">
        <v>351</v>
      </c>
      <c r="C256" s="86">
        <v>1861271</v>
      </c>
      <c r="D256" s="86"/>
      <c r="E256" s="300">
        <v>9573</v>
      </c>
      <c r="F256" s="300"/>
      <c r="G256" s="300">
        <v>10378</v>
      </c>
      <c r="H256" s="86" t="s">
        <v>3215</v>
      </c>
      <c r="I256" s="86" t="s">
        <v>3274</v>
      </c>
      <c r="J256" s="86" t="s">
        <v>845</v>
      </c>
      <c r="K256" s="300">
        <v>9227</v>
      </c>
      <c r="L256" s="300"/>
    </row>
    <row r="257" spans="1:12">
      <c r="A257" s="86" t="s">
        <v>3081</v>
      </c>
      <c r="B257" s="86" t="s">
        <v>351</v>
      </c>
      <c r="C257" s="86">
        <v>1862351</v>
      </c>
      <c r="D257" s="86"/>
      <c r="E257" s="300">
        <v>9931</v>
      </c>
      <c r="F257" s="300"/>
      <c r="G257" s="300">
        <v>10385</v>
      </c>
      <c r="H257" s="86" t="s">
        <v>3215</v>
      </c>
      <c r="I257" s="86" t="s">
        <v>3275</v>
      </c>
      <c r="J257" s="86" t="s">
        <v>3133</v>
      </c>
      <c r="K257" s="300">
        <v>9575</v>
      </c>
      <c r="L257" s="300"/>
    </row>
    <row r="258" spans="1:12">
      <c r="A258" s="86" t="s">
        <v>3081</v>
      </c>
      <c r="B258" s="86" t="s">
        <v>351</v>
      </c>
      <c r="C258" s="86">
        <v>1867418</v>
      </c>
      <c r="D258" s="86"/>
      <c r="E258" s="300">
        <v>9971</v>
      </c>
      <c r="F258" s="300"/>
      <c r="G258" s="300">
        <v>10420</v>
      </c>
      <c r="H258" s="86" t="s">
        <v>3215</v>
      </c>
      <c r="I258" s="86" t="s">
        <v>3365</v>
      </c>
      <c r="J258" s="86" t="s">
        <v>845</v>
      </c>
      <c r="K258" s="300">
        <v>9618</v>
      </c>
      <c r="L258" s="300"/>
    </row>
    <row r="259" spans="1:12">
      <c r="A259" s="86" t="s">
        <v>3081</v>
      </c>
      <c r="B259" s="86" t="s">
        <v>351</v>
      </c>
      <c r="C259" s="86">
        <v>1869998</v>
      </c>
      <c r="D259" s="86"/>
      <c r="E259" s="300">
        <v>9496</v>
      </c>
      <c r="F259" s="300"/>
      <c r="G259" s="300">
        <v>10441</v>
      </c>
      <c r="H259" s="86" t="s">
        <v>3215</v>
      </c>
      <c r="I259" s="86" t="s">
        <v>3211</v>
      </c>
      <c r="J259" s="86"/>
      <c r="K259" s="300"/>
      <c r="L259" s="300"/>
    </row>
    <row r="260" spans="1:12">
      <c r="A260" s="86" t="s">
        <v>3081</v>
      </c>
      <c r="B260" s="86" t="s">
        <v>351</v>
      </c>
      <c r="C260" s="86">
        <v>1873776</v>
      </c>
      <c r="D260" s="86"/>
      <c r="E260" s="300">
        <v>8125</v>
      </c>
      <c r="F260" s="300"/>
      <c r="G260" s="300">
        <v>10462</v>
      </c>
      <c r="H260" s="86" t="s">
        <v>3215</v>
      </c>
      <c r="I260" s="86" t="s">
        <v>3276</v>
      </c>
      <c r="J260" s="86"/>
      <c r="K260" s="300"/>
      <c r="L260" s="300"/>
    </row>
    <row r="261" spans="1:12">
      <c r="A261" s="86" t="s">
        <v>3081</v>
      </c>
      <c r="B261" s="86" t="s">
        <v>351</v>
      </c>
      <c r="C261" s="86">
        <v>1888851</v>
      </c>
      <c r="D261" s="86"/>
      <c r="E261" s="300">
        <v>10148</v>
      </c>
      <c r="F261" s="300"/>
      <c r="G261" s="300">
        <v>10553</v>
      </c>
      <c r="H261" s="86" t="s">
        <v>3215</v>
      </c>
      <c r="I261" s="86" t="s">
        <v>3148</v>
      </c>
      <c r="J261" s="86"/>
      <c r="K261" s="300"/>
      <c r="L261" s="300"/>
    </row>
    <row r="262" spans="1:12">
      <c r="A262" s="86" t="s">
        <v>3081</v>
      </c>
      <c r="B262" s="86" t="s">
        <v>351</v>
      </c>
      <c r="C262" s="86">
        <v>1888855</v>
      </c>
      <c r="D262" s="86"/>
      <c r="E262" s="300">
        <v>9486</v>
      </c>
      <c r="F262" s="300"/>
      <c r="G262" s="300">
        <v>10553</v>
      </c>
      <c r="H262" s="86" t="s">
        <v>3215</v>
      </c>
      <c r="I262" s="86" t="s">
        <v>3174</v>
      </c>
      <c r="J262" s="86"/>
      <c r="K262" s="300"/>
      <c r="L262" s="300"/>
    </row>
    <row r="263" spans="1:12">
      <c r="A263" s="86" t="s">
        <v>3081</v>
      </c>
      <c r="B263" s="86" t="s">
        <v>351</v>
      </c>
      <c r="C263" s="86">
        <v>1889598</v>
      </c>
      <c r="D263" s="86"/>
      <c r="E263" s="300">
        <v>8921</v>
      </c>
      <c r="F263" s="300"/>
      <c r="G263" s="300">
        <v>10560</v>
      </c>
      <c r="H263" s="86" t="s">
        <v>3215</v>
      </c>
      <c r="I263" s="86" t="s">
        <v>3039</v>
      </c>
      <c r="J263" s="86"/>
      <c r="K263" s="300"/>
      <c r="L263" s="300"/>
    </row>
    <row r="264" spans="1:12">
      <c r="A264" s="86" t="s">
        <v>3081</v>
      </c>
      <c r="B264" s="86" t="s">
        <v>351</v>
      </c>
      <c r="C264" s="86" t="s">
        <v>3149</v>
      </c>
      <c r="D264" s="86"/>
      <c r="E264" s="300">
        <v>9905</v>
      </c>
      <c r="F264" s="300"/>
      <c r="G264" s="300">
        <v>10588</v>
      </c>
      <c r="H264" s="86" t="s">
        <v>3215</v>
      </c>
      <c r="I264" s="86" t="s">
        <v>3414</v>
      </c>
      <c r="J264" s="86"/>
      <c r="K264" s="300"/>
      <c r="L264" s="300"/>
    </row>
    <row r="265" spans="1:12">
      <c r="A265" s="86" t="s">
        <v>3081</v>
      </c>
      <c r="B265" s="86" t="s">
        <v>351</v>
      </c>
      <c r="C265" s="86">
        <v>1898784</v>
      </c>
      <c r="D265" s="86"/>
      <c r="E265" s="300">
        <v>9901</v>
      </c>
      <c r="F265" s="300"/>
      <c r="G265" s="300">
        <v>10644</v>
      </c>
      <c r="H265" s="86" t="s">
        <v>3215</v>
      </c>
      <c r="I265" s="86" t="s">
        <v>3207</v>
      </c>
      <c r="J265" s="86" t="s">
        <v>845</v>
      </c>
      <c r="K265" s="300">
        <v>9580</v>
      </c>
      <c r="L265" s="300"/>
    </row>
    <row r="266" spans="1:12">
      <c r="A266" s="86" t="s">
        <v>3081</v>
      </c>
      <c r="B266" s="86" t="s">
        <v>351</v>
      </c>
      <c r="C266" s="86">
        <v>1899587</v>
      </c>
      <c r="D266" s="86"/>
      <c r="E266" s="300">
        <v>10128</v>
      </c>
      <c r="F266" s="300"/>
      <c r="G266" s="300">
        <v>10651</v>
      </c>
      <c r="H266" s="86" t="s">
        <v>3215</v>
      </c>
      <c r="I266" s="86" t="s">
        <v>3415</v>
      </c>
      <c r="J266" s="86" t="s">
        <v>2781</v>
      </c>
      <c r="K266" s="300">
        <v>9800</v>
      </c>
      <c r="L266" s="300"/>
    </row>
    <row r="267" spans="1:12">
      <c r="A267" s="86" t="s">
        <v>3081</v>
      </c>
      <c r="B267" s="86" t="s">
        <v>351</v>
      </c>
      <c r="C267" s="86">
        <v>1900463</v>
      </c>
      <c r="D267" s="86"/>
      <c r="E267" s="300">
        <v>8711</v>
      </c>
      <c r="F267" s="300"/>
      <c r="G267" s="300">
        <v>10658</v>
      </c>
      <c r="H267" s="86" t="s">
        <v>3215</v>
      </c>
      <c r="I267" s="86" t="s">
        <v>3210</v>
      </c>
      <c r="J267" s="86"/>
      <c r="K267" s="300"/>
      <c r="L267" s="300"/>
    </row>
    <row r="268" spans="1:12">
      <c r="A268" s="86" t="s">
        <v>3081</v>
      </c>
      <c r="B268" s="86" t="s">
        <v>351</v>
      </c>
      <c r="C268" s="86">
        <v>1904105</v>
      </c>
      <c r="D268" s="86"/>
      <c r="E268" s="300">
        <v>7787</v>
      </c>
      <c r="F268" s="300"/>
      <c r="G268" s="300">
        <v>10700</v>
      </c>
      <c r="H268" s="86" t="s">
        <v>3215</v>
      </c>
      <c r="I268" s="86" t="s">
        <v>3416</v>
      </c>
      <c r="J268" s="86" t="s">
        <v>786</v>
      </c>
      <c r="K268" s="300">
        <v>7449</v>
      </c>
      <c r="L268" s="300"/>
    </row>
    <row r="269" spans="1:12">
      <c r="A269" s="86" t="s">
        <v>3081</v>
      </c>
      <c r="B269" s="86" t="s">
        <v>3301</v>
      </c>
      <c r="C269" s="86">
        <v>2066317</v>
      </c>
      <c r="D269" s="86"/>
      <c r="E269" s="300">
        <v>10367</v>
      </c>
      <c r="F269" s="300"/>
      <c r="G269" s="300">
        <v>12058</v>
      </c>
      <c r="H269" s="86" t="s">
        <v>3302</v>
      </c>
      <c r="I269" s="86" t="s">
        <v>3303</v>
      </c>
      <c r="J269" s="86"/>
      <c r="K269" s="300"/>
      <c r="L269" s="300"/>
    </row>
    <row r="270" spans="1:12">
      <c r="A270" s="86" t="s">
        <v>3081</v>
      </c>
      <c r="B270" s="86" t="s">
        <v>3301</v>
      </c>
      <c r="C270" s="86">
        <v>2069079</v>
      </c>
      <c r="D270" s="86"/>
      <c r="E270" s="300">
        <v>11513</v>
      </c>
      <c r="F270" s="300"/>
      <c r="G270" s="300">
        <v>12079</v>
      </c>
      <c r="H270" s="86" t="s">
        <v>3302</v>
      </c>
      <c r="I270" s="86" t="s">
        <v>3304</v>
      </c>
      <c r="J270" s="86"/>
      <c r="K270" s="300"/>
      <c r="L270" s="300"/>
    </row>
    <row r="271" spans="1:12">
      <c r="A271" s="86" t="s">
        <v>3081</v>
      </c>
      <c r="B271" s="86" t="s">
        <v>3301</v>
      </c>
      <c r="C271" s="86">
        <v>2069081</v>
      </c>
      <c r="D271" s="86"/>
      <c r="E271" s="300">
        <v>10738</v>
      </c>
      <c r="F271" s="300"/>
      <c r="G271" s="300">
        <v>12079</v>
      </c>
      <c r="H271" s="86" t="s">
        <v>3302</v>
      </c>
      <c r="I271" s="86" t="s">
        <v>3305</v>
      </c>
      <c r="J271" s="86" t="s">
        <v>3306</v>
      </c>
      <c r="K271" s="300">
        <v>10378</v>
      </c>
      <c r="L271" s="300"/>
    </row>
    <row r="272" spans="1:12">
      <c r="A272" s="86" t="s">
        <v>3081</v>
      </c>
      <c r="B272" s="86" t="s">
        <v>3301</v>
      </c>
      <c r="C272" s="86">
        <v>2069638</v>
      </c>
      <c r="D272" s="86"/>
      <c r="E272" s="300">
        <v>10249</v>
      </c>
      <c r="F272" s="300"/>
      <c r="G272" s="300">
        <v>12086</v>
      </c>
      <c r="H272" s="86" t="s">
        <v>3302</v>
      </c>
      <c r="I272" s="86" t="s">
        <v>3111</v>
      </c>
      <c r="J272" s="86"/>
      <c r="K272" s="300"/>
      <c r="L272" s="300"/>
    </row>
    <row r="273" spans="1:12">
      <c r="A273" s="86" t="s">
        <v>3081</v>
      </c>
      <c r="B273" s="86" t="s">
        <v>3301</v>
      </c>
      <c r="C273" s="86">
        <v>2071948</v>
      </c>
      <c r="D273" s="86"/>
      <c r="E273" s="300">
        <v>10459</v>
      </c>
      <c r="F273" s="300"/>
      <c r="G273" s="300">
        <v>12107</v>
      </c>
      <c r="H273" s="86" t="s">
        <v>3302</v>
      </c>
      <c r="I273" s="86" t="s">
        <v>3437</v>
      </c>
      <c r="J273" s="86"/>
      <c r="K273" s="300"/>
      <c r="L273" s="300"/>
    </row>
    <row r="274" spans="1:12">
      <c r="A274" s="86" t="s">
        <v>3081</v>
      </c>
      <c r="B274" s="86" t="s">
        <v>3301</v>
      </c>
      <c r="C274" s="86">
        <v>2072788</v>
      </c>
      <c r="D274" s="86"/>
      <c r="E274" s="300">
        <v>11488</v>
      </c>
      <c r="F274" s="300"/>
      <c r="G274" s="300">
        <v>12114</v>
      </c>
      <c r="H274" s="86" t="s">
        <v>3302</v>
      </c>
      <c r="I274" s="86" t="s">
        <v>3450</v>
      </c>
      <c r="J274" s="86"/>
      <c r="K274" s="300"/>
      <c r="L274" s="300"/>
    </row>
    <row r="275" spans="1:12">
      <c r="A275" s="189" t="s">
        <v>3081</v>
      </c>
      <c r="B275" s="189" t="s">
        <v>3301</v>
      </c>
      <c r="C275" s="189">
        <v>2076381</v>
      </c>
      <c r="D275" s="189"/>
      <c r="E275" s="202">
        <v>10693</v>
      </c>
      <c r="F275" s="202"/>
      <c r="G275" s="202">
        <v>12149</v>
      </c>
      <c r="H275" s="189" t="s">
        <v>3215</v>
      </c>
      <c r="I275" s="189" t="s">
        <v>3182</v>
      </c>
      <c r="J275" s="189" t="s">
        <v>3442</v>
      </c>
      <c r="K275" s="202">
        <v>10339</v>
      </c>
      <c r="L275" s="202"/>
    </row>
    <row r="276" spans="1:12">
      <c r="A276" s="189" t="s">
        <v>3081</v>
      </c>
      <c r="B276" s="189" t="s">
        <v>3301</v>
      </c>
      <c r="C276" s="189">
        <v>2077199</v>
      </c>
      <c r="D276" s="189"/>
      <c r="E276" s="202">
        <v>11921</v>
      </c>
      <c r="F276" s="202"/>
      <c r="G276" s="202">
        <v>12156</v>
      </c>
      <c r="H276" s="189" t="s">
        <v>3302</v>
      </c>
      <c r="I276" s="189" t="s">
        <v>3451</v>
      </c>
      <c r="J276" s="189" t="s">
        <v>3452</v>
      </c>
      <c r="K276" s="202">
        <v>11563</v>
      </c>
      <c r="L276" s="202"/>
    </row>
    <row r="277" spans="1:12">
      <c r="A277" s="86" t="s">
        <v>3081</v>
      </c>
      <c r="B277" s="86" t="s">
        <v>3301</v>
      </c>
      <c r="C277" s="86">
        <v>2081801</v>
      </c>
      <c r="D277" s="86"/>
      <c r="E277" s="300">
        <v>11738</v>
      </c>
      <c r="F277" s="300"/>
      <c r="G277" s="300">
        <v>12198</v>
      </c>
      <c r="H277" s="86" t="s">
        <v>3302</v>
      </c>
      <c r="I277" s="86" t="s">
        <v>3453</v>
      </c>
      <c r="J277" s="86" t="s">
        <v>3452</v>
      </c>
      <c r="K277" s="300">
        <v>11394</v>
      </c>
      <c r="L277" s="300"/>
    </row>
    <row r="278" spans="1:12">
      <c r="A278" s="86" t="s">
        <v>3081</v>
      </c>
      <c r="B278" s="86" t="s">
        <v>3301</v>
      </c>
      <c r="C278" s="86">
        <v>2082616</v>
      </c>
      <c r="D278" s="86"/>
      <c r="E278" s="300">
        <v>11443</v>
      </c>
      <c r="F278" s="300"/>
      <c r="G278" s="300">
        <v>12205</v>
      </c>
      <c r="H278" s="86" t="s">
        <v>3302</v>
      </c>
      <c r="I278" s="86" t="s">
        <v>3440</v>
      </c>
      <c r="J278" s="86"/>
      <c r="K278" s="300"/>
      <c r="L278" s="300"/>
    </row>
    <row r="279" spans="1:12">
      <c r="A279" s="86" t="s">
        <v>3081</v>
      </c>
      <c r="B279" s="86" t="s">
        <v>3301</v>
      </c>
      <c r="C279" s="86">
        <v>2083456</v>
      </c>
      <c r="D279" s="86"/>
      <c r="E279" s="300">
        <v>12060</v>
      </c>
      <c r="F279" s="300"/>
      <c r="G279" s="300">
        <v>12212</v>
      </c>
      <c r="H279" s="86" t="s">
        <v>3302</v>
      </c>
      <c r="I279" s="86" t="s">
        <v>3443</v>
      </c>
      <c r="J279" s="86" t="s">
        <v>702</v>
      </c>
      <c r="K279" s="300">
        <v>11667</v>
      </c>
      <c r="L279" s="300"/>
    </row>
    <row r="280" spans="1:12">
      <c r="A280" s="86" t="s">
        <v>3081</v>
      </c>
      <c r="B280" s="86" t="s">
        <v>3301</v>
      </c>
      <c r="C280" s="86">
        <v>2084192</v>
      </c>
      <c r="D280" s="86"/>
      <c r="E280" s="300">
        <v>10715</v>
      </c>
      <c r="F280" s="300"/>
      <c r="G280" s="300">
        <v>12219</v>
      </c>
      <c r="H280" s="86" t="s">
        <v>3302</v>
      </c>
      <c r="I280" s="86" t="s">
        <v>3211</v>
      </c>
      <c r="J280" s="86"/>
      <c r="K280" s="300"/>
      <c r="L280" s="300"/>
    </row>
    <row r="281" spans="1:12">
      <c r="A281" s="86" t="s">
        <v>3081</v>
      </c>
      <c r="B281" s="86" t="s">
        <v>3301</v>
      </c>
      <c r="C281" s="86">
        <v>2093878</v>
      </c>
      <c r="D281" s="86"/>
      <c r="E281" s="300">
        <v>11134</v>
      </c>
      <c r="F281" s="300"/>
      <c r="G281" s="300">
        <v>12317</v>
      </c>
      <c r="H281" s="86" t="s">
        <v>3302</v>
      </c>
      <c r="I281" s="86" t="s">
        <v>3313</v>
      </c>
      <c r="J281" s="86" t="s">
        <v>845</v>
      </c>
      <c r="K281" s="300">
        <v>10786</v>
      </c>
      <c r="L281" s="300"/>
    </row>
    <row r="282" spans="1:12">
      <c r="A282" s="86" t="s">
        <v>3081</v>
      </c>
      <c r="B282" s="86" t="s">
        <v>3301</v>
      </c>
      <c r="C282" s="86">
        <v>2098080</v>
      </c>
      <c r="D282" s="86"/>
      <c r="E282" s="300">
        <v>11689</v>
      </c>
      <c r="F282" s="300"/>
      <c r="G282" s="300">
        <v>12359</v>
      </c>
      <c r="H282" s="86" t="s">
        <v>3302</v>
      </c>
      <c r="I282" s="86" t="s">
        <v>3111</v>
      </c>
      <c r="J282" s="86"/>
      <c r="K282" s="300"/>
      <c r="L282" s="300"/>
    </row>
    <row r="283" spans="1:12">
      <c r="A283" s="86" t="s">
        <v>3081</v>
      </c>
      <c r="B283" s="86" t="s">
        <v>3301</v>
      </c>
      <c r="C283" s="86">
        <v>2100879</v>
      </c>
      <c r="D283" s="86"/>
      <c r="E283" s="300">
        <v>11898</v>
      </c>
      <c r="F283" s="300"/>
      <c r="G283" s="300">
        <v>12387</v>
      </c>
      <c r="H283" s="86" t="s">
        <v>3302</v>
      </c>
      <c r="I283" s="86" t="s">
        <v>3314</v>
      </c>
      <c r="J283" s="86"/>
      <c r="K283" s="300"/>
      <c r="L283" s="300"/>
    </row>
    <row r="284" spans="1:12">
      <c r="A284" s="86" t="s">
        <v>3081</v>
      </c>
      <c r="B284" s="86" t="s">
        <v>3301</v>
      </c>
      <c r="C284" s="86">
        <v>2103938</v>
      </c>
      <c r="D284" s="86"/>
      <c r="E284" s="300">
        <v>12157</v>
      </c>
      <c r="F284" s="300"/>
      <c r="G284" s="300">
        <v>12415</v>
      </c>
      <c r="H284" s="86" t="s">
        <v>3302</v>
      </c>
      <c r="I284" s="86" t="s">
        <v>3315</v>
      </c>
      <c r="J284" s="86" t="s">
        <v>702</v>
      </c>
      <c r="K284" s="300">
        <v>11753</v>
      </c>
      <c r="L284" s="300"/>
    </row>
    <row r="285" spans="1:12">
      <c r="A285" s="86" t="s">
        <v>3081</v>
      </c>
      <c r="B285" s="86" t="s">
        <v>3301</v>
      </c>
      <c r="C285" s="86">
        <v>2105404</v>
      </c>
      <c r="D285" s="86" t="s">
        <v>3316</v>
      </c>
      <c r="E285" s="300">
        <v>10715</v>
      </c>
      <c r="F285" s="300">
        <v>12040</v>
      </c>
      <c r="G285" s="300">
        <v>12064</v>
      </c>
      <c r="H285" s="86" t="s">
        <v>3302</v>
      </c>
      <c r="I285" s="86" t="s">
        <v>3211</v>
      </c>
      <c r="J285" s="86"/>
      <c r="K285" s="300"/>
      <c r="L285" s="300"/>
    </row>
    <row r="286" spans="1:12">
      <c r="A286" s="86" t="s">
        <v>3081</v>
      </c>
      <c r="B286" s="86" t="s">
        <v>3301</v>
      </c>
      <c r="C286" s="86">
        <v>2105430</v>
      </c>
      <c r="D286" s="86"/>
      <c r="E286" s="300">
        <v>9392</v>
      </c>
      <c r="F286" s="300" t="s">
        <v>3188</v>
      </c>
      <c r="G286" s="300">
        <v>12064</v>
      </c>
      <c r="H286" s="86" t="s">
        <v>3302</v>
      </c>
      <c r="I286" s="86" t="s">
        <v>3189</v>
      </c>
      <c r="J286" s="86"/>
      <c r="K286" s="300"/>
      <c r="L286" s="300"/>
    </row>
    <row r="287" spans="1:12">
      <c r="A287" s="86" t="s">
        <v>3081</v>
      </c>
      <c r="B287" s="86" t="s">
        <v>3301</v>
      </c>
      <c r="C287" s="86">
        <v>2107903</v>
      </c>
      <c r="D287" s="86"/>
      <c r="E287" s="300">
        <v>10960</v>
      </c>
      <c r="F287" s="300"/>
      <c r="G287" s="300">
        <v>12457</v>
      </c>
      <c r="H287" s="86" t="s">
        <v>3302</v>
      </c>
      <c r="I287" s="86" t="s">
        <v>3190</v>
      </c>
      <c r="J287" s="86"/>
      <c r="K287" s="300"/>
      <c r="L287" s="300"/>
    </row>
    <row r="288" spans="1:12">
      <c r="A288" s="86" t="s">
        <v>3081</v>
      </c>
      <c r="B288" s="86" t="s">
        <v>3301</v>
      </c>
      <c r="C288" s="86">
        <v>2110117</v>
      </c>
      <c r="D288" s="86"/>
      <c r="E288" s="300">
        <v>12230</v>
      </c>
      <c r="F288" s="300"/>
      <c r="G288" s="300">
        <v>12478</v>
      </c>
      <c r="H288" s="86" t="s">
        <v>3302</v>
      </c>
      <c r="I288" s="86" t="s">
        <v>3191</v>
      </c>
      <c r="J288" s="86" t="s">
        <v>107</v>
      </c>
      <c r="K288" s="300">
        <v>12062</v>
      </c>
      <c r="L288" s="300"/>
    </row>
    <row r="289" spans="1:12">
      <c r="A289" s="86" t="s">
        <v>3081</v>
      </c>
      <c r="B289" s="86" t="s">
        <v>3301</v>
      </c>
      <c r="C289" s="86">
        <v>2114175</v>
      </c>
      <c r="D289" s="86"/>
      <c r="E289" s="300">
        <v>12125</v>
      </c>
      <c r="F289" s="300"/>
      <c r="G289" s="300">
        <v>12520</v>
      </c>
      <c r="H289" s="86" t="s">
        <v>3302</v>
      </c>
      <c r="I289" s="86" t="s">
        <v>3211</v>
      </c>
      <c r="J289" s="86"/>
      <c r="K289" s="300"/>
      <c r="L289" s="300"/>
    </row>
    <row r="290" spans="1:12">
      <c r="A290" s="86" t="s">
        <v>3081</v>
      </c>
      <c r="B290" s="86" t="s">
        <v>3301</v>
      </c>
      <c r="C290" s="86">
        <v>2114190</v>
      </c>
      <c r="D290" s="86"/>
      <c r="E290" s="300">
        <v>12116</v>
      </c>
      <c r="F290" s="300"/>
      <c r="G290" s="300">
        <v>12520</v>
      </c>
      <c r="H290" s="86" t="s">
        <v>3302</v>
      </c>
      <c r="I290" s="86" t="s">
        <v>3192</v>
      </c>
      <c r="J290" s="86" t="s">
        <v>702</v>
      </c>
      <c r="K290" s="300">
        <v>11753</v>
      </c>
      <c r="L290" s="300"/>
    </row>
    <row r="291" spans="1:12">
      <c r="A291" s="86" t="s">
        <v>3081</v>
      </c>
      <c r="B291" s="86" t="s">
        <v>3301</v>
      </c>
      <c r="C291" s="86">
        <v>2115575</v>
      </c>
      <c r="D291" s="86" t="s">
        <v>3193</v>
      </c>
      <c r="E291" s="300">
        <v>11760</v>
      </c>
      <c r="F291" s="300">
        <v>12256</v>
      </c>
      <c r="G291" s="300">
        <v>12534</v>
      </c>
      <c r="H291" s="86" t="s">
        <v>3302</v>
      </c>
      <c r="I291" s="86" t="s">
        <v>3194</v>
      </c>
      <c r="J291" s="86"/>
      <c r="K291" s="300"/>
      <c r="L291" s="300"/>
    </row>
    <row r="292" spans="1:12">
      <c r="A292" s="86" t="s">
        <v>3081</v>
      </c>
      <c r="B292" s="86" t="s">
        <v>3301</v>
      </c>
      <c r="C292" s="86">
        <v>2116384</v>
      </c>
      <c r="D292" s="86"/>
      <c r="E292" s="300">
        <v>12114</v>
      </c>
      <c r="F292" s="300"/>
      <c r="G292" s="300">
        <v>12541</v>
      </c>
      <c r="H292" s="86" t="s">
        <v>3302</v>
      </c>
      <c r="I292" s="86" t="s">
        <v>3211</v>
      </c>
      <c r="J292" s="86"/>
      <c r="K292" s="300"/>
      <c r="L292" s="300"/>
    </row>
    <row r="293" spans="1:12">
      <c r="A293" s="86" t="s">
        <v>3081</v>
      </c>
      <c r="B293" s="86" t="s">
        <v>3301</v>
      </c>
      <c r="C293" s="86">
        <v>2120870</v>
      </c>
      <c r="D293" s="86" t="s">
        <v>3323</v>
      </c>
      <c r="E293" s="300">
        <v>10183</v>
      </c>
      <c r="F293" s="300" t="s">
        <v>3324</v>
      </c>
      <c r="G293" s="300">
        <v>12583</v>
      </c>
      <c r="H293" s="86" t="s">
        <v>3302</v>
      </c>
      <c r="I293" s="86" t="s">
        <v>3063</v>
      </c>
      <c r="J293" s="86"/>
      <c r="K293" s="300"/>
      <c r="L293" s="300"/>
    </row>
    <row r="294" spans="1:12">
      <c r="A294" s="86" t="s">
        <v>3081</v>
      </c>
      <c r="B294" s="86" t="s">
        <v>3301</v>
      </c>
      <c r="C294" s="86">
        <v>2121641</v>
      </c>
      <c r="D294" s="86"/>
      <c r="E294" s="300">
        <v>12183</v>
      </c>
      <c r="F294" s="300"/>
      <c r="G294" s="300">
        <v>12590</v>
      </c>
      <c r="H294" s="86" t="s">
        <v>3302</v>
      </c>
      <c r="I294" s="86" t="s">
        <v>3064</v>
      </c>
      <c r="J294" s="86" t="s">
        <v>845</v>
      </c>
      <c r="K294" s="300">
        <v>11833</v>
      </c>
      <c r="L294" s="300"/>
    </row>
    <row r="295" spans="1:12">
      <c r="A295" s="86" t="s">
        <v>3081</v>
      </c>
      <c r="B295" s="86" t="s">
        <v>3301</v>
      </c>
      <c r="C295" s="86">
        <v>2132368</v>
      </c>
      <c r="D295" s="86"/>
      <c r="E295" s="300">
        <v>11760</v>
      </c>
      <c r="F295" s="300"/>
      <c r="G295" s="300">
        <v>12695</v>
      </c>
      <c r="H295" s="86" t="s">
        <v>3302</v>
      </c>
      <c r="I295" s="86" t="s">
        <v>3194</v>
      </c>
      <c r="J295" s="86"/>
      <c r="K295" s="300"/>
      <c r="L295" s="300"/>
    </row>
    <row r="296" spans="1:12">
      <c r="A296" s="86" t="s">
        <v>3081</v>
      </c>
      <c r="B296" s="86" t="s">
        <v>3301</v>
      </c>
      <c r="C296" s="86">
        <v>2134558</v>
      </c>
      <c r="D296" s="86"/>
      <c r="E296" s="300">
        <v>12135</v>
      </c>
      <c r="F296" s="300"/>
      <c r="G296" s="300">
        <v>12716</v>
      </c>
      <c r="H296" s="86" t="s">
        <v>3302</v>
      </c>
      <c r="I296" s="86" t="s">
        <v>3195</v>
      </c>
      <c r="J296" s="304"/>
      <c r="K296" s="300"/>
      <c r="L296" s="300"/>
    </row>
    <row r="297" spans="1:12">
      <c r="A297" s="86" t="s">
        <v>3081</v>
      </c>
      <c r="B297" s="86" t="s">
        <v>3301</v>
      </c>
      <c r="C297" s="86">
        <v>2134574</v>
      </c>
      <c r="D297" s="86"/>
      <c r="E297" s="300">
        <v>12289</v>
      </c>
      <c r="F297" s="300"/>
      <c r="G297" s="300">
        <v>12716</v>
      </c>
      <c r="H297" s="86" t="s">
        <v>3302</v>
      </c>
      <c r="I297" s="86" t="s">
        <v>3196</v>
      </c>
      <c r="J297" s="86"/>
      <c r="K297" s="300"/>
      <c r="L297" s="300"/>
    </row>
    <row r="298" spans="1:12">
      <c r="A298" s="86" t="s">
        <v>3081</v>
      </c>
      <c r="B298" s="86" t="s">
        <v>3301</v>
      </c>
      <c r="C298" s="86">
        <v>2142072</v>
      </c>
      <c r="D298" s="86"/>
      <c r="E298" s="300">
        <v>12319</v>
      </c>
      <c r="F298" s="300"/>
      <c r="G298" s="300">
        <v>12779</v>
      </c>
      <c r="H298" s="86" t="s">
        <v>3302</v>
      </c>
      <c r="I298" s="86" t="s">
        <v>3197</v>
      </c>
      <c r="J298" s="86" t="s">
        <v>845</v>
      </c>
      <c r="K298" s="300">
        <v>11987</v>
      </c>
      <c r="L298" s="300"/>
    </row>
    <row r="299" spans="1:12">
      <c r="A299" s="86" t="s">
        <v>3081</v>
      </c>
      <c r="B299" s="86" t="s">
        <v>3301</v>
      </c>
      <c r="C299" s="86">
        <v>2142865</v>
      </c>
      <c r="D299" s="86"/>
      <c r="E299" s="300">
        <v>12136</v>
      </c>
      <c r="F299" s="300"/>
      <c r="G299" s="300">
        <v>12786</v>
      </c>
      <c r="H299" s="86" t="s">
        <v>3302</v>
      </c>
      <c r="I299" s="86" t="s">
        <v>3234</v>
      </c>
      <c r="J299" s="86"/>
      <c r="K299" s="300"/>
      <c r="L299" s="300"/>
    </row>
    <row r="300" spans="1:12">
      <c r="A300" s="86" t="s">
        <v>3081</v>
      </c>
      <c r="B300" s="86" t="s">
        <v>3301</v>
      </c>
      <c r="C300" s="86">
        <v>2143690</v>
      </c>
      <c r="D300" s="86"/>
      <c r="E300" s="300">
        <v>11922</v>
      </c>
      <c r="F300" s="300"/>
      <c r="G300" s="300">
        <v>12793</v>
      </c>
      <c r="H300" s="86" t="s">
        <v>3302</v>
      </c>
      <c r="I300" s="86" t="s">
        <v>3198</v>
      </c>
      <c r="J300" s="86"/>
      <c r="K300" s="300"/>
      <c r="L300" s="300"/>
    </row>
    <row r="301" spans="1:12">
      <c r="A301" s="86" t="s">
        <v>3081</v>
      </c>
      <c r="B301" s="86" t="s">
        <v>3301</v>
      </c>
      <c r="C301" s="86">
        <v>2145105</v>
      </c>
      <c r="D301" s="86"/>
      <c r="E301" s="300">
        <v>12170</v>
      </c>
      <c r="F301" s="300"/>
      <c r="G301" s="300">
        <v>12807</v>
      </c>
      <c r="H301" s="86" t="s">
        <v>3302</v>
      </c>
      <c r="I301" s="86" t="s">
        <v>3199</v>
      </c>
      <c r="J301" s="86" t="s">
        <v>845</v>
      </c>
      <c r="K301" s="300">
        <v>11813</v>
      </c>
      <c r="L301" s="300"/>
    </row>
    <row r="302" spans="1:12">
      <c r="A302" s="86" t="s">
        <v>3081</v>
      </c>
      <c r="B302" s="86" t="s">
        <v>3301</v>
      </c>
      <c r="C302" s="86">
        <v>2145157</v>
      </c>
      <c r="D302" s="86"/>
      <c r="E302" s="300">
        <v>12589</v>
      </c>
      <c r="F302" s="300"/>
      <c r="G302" s="300">
        <v>12807</v>
      </c>
      <c r="H302" s="86" t="s">
        <v>3302</v>
      </c>
      <c r="I302" s="86" t="s">
        <v>3070</v>
      </c>
      <c r="J302" s="86" t="s">
        <v>702</v>
      </c>
      <c r="K302" s="300">
        <v>12247</v>
      </c>
      <c r="L302" s="300"/>
    </row>
    <row r="303" spans="1:12">
      <c r="A303" s="86" t="s">
        <v>3081</v>
      </c>
      <c r="B303" s="86" t="s">
        <v>3301</v>
      </c>
      <c r="C303" s="86">
        <v>2145186</v>
      </c>
      <c r="D303" s="86"/>
      <c r="E303" s="300">
        <v>12600</v>
      </c>
      <c r="F303" s="300"/>
      <c r="G303" s="300">
        <v>12807</v>
      </c>
      <c r="H303" s="86" t="s">
        <v>3302</v>
      </c>
      <c r="I303" s="86" t="s">
        <v>3203</v>
      </c>
      <c r="J303" s="86"/>
      <c r="K303" s="300"/>
      <c r="L303" s="300"/>
    </row>
    <row r="304" spans="1:12">
      <c r="A304" s="86" t="s">
        <v>3081</v>
      </c>
      <c r="B304" s="86" t="s">
        <v>3301</v>
      </c>
      <c r="C304" s="86">
        <v>2148314</v>
      </c>
      <c r="D304" s="86"/>
      <c r="E304" s="300">
        <v>12192</v>
      </c>
      <c r="F304" s="300"/>
      <c r="G304" s="300">
        <v>12835</v>
      </c>
      <c r="H304" s="86" t="s">
        <v>3302</v>
      </c>
      <c r="I304" s="86" t="s">
        <v>3111</v>
      </c>
      <c r="J304" s="86"/>
      <c r="K304" s="300"/>
      <c r="L304" s="300"/>
    </row>
    <row r="305" spans="1:12">
      <c r="A305" s="86" t="s">
        <v>3081</v>
      </c>
      <c r="B305" s="86" t="s">
        <v>3301</v>
      </c>
      <c r="C305" s="86">
        <v>2148315</v>
      </c>
      <c r="D305" s="86"/>
      <c r="E305" s="300">
        <v>12506</v>
      </c>
      <c r="F305" s="300"/>
      <c r="G305" s="300">
        <v>12835</v>
      </c>
      <c r="H305" s="86" t="s">
        <v>3302</v>
      </c>
      <c r="I305" s="86" t="s">
        <v>3111</v>
      </c>
      <c r="J305" s="86"/>
      <c r="K305" s="300"/>
      <c r="L305" s="300"/>
    </row>
    <row r="306" spans="1:12">
      <c r="A306" s="86" t="s">
        <v>3081</v>
      </c>
      <c r="B306" s="86" t="s">
        <v>3301</v>
      </c>
      <c r="C306" s="86">
        <v>2153398</v>
      </c>
      <c r="D306" s="86"/>
      <c r="E306" s="300">
        <v>12290</v>
      </c>
      <c r="F306" s="300"/>
      <c r="G306" s="300">
        <v>12877</v>
      </c>
      <c r="H306" s="86" t="s">
        <v>3302</v>
      </c>
      <c r="I306" s="86" t="s">
        <v>3240</v>
      </c>
      <c r="J306" s="86" t="s">
        <v>845</v>
      </c>
      <c r="K306" s="300">
        <v>11964</v>
      </c>
      <c r="L306" s="300"/>
    </row>
    <row r="307" spans="1:12">
      <c r="A307" s="86" t="s">
        <v>3081</v>
      </c>
      <c r="B307" s="86" t="s">
        <v>3301</v>
      </c>
      <c r="C307" s="86">
        <v>2153404</v>
      </c>
      <c r="D307" s="86"/>
      <c r="E307" s="300">
        <v>11066</v>
      </c>
      <c r="F307" s="300"/>
      <c r="G307" s="300">
        <v>12877</v>
      </c>
      <c r="H307" s="86" t="s">
        <v>3302</v>
      </c>
      <c r="I307" s="86" t="s">
        <v>3204</v>
      </c>
      <c r="J307" s="86"/>
      <c r="K307" s="300"/>
      <c r="L307" s="300"/>
    </row>
    <row r="308" spans="1:12">
      <c r="A308" s="86" t="s">
        <v>3081</v>
      </c>
      <c r="B308" s="86" t="s">
        <v>3301</v>
      </c>
      <c r="C308" s="86">
        <v>2156057</v>
      </c>
      <c r="D308" s="86"/>
      <c r="E308" s="300">
        <v>12515</v>
      </c>
      <c r="F308" s="300"/>
      <c r="G308" s="300">
        <v>12898</v>
      </c>
      <c r="H308" s="86" t="s">
        <v>3302</v>
      </c>
      <c r="I308" s="86" t="s">
        <v>3335</v>
      </c>
      <c r="J308" s="86" t="s">
        <v>845</v>
      </c>
      <c r="K308" s="300">
        <v>12173</v>
      </c>
      <c r="L308" s="300"/>
    </row>
    <row r="309" spans="1:12">
      <c r="A309" s="86" t="s">
        <v>3081</v>
      </c>
      <c r="B309" s="86" t="s">
        <v>3301</v>
      </c>
      <c r="C309" s="86">
        <v>2156988</v>
      </c>
      <c r="D309" s="86"/>
      <c r="E309" s="300">
        <v>12453</v>
      </c>
      <c r="F309" s="300"/>
      <c r="G309" s="300">
        <v>12905</v>
      </c>
      <c r="H309" s="86" t="s">
        <v>3302</v>
      </c>
      <c r="I309" s="86" t="s">
        <v>3336</v>
      </c>
      <c r="J309" s="86" t="s">
        <v>845</v>
      </c>
      <c r="K309" s="300">
        <v>12093</v>
      </c>
      <c r="L309" s="300"/>
    </row>
    <row r="310" spans="1:12">
      <c r="A310" s="86" t="s">
        <v>3081</v>
      </c>
      <c r="B310" s="86" t="s">
        <v>3301</v>
      </c>
      <c r="C310" s="86">
        <v>2158849</v>
      </c>
      <c r="D310" s="86"/>
      <c r="E310" s="300">
        <v>11346</v>
      </c>
      <c r="F310" s="300"/>
      <c r="G310" s="300">
        <v>12919</v>
      </c>
      <c r="H310" s="86" t="s">
        <v>3302</v>
      </c>
      <c r="I310" s="86" t="s">
        <v>3337</v>
      </c>
      <c r="J310" s="86"/>
      <c r="K310" s="300"/>
      <c r="L310" s="300"/>
    </row>
    <row r="311" spans="1:12">
      <c r="A311" s="86" t="s">
        <v>3081</v>
      </c>
      <c r="B311" s="86" t="s">
        <v>3301</v>
      </c>
      <c r="C311" s="86">
        <v>2159736</v>
      </c>
      <c r="D311" s="86"/>
      <c r="E311" s="300">
        <v>11099</v>
      </c>
      <c r="F311" s="300"/>
      <c r="G311" s="300">
        <v>12926</v>
      </c>
      <c r="H311" s="86" t="s">
        <v>3302</v>
      </c>
      <c r="I311" s="86" t="s">
        <v>3338</v>
      </c>
      <c r="J311" s="86"/>
      <c r="K311" s="300"/>
      <c r="L311" s="300"/>
    </row>
    <row r="312" spans="1:12">
      <c r="A312" s="86" t="s">
        <v>3081</v>
      </c>
      <c r="B312" s="86" t="s">
        <v>3301</v>
      </c>
      <c r="C312" s="86">
        <v>2159794</v>
      </c>
      <c r="D312" s="86"/>
      <c r="E312" s="300">
        <v>12530</v>
      </c>
      <c r="F312" s="300"/>
      <c r="G312" s="300">
        <v>12926</v>
      </c>
      <c r="H312" s="86" t="s">
        <v>3302</v>
      </c>
      <c r="I312" s="86" t="s">
        <v>3339</v>
      </c>
      <c r="J312" s="86" t="s">
        <v>845</v>
      </c>
      <c r="K312" s="300">
        <v>12172</v>
      </c>
      <c r="L312" s="300"/>
    </row>
    <row r="313" spans="1:12">
      <c r="A313" s="86" t="s">
        <v>3081</v>
      </c>
      <c r="B313" s="86" t="s">
        <v>3301</v>
      </c>
      <c r="C313" s="86">
        <v>2159812</v>
      </c>
      <c r="D313" s="86"/>
      <c r="E313" s="300">
        <v>12305</v>
      </c>
      <c r="F313" s="300"/>
      <c r="G313" s="300">
        <v>12926</v>
      </c>
      <c r="H313" s="86" t="s">
        <v>3302</v>
      </c>
      <c r="I313" s="86" t="s">
        <v>3340</v>
      </c>
      <c r="J313" s="86"/>
      <c r="K313" s="300"/>
      <c r="L313" s="300"/>
    </row>
    <row r="314" spans="1:12">
      <c r="A314" s="86" t="s">
        <v>3081</v>
      </c>
      <c r="B314" s="86" t="s">
        <v>3301</v>
      </c>
      <c r="C314" s="86">
        <v>2164288</v>
      </c>
      <c r="D314" s="86"/>
      <c r="E314" s="300">
        <v>12594</v>
      </c>
      <c r="F314" s="300"/>
      <c r="G314" s="300">
        <v>12961</v>
      </c>
      <c r="H314" s="86" t="s">
        <v>3302</v>
      </c>
      <c r="I314" s="86" t="s">
        <v>3341</v>
      </c>
      <c r="J314" s="86"/>
      <c r="K314" s="300"/>
      <c r="L314" s="300"/>
    </row>
    <row r="315" spans="1:12">
      <c r="A315" s="86" t="s">
        <v>3081</v>
      </c>
      <c r="B315" s="86" t="s">
        <v>3301</v>
      </c>
      <c r="C315" s="86">
        <v>2165987</v>
      </c>
      <c r="D315" s="86"/>
      <c r="E315" s="300">
        <v>12598</v>
      </c>
      <c r="F315" s="300"/>
      <c r="G315" s="300">
        <v>12975</v>
      </c>
      <c r="H315" s="86" t="s">
        <v>3302</v>
      </c>
      <c r="I315" s="86" t="s">
        <v>3212</v>
      </c>
      <c r="J315" s="86" t="s">
        <v>845</v>
      </c>
      <c r="K315" s="300">
        <v>12249</v>
      </c>
      <c r="L315" s="300"/>
    </row>
    <row r="316" spans="1:12">
      <c r="A316" s="86" t="s">
        <v>3081</v>
      </c>
      <c r="B316" s="86" t="s">
        <v>3301</v>
      </c>
      <c r="C316" s="86">
        <v>2169112</v>
      </c>
      <c r="D316" s="86"/>
      <c r="E316" s="300">
        <v>12864</v>
      </c>
      <c r="F316" s="300"/>
      <c r="G316" s="300">
        <v>13003</v>
      </c>
      <c r="H316" s="86" t="s">
        <v>3302</v>
      </c>
      <c r="I316" s="86" t="s">
        <v>3355</v>
      </c>
      <c r="J316" s="86" t="s">
        <v>702</v>
      </c>
      <c r="K316" s="300">
        <v>12706</v>
      </c>
      <c r="L316" s="300"/>
    </row>
    <row r="317" spans="1:12">
      <c r="A317" s="86" t="s">
        <v>3081</v>
      </c>
      <c r="B317" s="86" t="s">
        <v>3301</v>
      </c>
      <c r="C317" s="86">
        <v>2170675</v>
      </c>
      <c r="D317" s="86"/>
      <c r="E317" s="300">
        <v>12150</v>
      </c>
      <c r="F317" s="300"/>
      <c r="G317" s="300">
        <v>13017</v>
      </c>
      <c r="H317" s="86" t="s">
        <v>3302</v>
      </c>
      <c r="I317" s="86" t="s">
        <v>3356</v>
      </c>
      <c r="J317" s="86" t="s">
        <v>2781</v>
      </c>
      <c r="K317" s="300">
        <v>11803</v>
      </c>
      <c r="L317" s="300"/>
    </row>
    <row r="318" spans="1:12">
      <c r="A318" s="86" t="s">
        <v>3081</v>
      </c>
      <c r="B318" s="86" t="s">
        <v>3301</v>
      </c>
      <c r="C318" s="86">
        <v>2170683</v>
      </c>
      <c r="D318" s="86"/>
      <c r="E318" s="300">
        <v>11765</v>
      </c>
      <c r="F318" s="300"/>
      <c r="G318" s="300">
        <v>13017</v>
      </c>
      <c r="H318" s="86" t="s">
        <v>3302</v>
      </c>
      <c r="I318" s="86" t="s">
        <v>3357</v>
      </c>
      <c r="J318" s="86" t="s">
        <v>845</v>
      </c>
      <c r="K318" s="300">
        <v>11442</v>
      </c>
      <c r="L318" s="300"/>
    </row>
    <row r="319" spans="1:12">
      <c r="A319" s="86" t="s">
        <v>3081</v>
      </c>
      <c r="B319" s="86" t="s">
        <v>3301</v>
      </c>
      <c r="C319" s="86">
        <v>2177216</v>
      </c>
      <c r="D319" s="86"/>
      <c r="E319" s="300">
        <v>12135</v>
      </c>
      <c r="F319" s="300"/>
      <c r="G319" s="300">
        <v>13080</v>
      </c>
      <c r="H319" s="86" t="s">
        <v>3302</v>
      </c>
      <c r="I319" s="86" t="s">
        <v>3195</v>
      </c>
      <c r="J319" s="86"/>
      <c r="K319" s="300"/>
      <c r="L319" s="300"/>
    </row>
    <row r="320" spans="1:12">
      <c r="A320" s="86" t="s">
        <v>3081</v>
      </c>
      <c r="B320" s="86" t="s">
        <v>3301</v>
      </c>
      <c r="C320" s="86">
        <v>2177217</v>
      </c>
      <c r="D320" s="86"/>
      <c r="E320" s="300">
        <v>12135</v>
      </c>
      <c r="F320" s="300"/>
      <c r="G320" s="300">
        <v>13080</v>
      </c>
      <c r="H320" s="86" t="s">
        <v>3302</v>
      </c>
      <c r="I320" s="86" t="s">
        <v>3195</v>
      </c>
      <c r="J320" s="86"/>
      <c r="K320" s="300"/>
      <c r="L320" s="300"/>
    </row>
    <row r="321" spans="1:12">
      <c r="A321" s="86" t="s">
        <v>3081</v>
      </c>
      <c r="B321" s="86" t="s">
        <v>3301</v>
      </c>
      <c r="C321" s="86">
        <v>2184269</v>
      </c>
      <c r="D321" s="86"/>
      <c r="E321" s="300">
        <v>12552</v>
      </c>
      <c r="F321" s="300"/>
      <c r="G321" s="300">
        <v>13143</v>
      </c>
      <c r="H321" s="86" t="s">
        <v>3302</v>
      </c>
      <c r="I321" s="86" t="s">
        <v>3488</v>
      </c>
      <c r="J321" s="86"/>
      <c r="K321" s="300"/>
      <c r="L321" s="300"/>
    </row>
    <row r="322" spans="1:12">
      <c r="A322" s="86" t="s">
        <v>3081</v>
      </c>
      <c r="B322" s="86" t="s">
        <v>3301</v>
      </c>
      <c r="C322" s="86">
        <v>2189164</v>
      </c>
      <c r="D322" s="86"/>
      <c r="E322" s="300">
        <v>11955</v>
      </c>
      <c r="F322" s="300"/>
      <c r="G322" s="300">
        <v>13185</v>
      </c>
      <c r="H322" s="301"/>
      <c r="I322" s="86" t="s">
        <v>3489</v>
      </c>
      <c r="J322" s="86"/>
      <c r="K322" s="300"/>
      <c r="L322" s="300"/>
    </row>
    <row r="323" spans="1:12">
      <c r="A323" s="86" t="s">
        <v>3081</v>
      </c>
      <c r="B323" s="86" t="s">
        <v>3301</v>
      </c>
      <c r="C323" s="86">
        <v>2190528</v>
      </c>
      <c r="D323" s="86"/>
      <c r="E323" s="300">
        <v>11760</v>
      </c>
      <c r="F323" s="300" t="s">
        <v>3490</v>
      </c>
      <c r="G323" s="300">
        <v>13192</v>
      </c>
      <c r="H323" s="86" t="s">
        <v>3215</v>
      </c>
      <c r="I323" s="86" t="s">
        <v>3111</v>
      </c>
      <c r="J323" s="86"/>
      <c r="K323" s="300"/>
      <c r="L323" s="300"/>
    </row>
    <row r="324" spans="1:12">
      <c r="A324" s="86" t="s">
        <v>3081</v>
      </c>
      <c r="B324" s="86" t="s">
        <v>3301</v>
      </c>
      <c r="C324" s="86">
        <v>2191346</v>
      </c>
      <c r="D324" s="86"/>
      <c r="E324" s="300">
        <v>12173</v>
      </c>
      <c r="F324" s="300"/>
      <c r="G324" s="300">
        <v>13199</v>
      </c>
      <c r="H324" s="86" t="s">
        <v>3215</v>
      </c>
      <c r="I324" s="86" t="s">
        <v>3491</v>
      </c>
      <c r="J324" s="86"/>
      <c r="K324" s="300"/>
      <c r="L324" s="300"/>
    </row>
    <row r="325" spans="1:12">
      <c r="A325" s="86" t="s">
        <v>3081</v>
      </c>
      <c r="B325" s="86" t="s">
        <v>3301</v>
      </c>
      <c r="C325" s="86">
        <v>2197562</v>
      </c>
      <c r="D325" s="86"/>
      <c r="E325" s="300">
        <v>12408</v>
      </c>
      <c r="F325" s="300"/>
      <c r="G325" s="300">
        <v>13255</v>
      </c>
      <c r="H325" s="86" t="s">
        <v>3215</v>
      </c>
      <c r="I325" s="86" t="s">
        <v>3384</v>
      </c>
      <c r="J325" s="86"/>
      <c r="K325" s="300"/>
      <c r="L325" s="300"/>
    </row>
    <row r="326" spans="1:12">
      <c r="A326" s="86" t="s">
        <v>3081</v>
      </c>
      <c r="B326" s="86" t="s">
        <v>3301</v>
      </c>
      <c r="C326" s="86">
        <v>2198162</v>
      </c>
      <c r="D326" s="86"/>
      <c r="E326" s="300">
        <v>12857</v>
      </c>
      <c r="F326" s="300"/>
      <c r="G326" s="300">
        <v>13262</v>
      </c>
      <c r="H326" s="86" t="s">
        <v>3215</v>
      </c>
      <c r="I326" s="86" t="s">
        <v>3252</v>
      </c>
      <c r="J326" s="86"/>
      <c r="K326" s="300"/>
      <c r="L326" s="300"/>
    </row>
    <row r="327" spans="1:12">
      <c r="A327" s="86" t="s">
        <v>3081</v>
      </c>
      <c r="B327" s="86" t="s">
        <v>3301</v>
      </c>
      <c r="C327" s="86">
        <v>2198919</v>
      </c>
      <c r="D327" s="86"/>
      <c r="E327" s="300">
        <v>12863</v>
      </c>
      <c r="F327" s="300"/>
      <c r="G327" s="300">
        <v>13269</v>
      </c>
      <c r="H327" s="86" t="s">
        <v>3215</v>
      </c>
      <c r="I327" s="86" t="s">
        <v>3253</v>
      </c>
      <c r="J327" s="86"/>
      <c r="K327" s="300"/>
      <c r="L327" s="300"/>
    </row>
    <row r="328" spans="1:12">
      <c r="A328" s="86" t="s">
        <v>3081</v>
      </c>
      <c r="B328" s="86" t="s">
        <v>3301</v>
      </c>
      <c r="C328" s="86">
        <v>2198934</v>
      </c>
      <c r="D328" s="86"/>
      <c r="E328" s="300">
        <v>12867</v>
      </c>
      <c r="F328" s="300"/>
      <c r="G328" s="300">
        <v>13269</v>
      </c>
      <c r="H328" s="86" t="s">
        <v>3215</v>
      </c>
      <c r="I328" s="86" t="s">
        <v>3254</v>
      </c>
      <c r="J328" s="86"/>
      <c r="K328" s="300"/>
      <c r="L328" s="300"/>
    </row>
    <row r="329" spans="1:12">
      <c r="A329" s="86" t="s">
        <v>3081</v>
      </c>
      <c r="B329" s="86" t="s">
        <v>3301</v>
      </c>
      <c r="C329" s="86">
        <v>2201694</v>
      </c>
      <c r="D329" s="86"/>
      <c r="E329" s="300">
        <v>12188</v>
      </c>
      <c r="F329" s="300"/>
      <c r="G329" s="300">
        <v>13290</v>
      </c>
      <c r="H329" s="86" t="s">
        <v>3215</v>
      </c>
      <c r="I329" s="86" t="s">
        <v>3493</v>
      </c>
      <c r="J329" s="86"/>
      <c r="K329" s="300"/>
      <c r="L329" s="300"/>
    </row>
    <row r="330" spans="1:12">
      <c r="A330" s="86" t="s">
        <v>3081</v>
      </c>
      <c r="B330" s="86" t="s">
        <v>3301</v>
      </c>
      <c r="C330" s="86">
        <v>2201717</v>
      </c>
      <c r="D330" s="86"/>
      <c r="E330" s="300">
        <v>12440</v>
      </c>
      <c r="F330" s="300"/>
      <c r="G330" s="300">
        <v>13290</v>
      </c>
      <c r="H330" s="86" t="s">
        <v>3215</v>
      </c>
      <c r="I330" s="86" t="s">
        <v>3255</v>
      </c>
      <c r="J330" s="86" t="s">
        <v>845</v>
      </c>
      <c r="K330" s="300">
        <v>12450</v>
      </c>
      <c r="L330" s="300"/>
    </row>
    <row r="331" spans="1:12">
      <c r="A331" s="86" t="s">
        <v>3081</v>
      </c>
      <c r="B331" s="86" t="s">
        <v>3301</v>
      </c>
      <c r="C331" s="86">
        <v>2208987</v>
      </c>
      <c r="D331" s="86"/>
      <c r="E331" s="300">
        <v>12921</v>
      </c>
      <c r="F331" s="300"/>
      <c r="G331" s="300">
        <v>13353</v>
      </c>
      <c r="H331" s="86" t="s">
        <v>3215</v>
      </c>
      <c r="I331" s="86" t="s">
        <v>3256</v>
      </c>
      <c r="J331" s="86" t="s">
        <v>845</v>
      </c>
      <c r="K331" s="300">
        <v>12562</v>
      </c>
      <c r="L331" s="300"/>
    </row>
    <row r="332" spans="1:12">
      <c r="A332" s="86" t="s">
        <v>3081</v>
      </c>
      <c r="B332" s="86" t="s">
        <v>3301</v>
      </c>
      <c r="C332" s="86">
        <v>2209005</v>
      </c>
      <c r="D332" s="86"/>
      <c r="E332" s="300">
        <v>12961</v>
      </c>
      <c r="F332" s="300"/>
      <c r="G332" s="300">
        <v>13353</v>
      </c>
      <c r="H332" s="86" t="s">
        <v>3215</v>
      </c>
      <c r="I332" s="86" t="s">
        <v>3240</v>
      </c>
      <c r="J332" s="86" t="s">
        <v>845</v>
      </c>
      <c r="K332" s="300">
        <v>12603</v>
      </c>
      <c r="L332" s="305"/>
    </row>
    <row r="333" spans="1:12">
      <c r="A333" s="86" t="s">
        <v>3081</v>
      </c>
      <c r="B333" s="86" t="s">
        <v>3301</v>
      </c>
      <c r="C333" s="86">
        <v>2210525</v>
      </c>
      <c r="D333" s="86"/>
      <c r="E333" s="300">
        <v>12552</v>
      </c>
      <c r="F333" s="300"/>
      <c r="G333" s="300">
        <v>13367</v>
      </c>
      <c r="H333" s="86" t="s">
        <v>3215</v>
      </c>
      <c r="I333" s="86" t="s">
        <v>3488</v>
      </c>
      <c r="J333" s="86"/>
      <c r="K333" s="300"/>
      <c r="L333" s="300"/>
    </row>
    <row r="334" spans="1:12">
      <c r="A334" s="86" t="s">
        <v>3081</v>
      </c>
      <c r="B334" s="86" t="s">
        <v>3301</v>
      </c>
      <c r="C334" s="86">
        <v>2211602</v>
      </c>
      <c r="D334" s="86"/>
      <c r="E334" s="300">
        <v>12921</v>
      </c>
      <c r="F334" s="300"/>
      <c r="G334" s="300">
        <v>13374</v>
      </c>
      <c r="H334" s="86" t="s">
        <v>3215</v>
      </c>
      <c r="I334" s="86" t="s">
        <v>3257</v>
      </c>
      <c r="J334" s="86" t="s">
        <v>702</v>
      </c>
      <c r="K334" s="300">
        <v>12561</v>
      </c>
      <c r="L334" s="300"/>
    </row>
    <row r="335" spans="1:12">
      <c r="A335" s="86" t="s">
        <v>3081</v>
      </c>
      <c r="B335" s="86" t="s">
        <v>3301</v>
      </c>
      <c r="C335" s="86">
        <v>2214472</v>
      </c>
      <c r="D335" s="86"/>
      <c r="E335" s="300">
        <v>13089</v>
      </c>
      <c r="F335" s="300"/>
      <c r="G335" s="300">
        <v>13402</v>
      </c>
      <c r="H335" s="86" t="s">
        <v>3215</v>
      </c>
      <c r="I335" s="86" t="s">
        <v>3258</v>
      </c>
      <c r="J335" s="86" t="s">
        <v>702</v>
      </c>
      <c r="K335" s="300">
        <v>12697</v>
      </c>
      <c r="L335" s="300"/>
    </row>
    <row r="336" spans="1:12">
      <c r="A336" s="86" t="s">
        <v>3081</v>
      </c>
      <c r="B336" s="86" t="s">
        <v>3301</v>
      </c>
      <c r="C336" s="86">
        <v>2221868</v>
      </c>
      <c r="D336" s="86"/>
      <c r="E336" s="300">
        <v>12684</v>
      </c>
      <c r="F336" s="300"/>
      <c r="G336" s="300">
        <v>13472</v>
      </c>
      <c r="H336" s="86" t="s">
        <v>3215</v>
      </c>
      <c r="I336" s="86" t="s">
        <v>3392</v>
      </c>
      <c r="J336" s="86"/>
      <c r="K336" s="300"/>
      <c r="L336" s="300"/>
    </row>
    <row r="337" spans="1:12">
      <c r="A337" s="86" t="s">
        <v>3081</v>
      </c>
      <c r="B337" s="86" t="s">
        <v>3301</v>
      </c>
      <c r="C337" s="86">
        <v>2225726</v>
      </c>
      <c r="D337" s="86"/>
      <c r="E337" s="300">
        <v>12590</v>
      </c>
      <c r="F337" s="300"/>
      <c r="G337" s="300">
        <v>13507</v>
      </c>
      <c r="H337" s="86" t="s">
        <v>3215</v>
      </c>
      <c r="I337" s="86" t="s">
        <v>3393</v>
      </c>
      <c r="J337" s="86" t="s">
        <v>845</v>
      </c>
      <c r="K337" s="300">
        <v>12229</v>
      </c>
      <c r="L337" s="300"/>
    </row>
    <row r="338" spans="1:12">
      <c r="A338" s="86" t="s">
        <v>3081</v>
      </c>
      <c r="B338" s="86" t="s">
        <v>3301</v>
      </c>
      <c r="C338" s="86">
        <v>2227294</v>
      </c>
      <c r="D338" s="86"/>
      <c r="E338" s="300">
        <v>12720</v>
      </c>
      <c r="F338" s="300"/>
      <c r="G338" s="300">
        <v>13514</v>
      </c>
      <c r="H338" s="86" t="s">
        <v>3215</v>
      </c>
      <c r="I338" s="86" t="s">
        <v>3394</v>
      </c>
      <c r="J338" s="86" t="s">
        <v>107</v>
      </c>
      <c r="K338" s="300">
        <v>10549</v>
      </c>
      <c r="L338" s="300"/>
    </row>
    <row r="339" spans="1:12">
      <c r="A339" s="86" t="s">
        <v>3081</v>
      </c>
      <c r="B339" s="86" t="s">
        <v>3301</v>
      </c>
      <c r="C339" s="86">
        <v>2227324</v>
      </c>
      <c r="D339" s="86"/>
      <c r="E339" s="300">
        <v>13293</v>
      </c>
      <c r="F339" s="300"/>
      <c r="G339" s="300">
        <v>13514</v>
      </c>
      <c r="H339" s="86" t="s">
        <v>3215</v>
      </c>
      <c r="I339" s="86" t="s">
        <v>3395</v>
      </c>
      <c r="J339" s="86"/>
      <c r="K339" s="300"/>
      <c r="L339" s="300"/>
    </row>
    <row r="340" spans="1:12">
      <c r="A340" s="86" t="s">
        <v>3081</v>
      </c>
      <c r="B340" s="86" t="s">
        <v>3301</v>
      </c>
      <c r="C340" s="86">
        <v>2232816</v>
      </c>
      <c r="D340" s="86"/>
      <c r="E340" s="300">
        <v>13167</v>
      </c>
      <c r="F340" s="300"/>
      <c r="G340" s="300">
        <v>13570</v>
      </c>
      <c r="H340" s="86" t="s">
        <v>3215</v>
      </c>
      <c r="I340" s="86" t="s">
        <v>3395</v>
      </c>
      <c r="J340" s="86"/>
      <c r="K340" s="300"/>
      <c r="L340" s="300"/>
    </row>
    <row r="341" spans="1:12">
      <c r="A341" s="86" t="s">
        <v>3081</v>
      </c>
      <c r="B341" s="86" t="s">
        <v>3301</v>
      </c>
      <c r="C341" s="86">
        <v>2235656</v>
      </c>
      <c r="D341" s="86"/>
      <c r="E341" s="300">
        <v>13342</v>
      </c>
      <c r="F341" s="300"/>
      <c r="G341" s="300">
        <v>13591</v>
      </c>
      <c r="H341" s="86" t="s">
        <v>3215</v>
      </c>
      <c r="I341" s="86" t="s">
        <v>3396</v>
      </c>
      <c r="J341" s="86" t="s">
        <v>845</v>
      </c>
      <c r="K341" s="300">
        <v>12971</v>
      </c>
      <c r="L341" s="300"/>
    </row>
    <row r="342" spans="1:12">
      <c r="A342" s="86" t="s">
        <v>3081</v>
      </c>
      <c r="B342" s="86" t="s">
        <v>3301</v>
      </c>
      <c r="C342" s="86">
        <v>2245541</v>
      </c>
      <c r="D342" s="86"/>
      <c r="E342" s="300">
        <v>38715</v>
      </c>
      <c r="F342" s="300"/>
      <c r="G342" s="300">
        <v>13675</v>
      </c>
      <c r="H342" s="86" t="s">
        <v>3215</v>
      </c>
      <c r="I342" s="86" t="s">
        <v>3397</v>
      </c>
      <c r="J342" s="86"/>
      <c r="K342" s="300"/>
      <c r="L342" s="300"/>
    </row>
    <row r="343" spans="1:12">
      <c r="A343" s="86" t="s">
        <v>3081</v>
      </c>
      <c r="B343" s="86" t="s">
        <v>3301</v>
      </c>
      <c r="C343" s="86">
        <v>2247196</v>
      </c>
      <c r="D343" s="86"/>
      <c r="E343" s="300">
        <v>12853</v>
      </c>
      <c r="F343" s="300"/>
      <c r="G343" s="300">
        <v>13689</v>
      </c>
      <c r="H343" s="86" t="s">
        <v>3215</v>
      </c>
      <c r="I343" s="86" t="s">
        <v>3397</v>
      </c>
      <c r="J343" s="86"/>
      <c r="K343" s="300"/>
      <c r="L343" s="300"/>
    </row>
    <row r="344" spans="1:12">
      <c r="A344" s="86" t="s">
        <v>3081</v>
      </c>
      <c r="B344" s="86" t="s">
        <v>3301</v>
      </c>
      <c r="C344" s="86">
        <v>2248644</v>
      </c>
      <c r="D344" s="86"/>
      <c r="E344" s="300">
        <v>12513</v>
      </c>
      <c r="F344" s="300"/>
      <c r="G344" s="300">
        <v>13703</v>
      </c>
      <c r="H344" s="86" t="s">
        <v>3215</v>
      </c>
      <c r="I344" s="86" t="s">
        <v>3259</v>
      </c>
      <c r="J344" s="86" t="s">
        <v>845</v>
      </c>
      <c r="K344" s="300">
        <v>12093</v>
      </c>
      <c r="L344" s="300"/>
    </row>
    <row r="345" spans="1:12">
      <c r="A345" s="86" t="s">
        <v>3081</v>
      </c>
      <c r="B345" s="86" t="s">
        <v>3301</v>
      </c>
      <c r="C345" s="86">
        <v>2250228</v>
      </c>
      <c r="D345" s="86"/>
      <c r="E345" s="300">
        <v>13061</v>
      </c>
      <c r="F345" s="300"/>
      <c r="G345" s="300">
        <v>13717</v>
      </c>
      <c r="H345" s="86" t="s">
        <v>3215</v>
      </c>
      <c r="I345" s="86" t="s">
        <v>3260</v>
      </c>
      <c r="J345" s="86" t="s">
        <v>702</v>
      </c>
      <c r="K345" s="300">
        <v>12691</v>
      </c>
      <c r="L345" s="300"/>
    </row>
    <row r="346" spans="1:12">
      <c r="A346" s="86" t="s">
        <v>3081</v>
      </c>
      <c r="B346" s="86" t="s">
        <v>3301</v>
      </c>
      <c r="C346" s="86">
        <v>2252476</v>
      </c>
      <c r="D346" s="86"/>
      <c r="E346" s="300">
        <v>13482</v>
      </c>
      <c r="F346" s="300"/>
      <c r="G346" s="300">
        <v>13738</v>
      </c>
      <c r="H346" s="86" t="s">
        <v>3215</v>
      </c>
      <c r="I346" s="86" t="s">
        <v>3111</v>
      </c>
      <c r="J346" s="86"/>
      <c r="K346" s="300"/>
      <c r="L346" s="300"/>
    </row>
    <row r="347" spans="1:12">
      <c r="A347" s="86" t="s">
        <v>3081</v>
      </c>
      <c r="B347" s="86" t="s">
        <v>3301</v>
      </c>
      <c r="C347" s="86">
        <v>2258480</v>
      </c>
      <c r="D347" s="86"/>
      <c r="E347" s="300">
        <v>13108</v>
      </c>
      <c r="F347" s="300"/>
      <c r="G347" s="300">
        <v>13794</v>
      </c>
      <c r="H347" s="86" t="s">
        <v>3215</v>
      </c>
      <c r="I347" s="86" t="s">
        <v>3261</v>
      </c>
      <c r="J347" s="86" t="s">
        <v>845</v>
      </c>
      <c r="K347" s="300">
        <v>12404</v>
      </c>
      <c r="L347" s="300"/>
    </row>
    <row r="348" spans="1:12">
      <c r="A348" s="86" t="s">
        <v>3081</v>
      </c>
      <c r="B348" s="86" t="s">
        <v>3301</v>
      </c>
      <c r="C348" s="86">
        <v>2262629</v>
      </c>
      <c r="D348" s="86"/>
      <c r="E348" s="300">
        <v>13193</v>
      </c>
      <c r="F348" s="300"/>
      <c r="G348" s="300">
        <v>13829</v>
      </c>
      <c r="H348" s="86" t="s">
        <v>3215</v>
      </c>
      <c r="I348" s="86" t="s">
        <v>3111</v>
      </c>
      <c r="J348" s="86"/>
      <c r="K348" s="300"/>
      <c r="L348" s="300"/>
    </row>
    <row r="349" spans="1:12">
      <c r="A349" s="86" t="s">
        <v>3081</v>
      </c>
      <c r="B349" s="86" t="s">
        <v>3301</v>
      </c>
      <c r="C349" s="86">
        <v>2270126</v>
      </c>
      <c r="D349" s="86"/>
      <c r="E349" s="300">
        <v>12976</v>
      </c>
      <c r="F349" s="300"/>
      <c r="G349" s="300">
        <v>13892</v>
      </c>
      <c r="H349" s="86" t="s">
        <v>3215</v>
      </c>
      <c r="I349" s="86" t="s">
        <v>3262</v>
      </c>
      <c r="J349" s="86"/>
      <c r="K349" s="300"/>
      <c r="L349" s="300"/>
    </row>
    <row r="350" spans="1:12">
      <c r="A350" s="86" t="s">
        <v>3081</v>
      </c>
      <c r="B350" s="86" t="s">
        <v>3301</v>
      </c>
      <c r="C350" s="86">
        <v>2272512</v>
      </c>
      <c r="D350" s="86"/>
      <c r="E350" s="300">
        <v>13707</v>
      </c>
      <c r="F350" s="300"/>
      <c r="G350" s="300">
        <v>13920</v>
      </c>
      <c r="H350" s="86" t="s">
        <v>3215</v>
      </c>
      <c r="I350" s="86" t="s">
        <v>3137</v>
      </c>
      <c r="J350" s="86"/>
      <c r="K350" s="300"/>
      <c r="L350" s="300"/>
    </row>
    <row r="351" spans="1:12">
      <c r="A351" s="86" t="s">
        <v>3081</v>
      </c>
      <c r="B351" s="86" t="s">
        <v>3301</v>
      </c>
      <c r="C351" s="86">
        <v>2272520</v>
      </c>
      <c r="D351" s="86"/>
      <c r="E351" s="300">
        <v>13482</v>
      </c>
      <c r="F351" s="300"/>
      <c r="G351" s="300">
        <v>13920</v>
      </c>
      <c r="H351" s="86" t="s">
        <v>3215</v>
      </c>
      <c r="I351" s="86" t="s">
        <v>3138</v>
      </c>
      <c r="J351" s="86"/>
      <c r="K351" s="300"/>
      <c r="L351" s="300"/>
    </row>
    <row r="352" spans="1:12">
      <c r="A352" s="86" t="s">
        <v>3081</v>
      </c>
      <c r="B352" s="86" t="s">
        <v>3301</v>
      </c>
      <c r="C352" s="86">
        <v>2272523</v>
      </c>
      <c r="D352" s="86"/>
      <c r="E352" s="300">
        <v>13524</v>
      </c>
      <c r="F352" s="300"/>
      <c r="G352" s="300">
        <v>13920</v>
      </c>
      <c r="H352" s="86" t="s">
        <v>3215</v>
      </c>
      <c r="I352" s="86" t="s">
        <v>3071</v>
      </c>
      <c r="J352" s="86"/>
      <c r="K352" s="300"/>
      <c r="L352" s="300"/>
    </row>
    <row r="353" spans="1:12">
      <c r="A353" s="86" t="s">
        <v>3081</v>
      </c>
      <c r="B353" s="86" t="s">
        <v>3301</v>
      </c>
      <c r="C353" s="86">
        <v>2275674</v>
      </c>
      <c r="D353" s="86"/>
      <c r="E353" s="300">
        <v>12331</v>
      </c>
      <c r="F353" s="300"/>
      <c r="G353" s="300">
        <v>13948</v>
      </c>
      <c r="H353" s="86" t="s">
        <v>3215</v>
      </c>
      <c r="I353" s="86" t="s">
        <v>3404</v>
      </c>
      <c r="J353" s="86" t="s">
        <v>702</v>
      </c>
      <c r="K353" s="300">
        <v>11966</v>
      </c>
      <c r="L353" s="300"/>
    </row>
    <row r="354" spans="1:12">
      <c r="A354" s="86" t="s">
        <v>3081</v>
      </c>
      <c r="B354" s="86" t="s">
        <v>3301</v>
      </c>
      <c r="C354" s="86">
        <v>2277563</v>
      </c>
      <c r="D354" s="86"/>
      <c r="E354" s="300">
        <v>13462</v>
      </c>
      <c r="F354" s="300"/>
      <c r="G354" s="300">
        <v>13962</v>
      </c>
      <c r="H354" s="86" t="s">
        <v>3215</v>
      </c>
      <c r="I354" s="86" t="s">
        <v>3405</v>
      </c>
      <c r="J354" s="86"/>
      <c r="K354" s="300"/>
      <c r="L354" s="300"/>
    </row>
    <row r="355" spans="1:12">
      <c r="A355" s="86" t="s">
        <v>3081</v>
      </c>
      <c r="B355" s="86" t="s">
        <v>3301</v>
      </c>
      <c r="C355" s="86">
        <v>2278816</v>
      </c>
      <c r="D355" s="86"/>
      <c r="E355" s="300">
        <v>13571</v>
      </c>
      <c r="F355" s="300"/>
      <c r="G355" s="300">
        <v>13976</v>
      </c>
      <c r="H355" s="86" t="s">
        <v>3215</v>
      </c>
      <c r="I355" s="86" t="s">
        <v>3234</v>
      </c>
      <c r="J355" s="86"/>
      <c r="K355" s="300"/>
      <c r="L355" s="300"/>
    </row>
    <row r="356" spans="1:12">
      <c r="A356" s="86" t="s">
        <v>3081</v>
      </c>
      <c r="B356" s="86" t="s">
        <v>3301</v>
      </c>
      <c r="C356" s="86">
        <v>2292002</v>
      </c>
      <c r="D356" s="86"/>
      <c r="E356" s="300">
        <v>13626</v>
      </c>
      <c r="F356" s="300"/>
      <c r="G356" s="300">
        <v>14095</v>
      </c>
      <c r="H356" s="86" t="s">
        <v>3215</v>
      </c>
      <c r="I356" s="86" t="s">
        <v>3406</v>
      </c>
      <c r="J356" s="86" t="s">
        <v>3133</v>
      </c>
      <c r="K356" s="300">
        <v>13269</v>
      </c>
      <c r="L356" s="300"/>
    </row>
    <row r="357" spans="1:12">
      <c r="A357" s="86" t="s">
        <v>3081</v>
      </c>
      <c r="B357" s="86" t="s">
        <v>3301</v>
      </c>
      <c r="C357" s="86">
        <v>2297981</v>
      </c>
      <c r="D357" s="86"/>
      <c r="E357" s="300">
        <v>12880</v>
      </c>
      <c r="F357" s="300"/>
      <c r="G357" s="300">
        <v>14158</v>
      </c>
      <c r="H357" s="86" t="s">
        <v>3215</v>
      </c>
      <c r="I357" s="86" t="s">
        <v>3210</v>
      </c>
      <c r="J357" s="86"/>
      <c r="K357" s="300"/>
      <c r="L357" s="300"/>
    </row>
    <row r="358" spans="1:12">
      <c r="A358" s="86" t="s">
        <v>3081</v>
      </c>
      <c r="B358" s="86" t="s">
        <v>3301</v>
      </c>
      <c r="C358" s="86">
        <v>2300870</v>
      </c>
      <c r="D358" s="86"/>
      <c r="E358" s="300">
        <v>13651</v>
      </c>
      <c r="F358" s="300"/>
      <c r="G358" s="300">
        <v>14186</v>
      </c>
      <c r="H358" s="86" t="s">
        <v>3215</v>
      </c>
      <c r="I358" s="86" t="s">
        <v>3407</v>
      </c>
      <c r="J358" s="86"/>
      <c r="K358" s="300"/>
      <c r="L358" s="300"/>
    </row>
    <row r="359" spans="1:12">
      <c r="A359" s="189" t="s">
        <v>3081</v>
      </c>
      <c r="B359" s="189" t="s">
        <v>3301</v>
      </c>
      <c r="C359" s="189">
        <v>2300917</v>
      </c>
      <c r="D359" s="189"/>
      <c r="E359" s="202">
        <v>12731</v>
      </c>
      <c r="F359" s="202"/>
      <c r="G359" s="202">
        <v>14186</v>
      </c>
      <c r="H359" s="189" t="s">
        <v>3215</v>
      </c>
      <c r="I359" s="189" t="s">
        <v>3277</v>
      </c>
      <c r="J359" s="189"/>
      <c r="K359" s="202"/>
      <c r="L359" s="202"/>
    </row>
    <row r="360" spans="1:12">
      <c r="A360" s="189" t="s">
        <v>3081</v>
      </c>
      <c r="B360" s="189" t="s">
        <v>3301</v>
      </c>
      <c r="C360" s="189">
        <v>2300997</v>
      </c>
      <c r="D360" s="189"/>
      <c r="E360" s="202">
        <v>13634</v>
      </c>
      <c r="F360" s="202"/>
      <c r="G360" s="202">
        <v>14186</v>
      </c>
      <c r="H360" s="189" t="s">
        <v>3215</v>
      </c>
      <c r="I360" s="189" t="s">
        <v>3395</v>
      </c>
      <c r="J360" s="189"/>
      <c r="K360" s="202"/>
      <c r="L360" s="202"/>
    </row>
    <row r="361" spans="1:12">
      <c r="A361" s="86" t="s">
        <v>3081</v>
      </c>
      <c r="B361" s="86" t="s">
        <v>3301</v>
      </c>
      <c r="C361" s="86">
        <v>2317027</v>
      </c>
      <c r="D361" s="86"/>
      <c r="E361" s="300">
        <v>13987</v>
      </c>
      <c r="F361" s="300"/>
      <c r="G361" s="300">
        <v>14354</v>
      </c>
      <c r="H361" s="86" t="s">
        <v>3215</v>
      </c>
      <c r="I361" s="86" t="s">
        <v>3278</v>
      </c>
      <c r="J361" s="86"/>
      <c r="K361" s="300"/>
      <c r="L361" s="300"/>
    </row>
    <row r="362" spans="1:12">
      <c r="A362" s="86" t="s">
        <v>3081</v>
      </c>
      <c r="B362" s="86" t="s">
        <v>3301</v>
      </c>
      <c r="C362" s="86">
        <v>2317031</v>
      </c>
      <c r="D362" s="86"/>
      <c r="E362" s="300">
        <v>13707</v>
      </c>
      <c r="F362" s="300"/>
      <c r="G362" s="300">
        <v>14354</v>
      </c>
      <c r="H362" s="86" t="s">
        <v>3215</v>
      </c>
      <c r="I362" s="86" t="s">
        <v>3137</v>
      </c>
      <c r="J362" s="86"/>
      <c r="K362" s="300"/>
      <c r="L362" s="300"/>
    </row>
    <row r="363" spans="1:12">
      <c r="A363" s="86" t="s">
        <v>3081</v>
      </c>
      <c r="B363" s="86" t="s">
        <v>3301</v>
      </c>
      <c r="C363" s="86">
        <v>2317032</v>
      </c>
      <c r="D363" s="86"/>
      <c r="E363" s="300">
        <v>13978</v>
      </c>
      <c r="F363" s="300"/>
      <c r="G363" s="300">
        <v>14354</v>
      </c>
      <c r="H363" s="86" t="s">
        <v>3215</v>
      </c>
      <c r="I363" s="86" t="s">
        <v>3137</v>
      </c>
      <c r="J363" s="86"/>
      <c r="K363" s="300"/>
      <c r="L363" s="300"/>
    </row>
    <row r="364" spans="1:12">
      <c r="A364" s="86" t="s">
        <v>3081</v>
      </c>
      <c r="B364" s="86" t="s">
        <v>3301</v>
      </c>
      <c r="C364" s="86">
        <v>2317035</v>
      </c>
      <c r="D364" s="86"/>
      <c r="E364" s="300">
        <v>13601</v>
      </c>
      <c r="F364" s="300"/>
      <c r="G364" s="300">
        <v>14354</v>
      </c>
      <c r="H364" s="86" t="s">
        <v>3215</v>
      </c>
      <c r="I364" s="86" t="s">
        <v>3279</v>
      </c>
      <c r="J364" s="86"/>
      <c r="K364" s="300"/>
      <c r="L364" s="300"/>
    </row>
    <row r="365" spans="1:12">
      <c r="A365" s="86" t="s">
        <v>3081</v>
      </c>
      <c r="B365" s="86" t="s">
        <v>3301</v>
      </c>
      <c r="C365" s="86">
        <v>2321665</v>
      </c>
      <c r="D365" s="86"/>
      <c r="E365" s="300">
        <v>14188</v>
      </c>
      <c r="F365" s="300"/>
      <c r="G365" s="300">
        <v>14410</v>
      </c>
      <c r="H365" s="86" t="s">
        <v>3215</v>
      </c>
      <c r="I365" s="86" t="s">
        <v>3280</v>
      </c>
      <c r="J365" s="86"/>
      <c r="K365" s="300"/>
      <c r="L365" s="300"/>
    </row>
    <row r="366" spans="1:12">
      <c r="A366" s="86" t="s">
        <v>3081</v>
      </c>
      <c r="B366" s="86" t="s">
        <v>3301</v>
      </c>
      <c r="C366" s="86">
        <v>2324972</v>
      </c>
      <c r="D366" s="86"/>
      <c r="E366" s="300">
        <v>13845</v>
      </c>
      <c r="F366" s="300"/>
      <c r="G366" s="300">
        <v>14445</v>
      </c>
      <c r="H366" s="86" t="s">
        <v>3215</v>
      </c>
      <c r="I366" s="86" t="s">
        <v>3111</v>
      </c>
      <c r="J366" s="86"/>
      <c r="K366" s="300"/>
      <c r="L366" s="300"/>
    </row>
    <row r="367" spans="1:12">
      <c r="A367" s="86" t="s">
        <v>3081</v>
      </c>
      <c r="B367" s="86" t="s">
        <v>3301</v>
      </c>
      <c r="C367" s="86">
        <v>2326419</v>
      </c>
      <c r="D367" s="86"/>
      <c r="E367" s="300">
        <v>14244</v>
      </c>
      <c r="F367" s="300"/>
      <c r="G367" s="300">
        <v>14466</v>
      </c>
      <c r="H367" s="86" t="s">
        <v>3215</v>
      </c>
      <c r="I367" s="86" t="s">
        <v>3281</v>
      </c>
      <c r="J367" s="86"/>
      <c r="K367" s="300"/>
      <c r="L367" s="300"/>
    </row>
    <row r="368" spans="1:12">
      <c r="A368" s="86" t="s">
        <v>3081</v>
      </c>
      <c r="B368" s="86" t="s">
        <v>3301</v>
      </c>
      <c r="C368" s="86">
        <v>2327031</v>
      </c>
      <c r="D368" s="86"/>
      <c r="E368" s="300">
        <v>14101</v>
      </c>
      <c r="F368" s="300"/>
      <c r="G368" s="300">
        <v>14473</v>
      </c>
      <c r="H368" s="86" t="s">
        <v>3215</v>
      </c>
      <c r="I368" s="86" t="s">
        <v>3280</v>
      </c>
      <c r="J368" s="86"/>
      <c r="K368" s="300"/>
      <c r="L368" s="300"/>
    </row>
    <row r="369" spans="1:12">
      <c r="A369" s="86" t="s">
        <v>3081</v>
      </c>
      <c r="B369" s="86" t="s">
        <v>3301</v>
      </c>
      <c r="C369" s="86">
        <v>2336529</v>
      </c>
      <c r="D369" s="86"/>
      <c r="E369" s="300">
        <v>14118</v>
      </c>
      <c r="F369" s="300"/>
      <c r="G369" s="300">
        <v>14592</v>
      </c>
      <c r="H369" s="86" t="s">
        <v>3215</v>
      </c>
      <c r="I369" s="86" t="s">
        <v>3211</v>
      </c>
      <c r="J369" s="86"/>
      <c r="K369" s="300"/>
      <c r="L369" s="300"/>
    </row>
    <row r="370" spans="1:12">
      <c r="A370" s="86" t="s">
        <v>3081</v>
      </c>
      <c r="B370" s="86" t="s">
        <v>3301</v>
      </c>
      <c r="C370" s="86">
        <v>2336556</v>
      </c>
      <c r="D370" s="86"/>
      <c r="E370" s="300">
        <v>14050</v>
      </c>
      <c r="F370" s="300"/>
      <c r="G370" s="300">
        <v>14592</v>
      </c>
      <c r="H370" s="86" t="s">
        <v>3215</v>
      </c>
      <c r="I370" s="86" t="s">
        <v>3340</v>
      </c>
      <c r="J370" s="86"/>
      <c r="K370" s="300"/>
      <c r="L370" s="300"/>
    </row>
    <row r="371" spans="1:12">
      <c r="A371" s="86" t="s">
        <v>3081</v>
      </c>
      <c r="B371" s="86" t="s">
        <v>3301</v>
      </c>
      <c r="C371" s="86">
        <v>2336903</v>
      </c>
      <c r="D371" s="86"/>
      <c r="E371" s="300">
        <v>14388</v>
      </c>
      <c r="F371" s="300"/>
      <c r="G371" s="300">
        <v>14592</v>
      </c>
      <c r="H371" s="86" t="s">
        <v>3215</v>
      </c>
      <c r="I371" s="86" t="s">
        <v>3395</v>
      </c>
      <c r="J371" s="86"/>
      <c r="K371" s="300"/>
      <c r="L371" s="300"/>
    </row>
    <row r="372" spans="1:12">
      <c r="A372" s="86" t="s">
        <v>3081</v>
      </c>
      <c r="B372" s="86" t="s">
        <v>3301</v>
      </c>
      <c r="C372" s="86">
        <v>2338865</v>
      </c>
      <c r="D372" s="86"/>
      <c r="E372" s="300">
        <v>14007</v>
      </c>
      <c r="F372" s="300"/>
      <c r="G372" s="300">
        <v>14620</v>
      </c>
      <c r="H372" s="86" t="s">
        <v>3215</v>
      </c>
      <c r="I372" s="86" t="s">
        <v>3282</v>
      </c>
      <c r="J372" s="86"/>
      <c r="K372" s="300"/>
      <c r="L372" s="300"/>
    </row>
    <row r="373" spans="1:12">
      <c r="A373" s="86" t="s">
        <v>3081</v>
      </c>
      <c r="B373" s="86" t="s">
        <v>3301</v>
      </c>
      <c r="C373" s="86">
        <v>2347028</v>
      </c>
      <c r="D373" s="86"/>
      <c r="E373" s="300">
        <v>14145</v>
      </c>
      <c r="F373" s="300"/>
      <c r="G373" s="300">
        <v>14718</v>
      </c>
      <c r="H373" s="86" t="s">
        <v>3215</v>
      </c>
      <c r="I373" s="86" t="s">
        <v>3211</v>
      </c>
      <c r="J373" s="86"/>
      <c r="K373" s="300"/>
      <c r="L373" s="300"/>
    </row>
    <row r="374" spans="1:12">
      <c r="A374" s="86" t="s">
        <v>3081</v>
      </c>
      <c r="B374" s="86" t="s">
        <v>3301</v>
      </c>
      <c r="C374" s="86">
        <v>2351299</v>
      </c>
      <c r="D374" s="86"/>
      <c r="E374" s="300">
        <v>14528</v>
      </c>
      <c r="F374" s="300"/>
      <c r="G374" s="300">
        <v>14774</v>
      </c>
      <c r="H374" s="86" t="s">
        <v>3215</v>
      </c>
      <c r="I374" s="86" t="s">
        <v>3314</v>
      </c>
      <c r="J374" s="86"/>
      <c r="K374" s="300"/>
      <c r="L374" s="300"/>
    </row>
    <row r="375" spans="1:12">
      <c r="A375" s="86" t="s">
        <v>3081</v>
      </c>
      <c r="B375" s="86" t="s">
        <v>3301</v>
      </c>
      <c r="C375" s="86">
        <v>2359483</v>
      </c>
      <c r="D375" s="86"/>
      <c r="E375" s="300">
        <v>14169</v>
      </c>
      <c r="F375" s="300"/>
      <c r="G375" s="300">
        <v>14886</v>
      </c>
      <c r="H375" s="86" t="s">
        <v>3215</v>
      </c>
      <c r="I375" s="86" t="s">
        <v>3283</v>
      </c>
      <c r="J375" s="86"/>
      <c r="K375" s="300"/>
      <c r="L375" s="300"/>
    </row>
    <row r="376" spans="1:12">
      <c r="A376" s="86" t="s">
        <v>3081</v>
      </c>
      <c r="B376" s="86" t="s">
        <v>3301</v>
      </c>
      <c r="C376" s="86">
        <v>2361485</v>
      </c>
      <c r="D376" s="86"/>
      <c r="E376" s="300">
        <v>14635</v>
      </c>
      <c r="F376" s="300"/>
      <c r="G376" s="300">
        <v>14914</v>
      </c>
      <c r="H376" s="86" t="s">
        <v>3215</v>
      </c>
      <c r="I376" s="86" t="s">
        <v>3284</v>
      </c>
      <c r="J376" s="86" t="s">
        <v>683</v>
      </c>
      <c r="K376" s="300">
        <v>14329</v>
      </c>
      <c r="L376" s="300"/>
    </row>
    <row r="377" spans="1:12">
      <c r="A377" s="86" t="s">
        <v>3081</v>
      </c>
      <c r="B377" s="86" t="s">
        <v>3301</v>
      </c>
      <c r="C377" s="86">
        <v>2361486</v>
      </c>
      <c r="D377" s="86"/>
      <c r="E377" s="300">
        <v>14635</v>
      </c>
      <c r="F377" s="300"/>
      <c r="G377" s="300">
        <v>14914</v>
      </c>
      <c r="H377" s="86" t="s">
        <v>3215</v>
      </c>
      <c r="I377" s="86" t="s">
        <v>3284</v>
      </c>
      <c r="J377" s="86" t="s">
        <v>683</v>
      </c>
      <c r="K377" s="300">
        <v>14474</v>
      </c>
      <c r="L377" s="300"/>
    </row>
    <row r="378" spans="1:12">
      <c r="A378" s="86" t="s">
        <v>3081</v>
      </c>
      <c r="B378" s="86" t="s">
        <v>3301</v>
      </c>
      <c r="C378" s="86">
        <v>2363067</v>
      </c>
      <c r="D378" s="86"/>
      <c r="E378" s="300">
        <v>13116</v>
      </c>
      <c r="F378" s="300"/>
      <c r="G378" s="300">
        <v>14935</v>
      </c>
      <c r="H378" s="86" t="s">
        <v>3215</v>
      </c>
      <c r="I378" s="86" t="s">
        <v>3567</v>
      </c>
      <c r="J378" s="86" t="s">
        <v>702</v>
      </c>
      <c r="K378" s="300">
        <v>12761</v>
      </c>
      <c r="L378" s="300"/>
    </row>
    <row r="379" spans="1:12">
      <c r="A379" s="86" t="s">
        <v>3081</v>
      </c>
      <c r="B379" s="86" t="s">
        <v>3301</v>
      </c>
      <c r="C379" s="86">
        <v>2366292</v>
      </c>
      <c r="D379" s="86"/>
      <c r="E379" s="300">
        <v>14528</v>
      </c>
      <c r="F379" s="300"/>
      <c r="G379" s="300">
        <v>14977</v>
      </c>
      <c r="H379" s="86" t="s">
        <v>3215</v>
      </c>
      <c r="I379" s="86" t="s">
        <v>3314</v>
      </c>
      <c r="J379" s="86"/>
      <c r="K379" s="300"/>
      <c r="L379" s="300"/>
    </row>
    <row r="380" spans="1:12">
      <c r="A380" s="86" t="s">
        <v>3081</v>
      </c>
      <c r="B380" s="86" t="s">
        <v>3301</v>
      </c>
      <c r="C380" s="86">
        <v>2367905</v>
      </c>
      <c r="D380" s="86"/>
      <c r="E380" s="300">
        <v>14388</v>
      </c>
      <c r="F380" s="300"/>
      <c r="G380" s="300">
        <v>14998</v>
      </c>
      <c r="H380" s="86" t="s">
        <v>3215</v>
      </c>
      <c r="I380" s="86" t="s">
        <v>3395</v>
      </c>
      <c r="J380" s="86"/>
      <c r="K380" s="300"/>
      <c r="L380" s="300"/>
    </row>
    <row r="381" spans="1:12">
      <c r="A381" s="86" t="s">
        <v>3081</v>
      </c>
      <c r="B381" s="86" t="s">
        <v>3301</v>
      </c>
      <c r="C381" s="86">
        <v>2379063</v>
      </c>
      <c r="D381" s="86"/>
      <c r="E381" s="300">
        <v>14899</v>
      </c>
      <c r="F381" s="300"/>
      <c r="G381" s="300">
        <v>15152</v>
      </c>
      <c r="H381" s="86" t="s">
        <v>3215</v>
      </c>
      <c r="I381" s="86" t="s">
        <v>3488</v>
      </c>
      <c r="J381" s="86"/>
      <c r="K381" s="300"/>
      <c r="L381" s="300"/>
    </row>
    <row r="382" spans="1:12">
      <c r="A382" s="86" t="s">
        <v>3081</v>
      </c>
      <c r="B382" s="86" t="s">
        <v>3301</v>
      </c>
      <c r="C382" s="86">
        <v>2379075</v>
      </c>
      <c r="D382" s="86"/>
      <c r="E382" s="300">
        <v>13654</v>
      </c>
      <c r="F382" s="300"/>
      <c r="G382" s="300">
        <v>15152</v>
      </c>
      <c r="H382" s="86" t="s">
        <v>3215</v>
      </c>
      <c r="I382" s="86" t="s">
        <v>3568</v>
      </c>
      <c r="J382" s="86"/>
      <c r="K382" s="300"/>
      <c r="L382" s="300"/>
    </row>
    <row r="383" spans="1:12">
      <c r="A383" s="86" t="s">
        <v>3081</v>
      </c>
      <c r="B383" s="86" t="s">
        <v>3301</v>
      </c>
      <c r="C383" s="86">
        <v>2380811</v>
      </c>
      <c r="D383" s="86"/>
      <c r="E383" s="300">
        <v>14432</v>
      </c>
      <c r="F383" s="300"/>
      <c r="G383" s="300">
        <v>15187</v>
      </c>
      <c r="H383" s="86" t="s">
        <v>3215</v>
      </c>
      <c r="I383" s="86" t="s">
        <v>3569</v>
      </c>
      <c r="J383" s="86"/>
      <c r="K383" s="300"/>
      <c r="L383" s="300"/>
    </row>
    <row r="384" spans="1:12">
      <c r="A384" s="86" t="s">
        <v>3081</v>
      </c>
      <c r="B384" s="86" t="s">
        <v>3301</v>
      </c>
      <c r="C384" s="86">
        <v>2385634</v>
      </c>
      <c r="D384" s="86"/>
      <c r="E384" s="300">
        <v>14446</v>
      </c>
      <c r="F384" s="300"/>
      <c r="G384" s="300">
        <v>15243</v>
      </c>
      <c r="H384" s="86" t="s">
        <v>3215</v>
      </c>
      <c r="I384" s="86" t="s">
        <v>3340</v>
      </c>
      <c r="J384" s="86"/>
      <c r="K384" s="300"/>
      <c r="L384" s="300"/>
    </row>
    <row r="385" spans="1:12">
      <c r="A385" s="86" t="s">
        <v>3081</v>
      </c>
      <c r="B385" s="86" t="s">
        <v>3301</v>
      </c>
      <c r="C385" s="86">
        <v>2388866</v>
      </c>
      <c r="D385" s="86"/>
      <c r="E385" s="300">
        <v>14638</v>
      </c>
      <c r="F385" s="300"/>
      <c r="G385" s="300">
        <v>15292</v>
      </c>
      <c r="H385" s="86" t="s">
        <v>3215</v>
      </c>
      <c r="I385" s="86" t="s">
        <v>3570</v>
      </c>
      <c r="J385" s="86" t="s">
        <v>702</v>
      </c>
      <c r="K385" s="300">
        <v>14188</v>
      </c>
      <c r="L385" s="300"/>
    </row>
    <row r="386" spans="1:12">
      <c r="A386" s="86" t="s">
        <v>3081</v>
      </c>
      <c r="B386" s="86" t="s">
        <v>3301</v>
      </c>
      <c r="C386" s="86">
        <v>2390191</v>
      </c>
      <c r="D386" s="86"/>
      <c r="E386" s="300">
        <v>15046</v>
      </c>
      <c r="F386" s="300"/>
      <c r="G386" s="300">
        <v>15313</v>
      </c>
      <c r="H386" s="86" t="s">
        <v>3215</v>
      </c>
      <c r="I386" s="86" t="s">
        <v>3571</v>
      </c>
      <c r="J386" s="86" t="s">
        <v>702</v>
      </c>
      <c r="K386" s="300">
        <v>14817</v>
      </c>
      <c r="L386" s="300"/>
    </row>
    <row r="387" spans="1:12">
      <c r="A387" s="86" t="s">
        <v>3081</v>
      </c>
      <c r="B387" s="86" t="s">
        <v>3301</v>
      </c>
      <c r="C387" s="86">
        <v>2394495</v>
      </c>
      <c r="D387" s="86"/>
      <c r="E387" s="300">
        <v>14630</v>
      </c>
      <c r="F387" s="300"/>
      <c r="G387" s="300">
        <v>15376</v>
      </c>
      <c r="H387" s="86" t="s">
        <v>3215</v>
      </c>
      <c r="I387" s="86" t="s">
        <v>3314</v>
      </c>
      <c r="J387" s="86"/>
      <c r="K387" s="300"/>
      <c r="L387" s="300"/>
    </row>
    <row r="388" spans="1:12">
      <c r="A388" s="86" t="s">
        <v>3081</v>
      </c>
      <c r="B388" s="86" t="s">
        <v>3301</v>
      </c>
      <c r="C388" s="86">
        <v>2403070</v>
      </c>
      <c r="D388" s="86"/>
      <c r="E388" s="300">
        <v>15035</v>
      </c>
      <c r="F388" s="300"/>
      <c r="G388" s="300">
        <v>15523</v>
      </c>
      <c r="H388" s="86" t="s">
        <v>3215</v>
      </c>
      <c r="I388" s="86" t="s">
        <v>3428</v>
      </c>
      <c r="J388" s="86"/>
      <c r="K388" s="300"/>
      <c r="L388" s="300"/>
    </row>
    <row r="389" spans="1:12">
      <c r="A389" s="86" t="s">
        <v>3081</v>
      </c>
      <c r="B389" s="86" t="s">
        <v>3301</v>
      </c>
      <c r="C389" s="86">
        <v>2403137</v>
      </c>
      <c r="D389" s="86"/>
      <c r="E389" s="300">
        <v>14426</v>
      </c>
      <c r="F389" s="300"/>
      <c r="G389" s="300">
        <v>15523</v>
      </c>
      <c r="H389" s="86" t="s">
        <v>3215</v>
      </c>
      <c r="I389" s="86" t="s">
        <v>3288</v>
      </c>
      <c r="J389" s="86"/>
      <c r="K389" s="300"/>
      <c r="L389" s="300"/>
    </row>
    <row r="390" spans="1:12">
      <c r="A390" s="86" t="s">
        <v>3081</v>
      </c>
      <c r="B390" s="86" t="s">
        <v>3301</v>
      </c>
      <c r="C390" s="86">
        <v>2404992</v>
      </c>
      <c r="D390" s="86"/>
      <c r="E390" s="300">
        <v>15027</v>
      </c>
      <c r="F390" s="300"/>
      <c r="G390" s="300">
        <v>15551</v>
      </c>
      <c r="H390" s="86" t="s">
        <v>3215</v>
      </c>
      <c r="I390" s="86" t="s">
        <v>3429</v>
      </c>
      <c r="J390" s="86"/>
      <c r="K390" s="300"/>
      <c r="L390" s="300"/>
    </row>
    <row r="391" spans="1:12">
      <c r="A391" s="86" t="s">
        <v>3081</v>
      </c>
      <c r="B391" s="86" t="s">
        <v>3301</v>
      </c>
      <c r="C391" s="86">
        <v>2406271</v>
      </c>
      <c r="D391" s="86"/>
      <c r="E391" s="300">
        <v>13909</v>
      </c>
      <c r="F391" s="300"/>
      <c r="G391" s="300">
        <v>15572</v>
      </c>
      <c r="H391" s="86" t="s">
        <v>3215</v>
      </c>
      <c r="I391" s="86" t="s">
        <v>3395</v>
      </c>
      <c r="J391" s="86"/>
      <c r="K391" s="300"/>
      <c r="L391" s="300"/>
    </row>
    <row r="392" spans="1:12">
      <c r="A392" s="86" t="s">
        <v>3081</v>
      </c>
      <c r="B392" s="86" t="s">
        <v>3301</v>
      </c>
      <c r="C392" s="86">
        <v>2408468</v>
      </c>
      <c r="D392" s="86"/>
      <c r="E392" s="300">
        <v>14216</v>
      </c>
      <c r="F392" s="300"/>
      <c r="G392" s="300">
        <v>15614</v>
      </c>
      <c r="H392" s="86" t="s">
        <v>3215</v>
      </c>
      <c r="I392" s="86" t="s">
        <v>3430</v>
      </c>
      <c r="J392" s="86"/>
      <c r="K392" s="300"/>
      <c r="L392" s="300"/>
    </row>
    <row r="393" spans="1:12">
      <c r="A393" s="86" t="s">
        <v>3081</v>
      </c>
      <c r="B393" s="86" t="s">
        <v>3301</v>
      </c>
      <c r="C393" s="86">
        <v>2411568</v>
      </c>
      <c r="D393" s="86"/>
      <c r="E393" s="300">
        <v>14357</v>
      </c>
      <c r="F393" s="300"/>
      <c r="G393" s="300">
        <v>15670</v>
      </c>
      <c r="H393" s="86" t="s">
        <v>3215</v>
      </c>
      <c r="I393" s="86" t="s">
        <v>3431</v>
      </c>
      <c r="J393" s="86"/>
      <c r="K393" s="300"/>
      <c r="L393" s="300"/>
    </row>
    <row r="394" spans="1:12">
      <c r="A394" s="86" t="s">
        <v>3081</v>
      </c>
      <c r="B394" s="86" t="s">
        <v>3301</v>
      </c>
      <c r="C394" s="86">
        <v>2418179</v>
      </c>
      <c r="D394" s="86"/>
      <c r="E394" s="300">
        <v>14370</v>
      </c>
      <c r="F394" s="300"/>
      <c r="G394" s="300">
        <v>15796</v>
      </c>
      <c r="H394" s="86" t="s">
        <v>3215</v>
      </c>
      <c r="I394" s="86" t="s">
        <v>3432</v>
      </c>
      <c r="J394" s="86"/>
      <c r="K394" s="300"/>
      <c r="L394" s="300"/>
    </row>
    <row r="395" spans="1:12">
      <c r="A395" s="86" t="s">
        <v>3081</v>
      </c>
      <c r="B395" s="86" t="s">
        <v>3301</v>
      </c>
      <c r="C395" s="86">
        <v>2419395</v>
      </c>
      <c r="D395" s="86"/>
      <c r="E395" s="300">
        <v>15116</v>
      </c>
      <c r="F395" s="300"/>
      <c r="G395" s="300">
        <v>15817</v>
      </c>
      <c r="H395" s="86" t="s">
        <v>3215</v>
      </c>
      <c r="I395" s="86" t="s">
        <v>3431</v>
      </c>
      <c r="J395" s="86"/>
      <c r="K395" s="300"/>
      <c r="L395" s="300"/>
    </row>
    <row r="396" spans="1:12">
      <c r="A396" s="86" t="s">
        <v>3081</v>
      </c>
      <c r="B396" s="86" t="s">
        <v>3301</v>
      </c>
      <c r="C396" s="86">
        <v>2419432</v>
      </c>
      <c r="D396" s="86"/>
      <c r="E396" s="300">
        <v>14945</v>
      </c>
      <c r="F396" s="300"/>
      <c r="G396" s="300">
        <v>15817</v>
      </c>
      <c r="H396" s="86" t="s">
        <v>3215</v>
      </c>
      <c r="I396" s="86" t="s">
        <v>3111</v>
      </c>
      <c r="J396" s="86"/>
      <c r="K396" s="300"/>
      <c r="L396" s="300"/>
    </row>
    <row r="397" spans="1:12">
      <c r="A397" s="86" t="s">
        <v>3081</v>
      </c>
      <c r="B397" s="86" t="s">
        <v>3301</v>
      </c>
      <c r="C397" s="86">
        <v>2425864</v>
      </c>
      <c r="D397" s="86"/>
      <c r="E397" s="300">
        <v>15632</v>
      </c>
      <c r="F397" s="300"/>
      <c r="G397" s="300">
        <v>15936</v>
      </c>
      <c r="H397" s="86" t="s">
        <v>3215</v>
      </c>
      <c r="I397" s="86" t="s">
        <v>3211</v>
      </c>
      <c r="J397" s="86"/>
      <c r="K397" s="300"/>
      <c r="L397" s="300"/>
    </row>
    <row r="398" spans="1:12">
      <c r="A398" s="86" t="s">
        <v>3081</v>
      </c>
      <c r="B398" s="86" t="s">
        <v>3301</v>
      </c>
      <c r="C398" s="86">
        <v>2425865</v>
      </c>
      <c r="D398" s="86"/>
      <c r="E398" s="300">
        <v>15632</v>
      </c>
      <c r="F398" s="300"/>
      <c r="G398" s="300">
        <v>15936</v>
      </c>
      <c r="H398" s="86" t="s">
        <v>3215</v>
      </c>
      <c r="I398" s="86" t="s">
        <v>3211</v>
      </c>
      <c r="J398" s="86"/>
      <c r="K398" s="300"/>
      <c r="L398" s="300"/>
    </row>
    <row r="399" spans="1:12">
      <c r="A399" s="86" t="s">
        <v>3081</v>
      </c>
      <c r="B399" s="86" t="s">
        <v>3301</v>
      </c>
      <c r="C399" s="86">
        <v>2426472</v>
      </c>
      <c r="D399" s="86"/>
      <c r="E399" s="300">
        <v>15714</v>
      </c>
      <c r="F399" s="300"/>
      <c r="G399" s="300">
        <v>15943</v>
      </c>
      <c r="H399" s="86" t="s">
        <v>3215</v>
      </c>
      <c r="I399" s="86" t="s">
        <v>3571</v>
      </c>
      <c r="J399" s="86" t="s">
        <v>702</v>
      </c>
      <c r="K399" s="300">
        <v>15368</v>
      </c>
      <c r="L399" s="300"/>
    </row>
    <row r="400" spans="1:12">
      <c r="A400" s="86" t="s">
        <v>3081</v>
      </c>
      <c r="B400" s="86" t="s">
        <v>3301</v>
      </c>
      <c r="C400" s="86">
        <v>2427711</v>
      </c>
      <c r="D400" s="86"/>
      <c r="E400" s="300">
        <v>15022</v>
      </c>
      <c r="F400" s="300"/>
      <c r="G400" s="300">
        <v>15971</v>
      </c>
      <c r="H400" s="86" t="s">
        <v>3215</v>
      </c>
      <c r="I400" s="86" t="s">
        <v>3211</v>
      </c>
      <c r="J400" s="86"/>
      <c r="K400" s="300"/>
      <c r="L400" s="300"/>
    </row>
    <row r="401" spans="1:12">
      <c r="A401" s="86" t="s">
        <v>3081</v>
      </c>
      <c r="B401" s="86" t="s">
        <v>3301</v>
      </c>
      <c r="C401" s="86">
        <v>2427727</v>
      </c>
      <c r="D401" s="86"/>
      <c r="E401" s="300">
        <v>14511</v>
      </c>
      <c r="F401" s="300"/>
      <c r="G401" s="300">
        <v>15971</v>
      </c>
      <c r="H401" s="86" t="s">
        <v>3215</v>
      </c>
      <c r="I401" s="86" t="s">
        <v>3433</v>
      </c>
      <c r="J401" s="86"/>
      <c r="K401" s="300"/>
      <c r="L401" s="300"/>
    </row>
    <row r="402" spans="1:12">
      <c r="A402" s="86" t="s">
        <v>3081</v>
      </c>
      <c r="B402" s="86" t="s">
        <v>3301</v>
      </c>
      <c r="C402" s="86">
        <v>2429432</v>
      </c>
      <c r="D402" s="86"/>
      <c r="E402" s="300">
        <v>15410</v>
      </c>
      <c r="F402" s="300"/>
      <c r="G402" s="300">
        <v>15999</v>
      </c>
      <c r="H402" s="86" t="s">
        <v>3215</v>
      </c>
      <c r="I402" s="86" t="s">
        <v>3434</v>
      </c>
      <c r="J402" s="86" t="s">
        <v>702</v>
      </c>
      <c r="K402" s="300">
        <v>15053</v>
      </c>
      <c r="L402" s="300"/>
    </row>
    <row r="403" spans="1:12">
      <c r="A403" s="86" t="s">
        <v>3081</v>
      </c>
      <c r="B403" s="86" t="s">
        <v>3301</v>
      </c>
      <c r="C403" s="86">
        <v>2434757</v>
      </c>
      <c r="D403" s="86"/>
      <c r="E403" s="300">
        <v>15764</v>
      </c>
      <c r="F403" s="300"/>
      <c r="G403" s="300">
        <v>16090</v>
      </c>
      <c r="H403" s="86" t="s">
        <v>3215</v>
      </c>
      <c r="I403" s="86" t="s">
        <v>3211</v>
      </c>
      <c r="J403" s="86"/>
      <c r="K403" s="300"/>
      <c r="L403" s="300"/>
    </row>
    <row r="404" spans="1:12">
      <c r="A404" s="86" t="s">
        <v>3081</v>
      </c>
      <c r="B404" s="86" t="s">
        <v>3301</v>
      </c>
      <c r="C404" s="86">
        <v>2434779</v>
      </c>
      <c r="D404" s="86"/>
      <c r="E404" s="300">
        <v>15764</v>
      </c>
      <c r="F404" s="300"/>
      <c r="G404" s="300">
        <v>16090</v>
      </c>
      <c r="H404" s="86" t="s">
        <v>3215</v>
      </c>
      <c r="I404" s="86" t="s">
        <v>3435</v>
      </c>
      <c r="J404" s="86"/>
      <c r="K404" s="300"/>
      <c r="L404" s="300"/>
    </row>
    <row r="405" spans="1:12">
      <c r="A405" s="86" t="s">
        <v>3081</v>
      </c>
      <c r="B405" s="86" t="s">
        <v>3301</v>
      </c>
      <c r="C405" s="86">
        <v>2436259</v>
      </c>
      <c r="D405" s="86"/>
      <c r="E405" s="300">
        <v>15407</v>
      </c>
      <c r="F405" s="300"/>
      <c r="G405" s="300">
        <v>16118</v>
      </c>
      <c r="H405" s="86" t="s">
        <v>3215</v>
      </c>
      <c r="I405" s="86" t="s">
        <v>3436</v>
      </c>
      <c r="J405" s="86"/>
      <c r="K405" s="300"/>
      <c r="L405" s="300"/>
    </row>
    <row r="406" spans="1:12">
      <c r="A406" s="86" t="s">
        <v>3081</v>
      </c>
      <c r="B406" s="86" t="s">
        <v>3301</v>
      </c>
      <c r="C406" s="86">
        <v>2441815</v>
      </c>
      <c r="D406" s="86"/>
      <c r="E406" s="300">
        <v>15827</v>
      </c>
      <c r="F406" s="300"/>
      <c r="G406" s="300">
        <v>16209</v>
      </c>
      <c r="H406" s="86" t="s">
        <v>3215</v>
      </c>
      <c r="I406" s="86" t="s">
        <v>3580</v>
      </c>
      <c r="J406" s="86"/>
      <c r="K406" s="300"/>
      <c r="L406" s="300"/>
    </row>
    <row r="407" spans="1:12">
      <c r="A407" s="86" t="s">
        <v>3081</v>
      </c>
      <c r="B407" s="86" t="s">
        <v>3301</v>
      </c>
      <c r="C407" s="86">
        <v>2441853</v>
      </c>
      <c r="D407" s="86"/>
      <c r="E407" s="300">
        <v>15410</v>
      </c>
      <c r="F407" s="300"/>
      <c r="G407" s="300">
        <v>16209</v>
      </c>
      <c r="H407" s="86" t="s">
        <v>3215</v>
      </c>
      <c r="I407" s="86" t="s">
        <v>3434</v>
      </c>
      <c r="J407" s="86" t="s">
        <v>702</v>
      </c>
      <c r="K407" s="300">
        <v>15053</v>
      </c>
      <c r="L407" s="300"/>
    </row>
    <row r="408" spans="1:12">
      <c r="A408" s="86" t="s">
        <v>3081</v>
      </c>
      <c r="B408" s="86" t="s">
        <v>3301</v>
      </c>
      <c r="C408" s="86">
        <v>2447158</v>
      </c>
      <c r="D408" s="86"/>
      <c r="E408" s="300">
        <v>14487</v>
      </c>
      <c r="F408" s="300"/>
      <c r="G408" s="300">
        <v>16300</v>
      </c>
      <c r="H408" s="86" t="s">
        <v>3215</v>
      </c>
      <c r="I408" s="86" t="s">
        <v>3211</v>
      </c>
      <c r="J408" s="86"/>
      <c r="K408" s="300"/>
      <c r="L408" s="300"/>
    </row>
    <row r="409" spans="1:12">
      <c r="A409" s="86" t="s">
        <v>3081</v>
      </c>
      <c r="B409" s="86" t="s">
        <v>3301</v>
      </c>
      <c r="C409" s="86">
        <v>2449650</v>
      </c>
      <c r="D409" s="86"/>
      <c r="E409" s="300">
        <v>15979</v>
      </c>
      <c r="F409" s="300"/>
      <c r="G409" s="300">
        <v>16335</v>
      </c>
      <c r="H409" s="86" t="s">
        <v>3215</v>
      </c>
      <c r="I409" s="86" t="s">
        <v>3491</v>
      </c>
      <c r="J409" s="86"/>
      <c r="K409" s="300"/>
      <c r="L409" s="300"/>
    </row>
    <row r="410" spans="1:12">
      <c r="A410" s="86" t="s">
        <v>3081</v>
      </c>
      <c r="B410" s="86" t="s">
        <v>3301</v>
      </c>
      <c r="C410" s="86">
        <v>2449676</v>
      </c>
      <c r="D410" s="86"/>
      <c r="E410" s="300">
        <v>15979</v>
      </c>
      <c r="F410" s="300"/>
      <c r="G410" s="300">
        <v>16335</v>
      </c>
      <c r="H410" s="86" t="s">
        <v>3215</v>
      </c>
      <c r="I410" s="86" t="s">
        <v>3426</v>
      </c>
      <c r="J410" s="86"/>
      <c r="K410" s="300"/>
      <c r="L410" s="300"/>
    </row>
    <row r="411" spans="1:12">
      <c r="A411" s="86" t="s">
        <v>3081</v>
      </c>
      <c r="B411" s="86" t="s">
        <v>3301</v>
      </c>
      <c r="C411" s="86">
        <v>2449679</v>
      </c>
      <c r="D411" s="86"/>
      <c r="E411" s="300">
        <v>14944</v>
      </c>
      <c r="F411" s="300"/>
      <c r="G411" s="300">
        <v>16335</v>
      </c>
      <c r="H411" s="86" t="s">
        <v>3215</v>
      </c>
      <c r="I411" s="86" t="s">
        <v>3395</v>
      </c>
      <c r="J411" s="86"/>
      <c r="K411" s="300"/>
      <c r="L411" s="300"/>
    </row>
    <row r="412" spans="1:12">
      <c r="A412" s="86" t="s">
        <v>3081</v>
      </c>
      <c r="B412" s="86" t="s">
        <v>3301</v>
      </c>
      <c r="C412" s="86">
        <v>2462325</v>
      </c>
      <c r="D412" s="86"/>
      <c r="E412" s="300">
        <v>15898</v>
      </c>
      <c r="F412" s="300"/>
      <c r="G412" s="300">
        <v>16489</v>
      </c>
      <c r="H412" s="86" t="s">
        <v>3215</v>
      </c>
      <c r="I412" s="86" t="s">
        <v>3161</v>
      </c>
      <c r="J412" s="86"/>
      <c r="K412" s="300"/>
      <c r="L412" s="300"/>
    </row>
    <row r="413" spans="1:12">
      <c r="A413" s="86" t="s">
        <v>3081</v>
      </c>
      <c r="B413" s="86" t="s">
        <v>3301</v>
      </c>
      <c r="C413" s="86">
        <v>2465084</v>
      </c>
      <c r="D413" s="86"/>
      <c r="E413" s="300">
        <v>16205</v>
      </c>
      <c r="F413" s="300"/>
      <c r="G413" s="300">
        <v>16517</v>
      </c>
      <c r="H413" s="86" t="s">
        <v>3215</v>
      </c>
      <c r="I413" s="86" t="s">
        <v>3491</v>
      </c>
      <c r="J413" s="86"/>
      <c r="K413" s="300"/>
      <c r="L413" s="300"/>
    </row>
    <row r="414" spans="1:12">
      <c r="A414" s="86" t="s">
        <v>3081</v>
      </c>
      <c r="B414" s="86" t="s">
        <v>3301</v>
      </c>
      <c r="C414" s="86">
        <v>2465106</v>
      </c>
      <c r="D414" s="86"/>
      <c r="E414" s="300">
        <v>14785</v>
      </c>
      <c r="F414" s="300"/>
      <c r="G414" s="300">
        <v>16517</v>
      </c>
      <c r="H414" s="86" t="s">
        <v>3215</v>
      </c>
      <c r="I414" s="86" t="s">
        <v>3258</v>
      </c>
      <c r="J414" s="86" t="s">
        <v>702</v>
      </c>
      <c r="K414" s="300">
        <v>14535</v>
      </c>
      <c r="L414" s="300"/>
    </row>
    <row r="415" spans="1:12">
      <c r="A415" s="86" t="s">
        <v>3081</v>
      </c>
      <c r="B415" s="86" t="s">
        <v>3301</v>
      </c>
      <c r="C415" s="86">
        <v>2467710</v>
      </c>
      <c r="D415" s="86"/>
      <c r="E415" s="300">
        <v>15519</v>
      </c>
      <c r="F415" s="300"/>
      <c r="G415" s="300">
        <v>16545</v>
      </c>
      <c r="H415" s="86" t="s">
        <v>3215</v>
      </c>
      <c r="I415" s="86" t="s">
        <v>3162</v>
      </c>
      <c r="J415" s="86"/>
      <c r="K415" s="300"/>
      <c r="L415" s="300"/>
    </row>
    <row r="416" spans="1:12">
      <c r="A416" s="86" t="s">
        <v>3081</v>
      </c>
      <c r="B416" s="86" t="s">
        <v>3301</v>
      </c>
      <c r="C416" s="86">
        <v>2473860</v>
      </c>
      <c r="D416" s="86"/>
      <c r="E416" s="300">
        <v>15653</v>
      </c>
      <c r="F416" s="300"/>
      <c r="G416" s="300">
        <v>16608</v>
      </c>
      <c r="H416" s="86" t="s">
        <v>3215</v>
      </c>
      <c r="I416" s="86" t="s">
        <v>3211</v>
      </c>
      <c r="J416" s="86"/>
      <c r="K416" s="300"/>
      <c r="L416" s="300"/>
    </row>
    <row r="417" spans="1:12">
      <c r="A417" s="86" t="s">
        <v>3081</v>
      </c>
      <c r="B417" s="86" t="s">
        <v>3301</v>
      </c>
      <c r="C417" s="86">
        <v>2485377</v>
      </c>
      <c r="D417" s="86"/>
      <c r="E417" s="300">
        <v>15481</v>
      </c>
      <c r="F417" s="300"/>
      <c r="G417" s="300">
        <v>16727</v>
      </c>
      <c r="H417" s="86" t="s">
        <v>3215</v>
      </c>
      <c r="I417" s="86" t="s">
        <v>3294</v>
      </c>
      <c r="J417" s="86"/>
      <c r="K417" s="300"/>
      <c r="L417" s="300"/>
    </row>
    <row r="418" spans="1:12">
      <c r="A418" s="86" t="s">
        <v>3081</v>
      </c>
      <c r="B418" s="86" t="s">
        <v>3301</v>
      </c>
      <c r="C418" s="86">
        <v>2489259</v>
      </c>
      <c r="D418" s="86"/>
      <c r="E418" s="300">
        <v>16125</v>
      </c>
      <c r="F418" s="300"/>
      <c r="G418" s="300">
        <v>16769</v>
      </c>
      <c r="H418" s="86" t="s">
        <v>3215</v>
      </c>
      <c r="I418" s="86" t="s">
        <v>3295</v>
      </c>
      <c r="J418" s="86"/>
      <c r="K418" s="300"/>
      <c r="L418" s="300"/>
    </row>
    <row r="419" spans="1:12">
      <c r="A419" s="86" t="s">
        <v>3081</v>
      </c>
      <c r="B419" s="86" t="s">
        <v>3301</v>
      </c>
      <c r="C419" s="86">
        <v>2494916</v>
      </c>
      <c r="D419" s="86"/>
      <c r="E419" s="300">
        <v>16122</v>
      </c>
      <c r="F419" s="300"/>
      <c r="G419" s="300">
        <v>16818</v>
      </c>
      <c r="H419" s="86" t="s">
        <v>3215</v>
      </c>
      <c r="I419" s="86" t="s">
        <v>3395</v>
      </c>
      <c r="J419" s="86"/>
      <c r="K419" s="300"/>
      <c r="L419" s="300"/>
    </row>
    <row r="420" spans="1:12">
      <c r="A420" s="86" t="s">
        <v>3081</v>
      </c>
      <c r="B420" s="86" t="s">
        <v>3301</v>
      </c>
      <c r="C420" s="86">
        <v>2497545</v>
      </c>
      <c r="D420" s="86"/>
      <c r="E420" s="300">
        <v>16254</v>
      </c>
      <c r="F420" s="300"/>
      <c r="G420" s="300">
        <v>16846</v>
      </c>
      <c r="H420" s="86" t="s">
        <v>3215</v>
      </c>
      <c r="I420" s="86" t="s">
        <v>3491</v>
      </c>
      <c r="J420" s="86"/>
      <c r="K420" s="300"/>
      <c r="L420" s="300"/>
    </row>
    <row r="421" spans="1:12">
      <c r="A421" s="86" t="s">
        <v>3081</v>
      </c>
      <c r="B421" s="86" t="s">
        <v>3301</v>
      </c>
      <c r="C421" s="86">
        <v>2497566</v>
      </c>
      <c r="D421" s="86"/>
      <c r="E421" s="300">
        <v>16553</v>
      </c>
      <c r="F421" s="300"/>
      <c r="G421" s="300">
        <v>16846</v>
      </c>
      <c r="H421" s="86" t="s">
        <v>3215</v>
      </c>
      <c r="I421" s="86" t="s">
        <v>3296</v>
      </c>
      <c r="J421" s="86"/>
      <c r="K421" s="300"/>
      <c r="L421" s="300"/>
    </row>
    <row r="422" spans="1:12">
      <c r="A422" s="86" t="s">
        <v>3081</v>
      </c>
      <c r="B422" s="86" t="s">
        <v>3301</v>
      </c>
      <c r="C422" s="86">
        <v>2497567</v>
      </c>
      <c r="D422" s="86"/>
      <c r="E422" s="300">
        <v>16553</v>
      </c>
      <c r="F422" s="300"/>
      <c r="G422" s="300">
        <v>16846</v>
      </c>
      <c r="H422" s="86" t="s">
        <v>3215</v>
      </c>
      <c r="I422" s="86" t="s">
        <v>3429</v>
      </c>
      <c r="J422" s="86"/>
      <c r="K422" s="300"/>
      <c r="L422" s="300"/>
    </row>
    <row r="423" spans="1:12">
      <c r="A423" s="86" t="s">
        <v>3081</v>
      </c>
      <c r="B423" s="86" t="s">
        <v>3301</v>
      </c>
      <c r="C423" s="86">
        <v>2504586</v>
      </c>
      <c r="D423" s="86"/>
      <c r="E423" s="300">
        <v>16175</v>
      </c>
      <c r="F423" s="300"/>
      <c r="G423" s="300">
        <v>16909</v>
      </c>
      <c r="H423" s="86" t="s">
        <v>3215</v>
      </c>
      <c r="I423" s="86" t="s">
        <v>3384</v>
      </c>
      <c r="J423" s="86"/>
      <c r="K423" s="300"/>
      <c r="L423" s="300"/>
    </row>
    <row r="424" spans="1:12">
      <c r="A424" s="86" t="s">
        <v>3081</v>
      </c>
      <c r="B424" s="86" t="s">
        <v>3301</v>
      </c>
      <c r="C424" s="86">
        <v>2515706</v>
      </c>
      <c r="D424" s="86"/>
      <c r="E424" s="300">
        <v>14533</v>
      </c>
      <c r="F424" s="300"/>
      <c r="G424" s="300">
        <v>17000</v>
      </c>
      <c r="H424" s="86" t="s">
        <v>3215</v>
      </c>
      <c r="I424" s="86" t="s">
        <v>3297</v>
      </c>
      <c r="J424" s="86"/>
      <c r="K424" s="300"/>
      <c r="L424" s="300"/>
    </row>
    <row r="425" spans="1:12">
      <c r="A425" s="86" t="s">
        <v>3081</v>
      </c>
      <c r="B425" s="86" t="s">
        <v>3301</v>
      </c>
      <c r="C425" s="86">
        <v>2522937</v>
      </c>
      <c r="D425" s="86"/>
      <c r="E425" s="300">
        <v>16525</v>
      </c>
      <c r="F425" s="300"/>
      <c r="G425" s="300">
        <v>17063</v>
      </c>
      <c r="H425" s="86" t="s">
        <v>3215</v>
      </c>
      <c r="I425" s="86" t="s">
        <v>3298</v>
      </c>
      <c r="J425" s="86"/>
      <c r="K425" s="300"/>
      <c r="L425" s="300"/>
    </row>
    <row r="426" spans="1:12">
      <c r="A426" s="86" t="s">
        <v>3081</v>
      </c>
      <c r="B426" s="86" t="s">
        <v>3301</v>
      </c>
      <c r="C426" s="86">
        <v>2522990</v>
      </c>
      <c r="D426" s="86" t="s">
        <v>3299</v>
      </c>
      <c r="E426" s="300">
        <v>15022</v>
      </c>
      <c r="F426" s="300">
        <v>15579</v>
      </c>
      <c r="G426" s="300">
        <v>17063</v>
      </c>
      <c r="H426" s="86" t="s">
        <v>3215</v>
      </c>
      <c r="I426" s="86" t="s">
        <v>3211</v>
      </c>
      <c r="J426" s="86"/>
      <c r="K426" s="300"/>
      <c r="L426" s="300"/>
    </row>
    <row r="427" spans="1:12">
      <c r="A427" s="86" t="s">
        <v>3081</v>
      </c>
      <c r="B427" s="86" t="s">
        <v>3301</v>
      </c>
      <c r="C427" s="86">
        <v>2542326</v>
      </c>
      <c r="D427" s="86"/>
      <c r="E427" s="300">
        <v>16680</v>
      </c>
      <c r="F427" s="300"/>
      <c r="G427" s="300">
        <v>17217</v>
      </c>
      <c r="H427" s="86" t="s">
        <v>3215</v>
      </c>
      <c r="I427" s="86" t="s">
        <v>3491</v>
      </c>
      <c r="J427" s="86"/>
      <c r="K427" s="300"/>
      <c r="L427" s="300"/>
    </row>
    <row r="428" spans="1:12">
      <c r="A428" s="86" t="s">
        <v>3081</v>
      </c>
      <c r="B428" s="86" t="s">
        <v>3301</v>
      </c>
      <c r="C428" s="86">
        <v>2545877</v>
      </c>
      <c r="D428" s="86"/>
      <c r="E428" s="300">
        <v>15901</v>
      </c>
      <c r="F428" s="300"/>
      <c r="G428" s="300">
        <v>17245</v>
      </c>
      <c r="H428" s="86" t="s">
        <v>3215</v>
      </c>
      <c r="I428" s="86" t="s">
        <v>3171</v>
      </c>
      <c r="J428" s="86" t="s">
        <v>2781</v>
      </c>
      <c r="K428" s="300">
        <v>14872</v>
      </c>
      <c r="L428" s="300">
        <v>22177</v>
      </c>
    </row>
    <row r="429" spans="1:12">
      <c r="A429" s="86" t="s">
        <v>3081</v>
      </c>
      <c r="B429" s="86" t="s">
        <v>3301</v>
      </c>
      <c r="C429" s="86">
        <v>2545896</v>
      </c>
      <c r="D429" s="86"/>
      <c r="E429" s="300">
        <v>16077</v>
      </c>
      <c r="F429" s="300"/>
      <c r="G429" s="300">
        <v>17245</v>
      </c>
      <c r="H429" s="86" t="s">
        <v>3215</v>
      </c>
      <c r="I429" s="86" t="s">
        <v>3210</v>
      </c>
      <c r="J429" s="86"/>
      <c r="K429" s="300"/>
      <c r="L429" s="300"/>
    </row>
    <row r="430" spans="1:12">
      <c r="A430" s="86" t="s">
        <v>3081</v>
      </c>
      <c r="B430" s="86" t="s">
        <v>3301</v>
      </c>
      <c r="C430" s="86">
        <v>2565138</v>
      </c>
      <c r="D430" s="86"/>
      <c r="E430" s="300">
        <v>16700</v>
      </c>
      <c r="F430" s="300"/>
      <c r="G430" s="300">
        <v>17399</v>
      </c>
      <c r="H430" s="86" t="s">
        <v>3215</v>
      </c>
      <c r="I430" s="86" t="s">
        <v>3161</v>
      </c>
      <c r="J430" s="86"/>
      <c r="K430" s="300"/>
      <c r="L430" s="300"/>
    </row>
    <row r="431" spans="1:12">
      <c r="A431" s="86" t="s">
        <v>3081</v>
      </c>
      <c r="B431" s="86" t="s">
        <v>3301</v>
      </c>
      <c r="C431" s="86">
        <v>2568494</v>
      </c>
      <c r="D431" s="86"/>
      <c r="E431" s="300">
        <v>16617</v>
      </c>
      <c r="F431" s="300"/>
      <c r="G431" s="300">
        <v>17427</v>
      </c>
      <c r="H431" s="86" t="s">
        <v>3215</v>
      </c>
      <c r="I431" s="86" t="s">
        <v>3172</v>
      </c>
      <c r="J431" s="86"/>
      <c r="K431" s="300"/>
      <c r="L431" s="300"/>
    </row>
    <row r="432" spans="1:12">
      <c r="A432" s="86" t="s">
        <v>3081</v>
      </c>
      <c r="B432" s="86" t="s">
        <v>3301</v>
      </c>
      <c r="C432" s="86">
        <v>2570878</v>
      </c>
      <c r="D432" s="86"/>
      <c r="E432" s="300">
        <v>16759</v>
      </c>
      <c r="F432" s="300"/>
      <c r="G432" s="300">
        <v>17448</v>
      </c>
      <c r="H432" s="86" t="s">
        <v>3215</v>
      </c>
      <c r="I432" s="86" t="s">
        <v>3173</v>
      </c>
      <c r="J432" s="86" t="s">
        <v>702</v>
      </c>
      <c r="K432" s="300">
        <v>16400</v>
      </c>
      <c r="L432" s="300"/>
    </row>
    <row r="433" spans="1:12">
      <c r="A433" s="86" t="s">
        <v>3081</v>
      </c>
      <c r="B433" s="86" t="s">
        <v>3301</v>
      </c>
      <c r="C433" s="86">
        <v>2597681</v>
      </c>
      <c r="D433" s="86"/>
      <c r="E433" s="300">
        <v>16983</v>
      </c>
      <c r="F433" s="300"/>
      <c r="G433" s="300">
        <v>17672</v>
      </c>
      <c r="H433" s="86" t="s">
        <v>3215</v>
      </c>
      <c r="I433" s="86" t="s">
        <v>3314</v>
      </c>
      <c r="J433" s="86"/>
      <c r="K433" s="300"/>
      <c r="L433" s="300"/>
    </row>
    <row r="434" spans="1:12">
      <c r="A434" s="86" t="s">
        <v>3081</v>
      </c>
      <c r="B434" s="86" t="s">
        <v>3301</v>
      </c>
      <c r="C434" s="86">
        <v>2605436</v>
      </c>
      <c r="D434" s="86"/>
      <c r="E434" s="300">
        <v>16983</v>
      </c>
      <c r="F434" s="300"/>
      <c r="G434" s="300">
        <v>17742</v>
      </c>
      <c r="H434" s="86" t="s">
        <v>3215</v>
      </c>
      <c r="I434" s="86" t="s">
        <v>3296</v>
      </c>
      <c r="J434" s="86"/>
      <c r="K434" s="300"/>
      <c r="L434" s="300"/>
    </row>
    <row r="435" spans="1:12">
      <c r="A435" s="86" t="s">
        <v>3081</v>
      </c>
      <c r="B435" s="86" t="s">
        <v>3301</v>
      </c>
      <c r="C435" s="86">
        <v>2605446</v>
      </c>
      <c r="D435" s="86"/>
      <c r="E435" s="300">
        <v>17318</v>
      </c>
      <c r="F435" s="300"/>
      <c r="G435" s="300">
        <v>17742</v>
      </c>
      <c r="H435" s="86" t="s">
        <v>3215</v>
      </c>
      <c r="I435" s="86" t="s">
        <v>3211</v>
      </c>
      <c r="J435" s="86"/>
      <c r="K435" s="300"/>
      <c r="L435" s="300"/>
    </row>
    <row r="436" spans="1:12">
      <c r="A436" s="86" t="s">
        <v>3081</v>
      </c>
      <c r="B436" s="86" t="s">
        <v>3301</v>
      </c>
      <c r="C436" s="86">
        <v>2615816</v>
      </c>
      <c r="D436" s="86"/>
      <c r="E436" s="300">
        <v>16750</v>
      </c>
      <c r="F436" s="300"/>
      <c r="G436" s="300">
        <v>17833</v>
      </c>
      <c r="H436" s="86" t="s">
        <v>3215</v>
      </c>
      <c r="I436" s="86" t="s">
        <v>3177</v>
      </c>
      <c r="J436" s="86" t="s">
        <v>702</v>
      </c>
      <c r="K436" s="300">
        <v>16196</v>
      </c>
      <c r="L436" s="300"/>
    </row>
    <row r="437" spans="1:12">
      <c r="A437" s="86" t="s">
        <v>3081</v>
      </c>
      <c r="B437" s="86" t="s">
        <v>3301</v>
      </c>
      <c r="C437" s="86">
        <v>2615950</v>
      </c>
      <c r="D437" s="86"/>
      <c r="E437" s="300">
        <v>16833</v>
      </c>
      <c r="F437" s="300"/>
      <c r="G437" s="300">
        <v>17833</v>
      </c>
      <c r="H437" s="86" t="s">
        <v>3215</v>
      </c>
      <c r="I437" s="86" t="s">
        <v>3307</v>
      </c>
      <c r="J437" s="86"/>
      <c r="K437" s="300"/>
      <c r="L437" s="300"/>
    </row>
    <row r="438" spans="1:12">
      <c r="A438" s="86" t="s">
        <v>3081</v>
      </c>
      <c r="B438" s="86" t="s">
        <v>3301</v>
      </c>
      <c r="C438" s="86">
        <v>2624019</v>
      </c>
      <c r="D438" s="86"/>
      <c r="E438" s="300">
        <v>16891</v>
      </c>
      <c r="F438" s="300"/>
      <c r="G438" s="300">
        <v>17896</v>
      </c>
      <c r="H438" s="86" t="s">
        <v>3215</v>
      </c>
      <c r="I438" s="86" t="s">
        <v>3161</v>
      </c>
      <c r="J438" s="86"/>
      <c r="K438" s="300"/>
      <c r="L438" s="300"/>
    </row>
    <row r="439" spans="1:12">
      <c r="A439" s="86" t="s">
        <v>3081</v>
      </c>
      <c r="B439" s="86" t="s">
        <v>3301</v>
      </c>
      <c r="C439" s="86">
        <v>2626874</v>
      </c>
      <c r="D439" s="86"/>
      <c r="E439" s="300">
        <v>16252</v>
      </c>
      <c r="F439" s="300"/>
      <c r="G439" s="300">
        <v>17924</v>
      </c>
      <c r="H439" s="86" t="s">
        <v>3215</v>
      </c>
      <c r="I439" s="86" t="s">
        <v>3210</v>
      </c>
      <c r="J439" s="86"/>
      <c r="K439" s="300"/>
      <c r="L439" s="300"/>
    </row>
    <row r="440" spans="1:12">
      <c r="A440" s="86" t="s">
        <v>3081</v>
      </c>
      <c r="B440" s="86" t="s">
        <v>3301</v>
      </c>
      <c r="C440" s="86">
        <v>2627048</v>
      </c>
      <c r="D440" s="86"/>
      <c r="E440" s="300">
        <v>16804</v>
      </c>
      <c r="F440" s="300"/>
      <c r="G440" s="300">
        <v>17924</v>
      </c>
      <c r="H440" s="86" t="s">
        <v>3215</v>
      </c>
      <c r="I440" s="86" t="s">
        <v>3307</v>
      </c>
      <c r="J440" s="86"/>
      <c r="K440" s="300"/>
      <c r="L440" s="300"/>
    </row>
    <row r="441" spans="1:12">
      <c r="A441" s="86" t="s">
        <v>3081</v>
      </c>
      <c r="B441" s="86" t="s">
        <v>3301</v>
      </c>
      <c r="C441" s="86">
        <v>2633457</v>
      </c>
      <c r="D441" s="86"/>
      <c r="E441" s="300">
        <v>16514</v>
      </c>
      <c r="F441" s="300"/>
      <c r="G441" s="300">
        <v>17987</v>
      </c>
      <c r="H441" s="86" t="s">
        <v>3215</v>
      </c>
      <c r="I441" s="86" t="s">
        <v>3308</v>
      </c>
      <c r="J441" s="86"/>
      <c r="K441" s="300"/>
      <c r="L441" s="300"/>
    </row>
    <row r="442" spans="1:12">
      <c r="A442" s="86" t="s">
        <v>3081</v>
      </c>
      <c r="B442" s="86" t="s">
        <v>3301</v>
      </c>
      <c r="C442" s="86">
        <v>2633548</v>
      </c>
      <c r="D442" s="86"/>
      <c r="E442" s="300">
        <v>17191</v>
      </c>
      <c r="F442" s="300"/>
      <c r="G442" s="300">
        <v>17987</v>
      </c>
      <c r="H442" s="86" t="s">
        <v>3215</v>
      </c>
      <c r="I442" s="86" t="s">
        <v>3309</v>
      </c>
      <c r="J442" s="86"/>
      <c r="K442" s="300"/>
      <c r="L442" s="300"/>
    </row>
    <row r="443" spans="1:12">
      <c r="A443" s="86" t="s">
        <v>3081</v>
      </c>
      <c r="B443" s="86" t="s">
        <v>3301</v>
      </c>
      <c r="C443" s="86">
        <v>2639999</v>
      </c>
      <c r="D443" s="86"/>
      <c r="E443" s="300">
        <v>16738</v>
      </c>
      <c r="F443" s="300"/>
      <c r="G443" s="300">
        <v>18043</v>
      </c>
      <c r="H443" s="86" t="s">
        <v>3215</v>
      </c>
      <c r="I443" s="86" t="s">
        <v>3439</v>
      </c>
      <c r="J443" s="86"/>
      <c r="K443" s="300"/>
      <c r="L443" s="300"/>
    </row>
    <row r="444" spans="1:12">
      <c r="A444" s="86" t="s">
        <v>3081</v>
      </c>
      <c r="B444" s="86" t="s">
        <v>3301</v>
      </c>
      <c r="C444" s="86">
        <v>2644102</v>
      </c>
      <c r="D444" s="86"/>
      <c r="E444" s="300">
        <v>17023</v>
      </c>
      <c r="F444" s="300"/>
      <c r="G444" s="300">
        <v>18078</v>
      </c>
      <c r="H444" s="86" t="s">
        <v>3215</v>
      </c>
      <c r="I444" s="86" t="s">
        <v>3180</v>
      </c>
      <c r="J444" s="86"/>
      <c r="K444" s="300"/>
      <c r="L444" s="300"/>
    </row>
    <row r="445" spans="1:12">
      <c r="A445" s="86" t="s">
        <v>3081</v>
      </c>
      <c r="B445" s="86" t="s">
        <v>3301</v>
      </c>
      <c r="C445" s="86">
        <v>2650353</v>
      </c>
      <c r="D445" s="86"/>
      <c r="E445" s="300">
        <v>17526</v>
      </c>
      <c r="F445" s="300"/>
      <c r="G445" s="300">
        <v>18134</v>
      </c>
      <c r="H445" s="86" t="s">
        <v>3215</v>
      </c>
      <c r="I445" s="86" t="s">
        <v>3181</v>
      </c>
      <c r="J445" s="86"/>
      <c r="K445" s="300"/>
      <c r="L445" s="300"/>
    </row>
    <row r="446" spans="1:12">
      <c r="A446" s="86" t="s">
        <v>3081</v>
      </c>
      <c r="B446" s="86" t="s">
        <v>3301</v>
      </c>
      <c r="C446" s="86">
        <v>2749203</v>
      </c>
      <c r="D446" s="86">
        <v>234625</v>
      </c>
      <c r="E446" s="300">
        <v>17347</v>
      </c>
      <c r="F446" s="300"/>
      <c r="G446" s="300">
        <v>19149</v>
      </c>
      <c r="H446" s="300" t="s">
        <v>3302</v>
      </c>
      <c r="I446" s="86" t="s">
        <v>3441</v>
      </c>
      <c r="J446" s="86"/>
      <c r="K446" s="300"/>
      <c r="L446" s="300"/>
    </row>
    <row r="447" spans="1:12">
      <c r="A447" s="86" t="s">
        <v>3081</v>
      </c>
      <c r="B447" s="86" t="s">
        <v>3301</v>
      </c>
      <c r="C447" s="306">
        <v>2730689</v>
      </c>
      <c r="D447" s="86">
        <v>263454</v>
      </c>
      <c r="E447" s="300">
        <v>17526</v>
      </c>
      <c r="F447" s="300"/>
      <c r="G447" s="300">
        <v>19002</v>
      </c>
      <c r="H447" s="300" t="s">
        <v>3302</v>
      </c>
      <c r="I447" s="86" t="s">
        <v>3317</v>
      </c>
      <c r="J447" s="86"/>
      <c r="K447" s="300"/>
      <c r="L447" s="300"/>
    </row>
    <row r="448" spans="1:12">
      <c r="A448" s="307" t="s">
        <v>3081</v>
      </c>
      <c r="B448" s="307" t="s">
        <v>3318</v>
      </c>
      <c r="C448" s="307"/>
      <c r="D448" s="307">
        <v>237804</v>
      </c>
      <c r="E448" s="308"/>
      <c r="F448" s="308"/>
      <c r="G448" s="308"/>
      <c r="H448" s="308"/>
      <c r="I448" s="307"/>
      <c r="J448" s="307"/>
      <c r="K448" s="308" t="s">
        <v>3319</v>
      </c>
      <c r="L448" s="308"/>
    </row>
    <row r="449" spans="1:12">
      <c r="A449" s="307" t="s">
        <v>3081</v>
      </c>
      <c r="B449" s="307" t="s">
        <v>3318</v>
      </c>
      <c r="C449" s="307"/>
      <c r="D449" s="307">
        <v>275670</v>
      </c>
      <c r="E449" s="308"/>
      <c r="F449" s="308"/>
      <c r="G449" s="308"/>
      <c r="H449" s="308"/>
      <c r="I449" s="307"/>
      <c r="J449" s="307"/>
      <c r="K449" s="308"/>
      <c r="L449" s="308"/>
    </row>
    <row r="450" spans="1:12">
      <c r="A450" s="307" t="s">
        <v>3081</v>
      </c>
      <c r="B450" s="307" t="s">
        <v>3318</v>
      </c>
      <c r="C450" s="307"/>
      <c r="D450" s="307" t="s">
        <v>3320</v>
      </c>
      <c r="E450" s="308"/>
      <c r="F450" s="308"/>
      <c r="G450" s="308"/>
      <c r="H450" s="308"/>
      <c r="I450" s="307"/>
      <c r="J450" s="307"/>
      <c r="K450" s="308"/>
      <c r="L450" s="308"/>
    </row>
    <row r="451" spans="1:12">
      <c r="A451" s="86" t="s">
        <v>3081</v>
      </c>
      <c r="B451" s="86" t="s">
        <v>3318</v>
      </c>
      <c r="C451" s="306">
        <v>2712089</v>
      </c>
      <c r="D451" s="86">
        <v>203836</v>
      </c>
      <c r="E451" s="300">
        <v>17168</v>
      </c>
      <c r="F451" s="300"/>
      <c r="G451" s="300">
        <v>18806</v>
      </c>
      <c r="H451" s="300" t="s">
        <v>3302</v>
      </c>
      <c r="I451" s="86" t="s">
        <v>3611</v>
      </c>
      <c r="J451" s="86"/>
      <c r="K451" s="300"/>
      <c r="L451" s="300"/>
    </row>
    <row r="452" spans="1:12">
      <c r="A452" s="86" t="s">
        <v>3081</v>
      </c>
      <c r="B452" s="86" t="s">
        <v>3318</v>
      </c>
      <c r="C452" s="306">
        <v>2667594</v>
      </c>
      <c r="D452" s="86">
        <v>203837</v>
      </c>
      <c r="E452" s="300">
        <v>17168</v>
      </c>
      <c r="F452" s="300"/>
      <c r="G452" s="300">
        <v>18288</v>
      </c>
      <c r="H452" s="300" t="s">
        <v>3302</v>
      </c>
      <c r="I452" s="86" t="s">
        <v>3612</v>
      </c>
      <c r="J452" s="86"/>
      <c r="K452" s="300"/>
      <c r="L452" s="300"/>
    </row>
    <row r="453" spans="1:12">
      <c r="A453" s="86" t="s">
        <v>3081</v>
      </c>
      <c r="B453" s="86" t="s">
        <v>3318</v>
      </c>
      <c r="C453" s="306">
        <v>2716742</v>
      </c>
      <c r="D453" s="86">
        <v>209738</v>
      </c>
      <c r="E453" s="300">
        <v>17204</v>
      </c>
      <c r="F453" s="300"/>
      <c r="G453" s="300">
        <v>18869</v>
      </c>
      <c r="H453" s="300" t="s">
        <v>3302</v>
      </c>
      <c r="I453" s="86" t="s">
        <v>3466</v>
      </c>
      <c r="J453" s="86"/>
      <c r="K453" s="300"/>
      <c r="L453" s="300"/>
    </row>
    <row r="454" spans="1:12">
      <c r="A454" s="86" t="s">
        <v>3081</v>
      </c>
      <c r="B454" s="86" t="s">
        <v>3318</v>
      </c>
      <c r="C454" s="306">
        <v>2700143</v>
      </c>
      <c r="D454" s="86">
        <v>209829</v>
      </c>
      <c r="E454" s="300">
        <v>17204</v>
      </c>
      <c r="F454" s="300"/>
      <c r="G454" s="300">
        <v>18645</v>
      </c>
      <c r="H454" s="300" t="s">
        <v>3302</v>
      </c>
      <c r="I454" s="86" t="s">
        <v>3467</v>
      </c>
      <c r="J454" s="86"/>
      <c r="K454" s="300"/>
      <c r="L454" s="300"/>
    </row>
    <row r="455" spans="1:12">
      <c r="A455" s="307" t="s">
        <v>3081</v>
      </c>
      <c r="B455" s="307" t="s">
        <v>3318</v>
      </c>
      <c r="C455" s="307"/>
      <c r="D455" s="307">
        <v>209816</v>
      </c>
      <c r="E455" s="308"/>
      <c r="F455" s="308"/>
      <c r="G455" s="308"/>
      <c r="H455" s="308"/>
      <c r="I455" s="307"/>
      <c r="J455" s="307"/>
      <c r="K455" s="308"/>
      <c r="L455" s="308"/>
    </row>
    <row r="456" spans="1:12">
      <c r="A456" s="307" t="s">
        <v>3081</v>
      </c>
      <c r="B456" s="307" t="s">
        <v>3318</v>
      </c>
      <c r="C456" s="307"/>
      <c r="D456" s="307">
        <v>171767</v>
      </c>
      <c r="E456" s="308"/>
      <c r="F456" s="308"/>
      <c r="G456" s="308"/>
      <c r="H456" s="308"/>
      <c r="I456" s="307"/>
      <c r="J456" s="307"/>
      <c r="K456" s="308"/>
      <c r="L456" s="308"/>
    </row>
    <row r="457" spans="1:12">
      <c r="A457" s="307" t="s">
        <v>3081</v>
      </c>
      <c r="B457" s="307" t="s">
        <v>3318</v>
      </c>
      <c r="C457" s="307"/>
      <c r="D457" s="307">
        <v>184062</v>
      </c>
      <c r="E457" s="308"/>
      <c r="F457" s="308"/>
      <c r="G457" s="308"/>
      <c r="H457" s="308"/>
      <c r="I457" s="307"/>
      <c r="J457" s="307"/>
      <c r="K457" s="308"/>
      <c r="L457" s="308"/>
    </row>
    <row r="458" spans="1:12">
      <c r="A458" s="86" t="s">
        <v>3081</v>
      </c>
      <c r="B458" s="86" t="s">
        <v>3318</v>
      </c>
      <c r="C458" s="306">
        <v>2677118</v>
      </c>
      <c r="D458" s="86">
        <v>254076</v>
      </c>
      <c r="E458" s="300">
        <v>17470</v>
      </c>
      <c r="F458" s="300"/>
      <c r="G458" s="300">
        <v>18379</v>
      </c>
      <c r="H458" s="300" t="s">
        <v>3302</v>
      </c>
      <c r="I458" s="86" t="s">
        <v>3468</v>
      </c>
      <c r="J458" s="86"/>
      <c r="K458" s="300"/>
      <c r="L458" s="300"/>
    </row>
    <row r="459" spans="1:12">
      <c r="A459" s="86" t="s">
        <v>3081</v>
      </c>
      <c r="B459" s="86" t="s">
        <v>3318</v>
      </c>
      <c r="C459" s="306">
        <v>2749432</v>
      </c>
      <c r="D459" s="86">
        <v>328078</v>
      </c>
      <c r="E459" s="300">
        <v>17892</v>
      </c>
      <c r="F459" s="300"/>
      <c r="G459" s="300">
        <v>19149</v>
      </c>
      <c r="H459" s="300" t="s">
        <v>3302</v>
      </c>
      <c r="I459" s="86"/>
      <c r="J459" s="86"/>
      <c r="K459" s="300"/>
      <c r="L459" s="300"/>
    </row>
    <row r="460" spans="1:12">
      <c r="A460" s="86" t="s">
        <v>3081</v>
      </c>
      <c r="B460" s="86" t="s">
        <v>3318</v>
      </c>
      <c r="C460" s="306">
        <v>2701868</v>
      </c>
      <c r="D460" s="86">
        <v>211934</v>
      </c>
      <c r="E460" s="300">
        <v>17217</v>
      </c>
      <c r="F460" s="300"/>
      <c r="G460" s="300">
        <v>18666</v>
      </c>
      <c r="H460" s="300" t="s">
        <v>3302</v>
      </c>
      <c r="I460" s="86" t="s">
        <v>3469</v>
      </c>
      <c r="J460" s="86"/>
      <c r="K460" s="300"/>
      <c r="L460" s="300"/>
    </row>
    <row r="461" spans="1:12">
      <c r="A461" s="86" t="s">
        <v>3081</v>
      </c>
      <c r="B461" s="86" t="s">
        <v>3318</v>
      </c>
      <c r="C461" s="306">
        <v>2832883</v>
      </c>
      <c r="D461" s="86" t="s">
        <v>3618</v>
      </c>
      <c r="E461" s="300">
        <v>17526</v>
      </c>
      <c r="F461" s="300">
        <v>18253</v>
      </c>
      <c r="G461" s="300">
        <v>19842</v>
      </c>
      <c r="H461" s="300" t="s">
        <v>3302</v>
      </c>
      <c r="I461" s="86" t="s">
        <v>3619</v>
      </c>
      <c r="J461" s="86"/>
      <c r="K461" s="300"/>
      <c r="L461" s="300"/>
    </row>
    <row r="462" spans="1:12">
      <c r="A462" s="86" t="s">
        <v>3081</v>
      </c>
      <c r="B462" s="86" t="s">
        <v>3318</v>
      </c>
      <c r="C462" s="306">
        <v>2683865</v>
      </c>
      <c r="D462" s="86">
        <v>244753</v>
      </c>
      <c r="E462" s="300">
        <v>17410</v>
      </c>
      <c r="F462" s="300"/>
      <c r="G462" s="300">
        <v>18456</v>
      </c>
      <c r="H462" s="300" t="s">
        <v>3302</v>
      </c>
      <c r="I462" s="86" t="s">
        <v>3620</v>
      </c>
      <c r="J462" s="86"/>
      <c r="K462" s="300"/>
      <c r="L462" s="300"/>
    </row>
    <row r="463" spans="1:12">
      <c r="A463" s="86" t="s">
        <v>3081</v>
      </c>
      <c r="B463" s="86" t="s">
        <v>3318</v>
      </c>
      <c r="C463" s="306">
        <v>2664551</v>
      </c>
      <c r="D463" s="86">
        <v>239953</v>
      </c>
      <c r="E463" s="300">
        <v>17380</v>
      </c>
      <c r="F463" s="300"/>
      <c r="G463" s="300">
        <v>18260</v>
      </c>
      <c r="H463" s="300" t="s">
        <v>3302</v>
      </c>
      <c r="I463" s="86" t="s">
        <v>3621</v>
      </c>
      <c r="J463" s="86"/>
      <c r="K463" s="300"/>
      <c r="L463" s="300"/>
    </row>
    <row r="464" spans="1:12">
      <c r="A464" s="307" t="s">
        <v>3081</v>
      </c>
      <c r="B464" s="307" t="s">
        <v>3318</v>
      </c>
      <c r="C464" s="307"/>
      <c r="D464" s="307">
        <v>254455</v>
      </c>
      <c r="E464" s="308"/>
      <c r="F464" s="308"/>
      <c r="G464" s="308"/>
      <c r="H464" s="308"/>
      <c r="I464" s="307"/>
      <c r="J464" s="307"/>
      <c r="K464" s="308"/>
      <c r="L464" s="308"/>
    </row>
    <row r="465" spans="1:12">
      <c r="A465" s="307" t="s">
        <v>3081</v>
      </c>
      <c r="B465" s="307" t="s">
        <v>3318</v>
      </c>
      <c r="C465" s="307"/>
      <c r="D465" s="307">
        <v>229918</v>
      </c>
      <c r="E465" s="308"/>
      <c r="F465" s="308"/>
      <c r="G465" s="308"/>
      <c r="H465" s="308"/>
      <c r="I465" s="307"/>
      <c r="J465" s="307"/>
      <c r="K465" s="308"/>
      <c r="L465" s="308"/>
    </row>
    <row r="466" spans="1:12">
      <c r="A466" s="86" t="s">
        <v>3081</v>
      </c>
      <c r="B466" s="86" t="s">
        <v>3318</v>
      </c>
      <c r="C466" s="306">
        <v>2736873</v>
      </c>
      <c r="D466" s="86">
        <v>259338</v>
      </c>
      <c r="E466" s="300">
        <v>17501</v>
      </c>
      <c r="F466" s="300"/>
      <c r="G466" s="300">
        <v>19051</v>
      </c>
      <c r="H466" s="300" t="s">
        <v>3302</v>
      </c>
      <c r="I466" s="86" t="s">
        <v>3470</v>
      </c>
      <c r="J466" s="86"/>
      <c r="K466" s="300"/>
      <c r="L466" s="300"/>
    </row>
    <row r="467" spans="1:12">
      <c r="A467" s="86" t="s">
        <v>3081</v>
      </c>
      <c r="B467" s="86" t="s">
        <v>3318</v>
      </c>
      <c r="C467" s="306">
        <v>2845107</v>
      </c>
      <c r="D467" s="86" t="s">
        <v>3471</v>
      </c>
      <c r="E467" s="300">
        <v>17526</v>
      </c>
      <c r="F467" s="300">
        <v>18253</v>
      </c>
      <c r="G467" s="300">
        <v>19933</v>
      </c>
      <c r="H467" s="300" t="s">
        <v>3302</v>
      </c>
      <c r="I467" s="86" t="s">
        <v>3472</v>
      </c>
      <c r="J467" s="86"/>
      <c r="K467" s="300"/>
      <c r="L467" s="300"/>
    </row>
    <row r="468" spans="1:12">
      <c r="A468" s="86" t="s">
        <v>3081</v>
      </c>
      <c r="B468" s="86" t="s">
        <v>3318</v>
      </c>
      <c r="C468" s="306">
        <v>2692374</v>
      </c>
      <c r="D468" s="86">
        <v>247493</v>
      </c>
      <c r="E468" s="300">
        <v>17429</v>
      </c>
      <c r="F468" s="300"/>
      <c r="G468" s="300">
        <v>18554</v>
      </c>
      <c r="H468" s="300" t="s">
        <v>3302</v>
      </c>
      <c r="I468" s="86" t="s">
        <v>3473</v>
      </c>
      <c r="J468" s="86"/>
      <c r="K468" s="300"/>
      <c r="L468" s="300"/>
    </row>
    <row r="469" spans="1:12">
      <c r="A469" s="86" t="s">
        <v>3081</v>
      </c>
      <c r="B469" s="86" t="s">
        <v>3318</v>
      </c>
      <c r="C469" s="306">
        <v>2711791</v>
      </c>
      <c r="D469" s="86" t="s">
        <v>3474</v>
      </c>
      <c r="E469" s="300">
        <v>17526</v>
      </c>
      <c r="F469" s="300">
        <v>18253</v>
      </c>
      <c r="G469" s="300">
        <v>18806</v>
      </c>
      <c r="H469" s="300" t="s">
        <v>3302</v>
      </c>
      <c r="I469" s="86" t="s">
        <v>3470</v>
      </c>
      <c r="J469" s="86"/>
      <c r="K469" s="300"/>
      <c r="L469" s="300"/>
    </row>
    <row r="470" spans="1:12">
      <c r="A470" s="307" t="s">
        <v>3081</v>
      </c>
      <c r="B470" s="307" t="s">
        <v>3318</v>
      </c>
      <c r="C470" s="307"/>
      <c r="D470" s="307">
        <v>254456</v>
      </c>
      <c r="E470" s="308"/>
      <c r="F470" s="308"/>
      <c r="G470" s="308"/>
      <c r="H470" s="308"/>
      <c r="I470" s="307"/>
      <c r="J470" s="307"/>
      <c r="K470" s="308"/>
      <c r="L470" s="308"/>
    </row>
    <row r="471" spans="1:12">
      <c r="A471" s="86" t="s">
        <v>3081</v>
      </c>
      <c r="B471" s="86" t="s">
        <v>3318</v>
      </c>
      <c r="C471" s="306">
        <v>2692375</v>
      </c>
      <c r="D471" s="86">
        <v>247494</v>
      </c>
      <c r="E471" s="300">
        <v>17429</v>
      </c>
      <c r="F471" s="300"/>
      <c r="G471" s="300">
        <v>18554</v>
      </c>
      <c r="H471" s="300" t="s">
        <v>3302</v>
      </c>
      <c r="I471" s="86" t="s">
        <v>3473</v>
      </c>
      <c r="J471" s="86"/>
      <c r="K471" s="300"/>
      <c r="L471" s="300"/>
    </row>
    <row r="472" spans="1:12">
      <c r="A472" s="307" t="s">
        <v>3081</v>
      </c>
      <c r="B472" s="307" t="s">
        <v>3318</v>
      </c>
      <c r="C472" s="309"/>
      <c r="D472" s="307">
        <v>252204</v>
      </c>
      <c r="E472" s="308"/>
      <c r="F472" s="308"/>
      <c r="G472" s="308"/>
      <c r="H472" s="308"/>
      <c r="I472" s="307"/>
      <c r="J472" s="307"/>
      <c r="K472" s="308"/>
      <c r="L472" s="308"/>
    </row>
    <row r="473" spans="1:12">
      <c r="A473" s="86" t="s">
        <v>3081</v>
      </c>
      <c r="B473" s="86" t="s">
        <v>3318</v>
      </c>
      <c r="C473" s="306">
        <v>2813922</v>
      </c>
      <c r="D473" s="86">
        <v>310673</v>
      </c>
      <c r="E473" s="300">
        <v>17795</v>
      </c>
      <c r="F473" s="300"/>
      <c r="G473" s="300">
        <v>19681</v>
      </c>
      <c r="H473" s="300" t="s">
        <v>3302</v>
      </c>
      <c r="I473" s="86" t="s">
        <v>3475</v>
      </c>
      <c r="J473" s="86"/>
      <c r="K473" s="300"/>
      <c r="L473" s="300"/>
    </row>
    <row r="474" spans="1:12">
      <c r="A474" s="307" t="s">
        <v>3081</v>
      </c>
      <c r="B474" s="307" t="s">
        <v>3318</v>
      </c>
      <c r="C474" s="307"/>
      <c r="D474" s="307">
        <v>310426</v>
      </c>
      <c r="E474" s="308"/>
      <c r="F474" s="308"/>
      <c r="G474" s="308"/>
      <c r="H474" s="308"/>
      <c r="I474" s="307"/>
      <c r="J474" s="307"/>
      <c r="K474" s="308"/>
      <c r="L474" s="308"/>
    </row>
    <row r="475" spans="1:12">
      <c r="A475" s="86" t="s">
        <v>3081</v>
      </c>
      <c r="B475" s="86" t="s">
        <v>3318</v>
      </c>
      <c r="C475" s="306">
        <v>2740726</v>
      </c>
      <c r="D475" s="189">
        <v>281891</v>
      </c>
      <c r="E475" s="300">
        <v>17633</v>
      </c>
      <c r="F475" s="300"/>
      <c r="G475" s="300">
        <v>19086</v>
      </c>
      <c r="H475" s="300" t="s">
        <v>3302</v>
      </c>
      <c r="I475" s="86" t="s">
        <v>3342</v>
      </c>
      <c r="J475" s="86" t="s">
        <v>3630</v>
      </c>
      <c r="K475" s="300">
        <v>17297</v>
      </c>
      <c r="L475" s="300"/>
    </row>
    <row r="476" spans="1:12">
      <c r="A476" s="307" t="s">
        <v>3081</v>
      </c>
      <c r="B476" s="307" t="s">
        <v>3318</v>
      </c>
      <c r="C476" s="307"/>
      <c r="D476" s="307">
        <v>288091</v>
      </c>
      <c r="E476" s="308"/>
      <c r="F476" s="308"/>
      <c r="G476" s="308"/>
      <c r="H476" s="308"/>
      <c r="I476" s="307"/>
      <c r="J476" s="307"/>
      <c r="K476" s="308"/>
      <c r="L476" s="308"/>
    </row>
    <row r="477" spans="1:12">
      <c r="A477" s="86" t="s">
        <v>3081</v>
      </c>
      <c r="B477" s="86" t="s">
        <v>3318</v>
      </c>
      <c r="C477" s="306">
        <v>2782297</v>
      </c>
      <c r="D477" s="86">
        <v>364724</v>
      </c>
      <c r="E477" s="300">
        <v>18077</v>
      </c>
      <c r="F477" s="300"/>
      <c r="G477" s="300">
        <v>19408</v>
      </c>
      <c r="H477" s="300" t="s">
        <v>3302</v>
      </c>
      <c r="I477" s="86" t="s">
        <v>3486</v>
      </c>
      <c r="J477" s="86"/>
      <c r="K477" s="300"/>
      <c r="L477" s="300"/>
    </row>
    <row r="478" spans="1:12">
      <c r="A478" s="86" t="s">
        <v>3081</v>
      </c>
      <c r="B478" s="86" t="s">
        <v>3318</v>
      </c>
      <c r="C478" s="306">
        <v>2696849</v>
      </c>
      <c r="D478" s="86" t="s">
        <v>3487</v>
      </c>
      <c r="E478" s="300">
        <v>16891</v>
      </c>
      <c r="F478" s="300">
        <v>17708</v>
      </c>
      <c r="G478" s="300">
        <v>18610</v>
      </c>
      <c r="H478" s="300" t="s">
        <v>3302</v>
      </c>
      <c r="I478" s="86" t="s">
        <v>3634</v>
      </c>
      <c r="J478" s="86"/>
      <c r="K478" s="300"/>
      <c r="L478" s="300"/>
    </row>
    <row r="479" spans="1:12">
      <c r="A479" s="86" t="s">
        <v>3081</v>
      </c>
      <c r="B479" s="86" t="s">
        <v>3318</v>
      </c>
      <c r="C479" s="306">
        <v>2722668</v>
      </c>
      <c r="D479" s="86">
        <v>308281</v>
      </c>
      <c r="E479" s="300">
        <v>17781</v>
      </c>
      <c r="F479" s="300"/>
      <c r="G479" s="300">
        <v>18932</v>
      </c>
      <c r="H479" s="300" t="s">
        <v>3302</v>
      </c>
      <c r="I479" s="86" t="s">
        <v>3635</v>
      </c>
      <c r="J479" s="86"/>
      <c r="K479" s="300"/>
      <c r="L479" s="300"/>
    </row>
    <row r="480" spans="1:12">
      <c r="A480" s="307" t="s">
        <v>3081</v>
      </c>
      <c r="B480" s="307" t="s">
        <v>3318</v>
      </c>
      <c r="C480" s="307"/>
      <c r="D480" s="307">
        <v>309374</v>
      </c>
      <c r="E480" s="308"/>
      <c r="F480" s="308"/>
      <c r="G480" s="308"/>
      <c r="H480" s="308"/>
      <c r="I480" s="307"/>
      <c r="J480" s="307"/>
      <c r="K480" s="308"/>
      <c r="L480" s="308"/>
    </row>
    <row r="481" spans="1:12">
      <c r="A481" s="86" t="s">
        <v>3081</v>
      </c>
      <c r="B481" s="86" t="s">
        <v>3318</v>
      </c>
      <c r="C481" s="86"/>
      <c r="D481" s="86">
        <v>328300</v>
      </c>
      <c r="E481" s="300"/>
      <c r="F481" s="300"/>
      <c r="G481" s="300"/>
      <c r="H481" s="300" t="s">
        <v>3302</v>
      </c>
      <c r="I481" s="86"/>
      <c r="J481" s="86"/>
      <c r="K481" s="300"/>
      <c r="L481" s="300"/>
    </row>
    <row r="482" spans="1:12">
      <c r="A482" s="86" t="s">
        <v>3081</v>
      </c>
      <c r="B482" s="86" t="s">
        <v>3318</v>
      </c>
      <c r="C482" s="306">
        <v>2722522</v>
      </c>
      <c r="D482" s="86">
        <v>339903</v>
      </c>
      <c r="E482" s="300">
        <v>17958</v>
      </c>
      <c r="F482" s="300"/>
      <c r="G482" s="300">
        <v>18932</v>
      </c>
      <c r="H482" s="300" t="s">
        <v>3302</v>
      </c>
      <c r="I482" s="86" t="s">
        <v>3636</v>
      </c>
      <c r="J482" s="86"/>
      <c r="K482" s="300"/>
      <c r="L482" s="300"/>
    </row>
    <row r="483" spans="1:12">
      <c r="A483" s="307" t="s">
        <v>3081</v>
      </c>
      <c r="B483" s="307" t="s">
        <v>3318</v>
      </c>
      <c r="C483" s="307"/>
      <c r="D483" s="307">
        <v>356770</v>
      </c>
      <c r="E483" s="308"/>
      <c r="F483" s="308"/>
      <c r="G483" s="308"/>
      <c r="H483" s="308"/>
      <c r="I483" s="307"/>
      <c r="J483" s="307"/>
      <c r="K483" s="308"/>
      <c r="L483" s="308"/>
    </row>
    <row r="484" spans="1:12">
      <c r="A484" s="86" t="s">
        <v>3081</v>
      </c>
      <c r="B484" s="86" t="s">
        <v>3637</v>
      </c>
      <c r="C484" s="86">
        <v>2106753</v>
      </c>
      <c r="D484" s="86"/>
      <c r="E484" s="300">
        <v>9875</v>
      </c>
      <c r="F484" s="300" t="s">
        <v>3321</v>
      </c>
      <c r="G484" s="300">
        <v>12450</v>
      </c>
      <c r="H484" s="300" t="s">
        <v>3322</v>
      </c>
      <c r="I484" s="86"/>
      <c r="J484" s="300" t="s">
        <v>107</v>
      </c>
      <c r="K484" s="300">
        <v>9674</v>
      </c>
      <c r="L484" s="300"/>
    </row>
    <row r="485" spans="1:12">
      <c r="A485" s="86" t="s">
        <v>3081</v>
      </c>
      <c r="B485" s="86" t="s">
        <v>3637</v>
      </c>
      <c r="C485" s="86">
        <v>2106754</v>
      </c>
      <c r="D485" s="86"/>
      <c r="E485" s="300">
        <v>10561</v>
      </c>
      <c r="F485" s="300"/>
      <c r="G485" s="300">
        <v>12450</v>
      </c>
      <c r="H485" s="300" t="s">
        <v>3322</v>
      </c>
      <c r="I485" s="86" t="s">
        <v>3463</v>
      </c>
      <c r="J485" s="86" t="s">
        <v>107</v>
      </c>
      <c r="K485" s="300">
        <v>10196</v>
      </c>
      <c r="L485" s="300"/>
    </row>
    <row r="486" spans="1:12">
      <c r="A486" s="86" t="s">
        <v>3081</v>
      </c>
      <c r="B486" s="86" t="s">
        <v>3637</v>
      </c>
      <c r="C486" s="86">
        <v>2113798</v>
      </c>
      <c r="D486" s="86"/>
      <c r="E486" s="300">
        <v>11866</v>
      </c>
      <c r="F486" s="300"/>
      <c r="G486" s="300">
        <v>12520</v>
      </c>
      <c r="H486" s="300" t="s">
        <v>495</v>
      </c>
      <c r="I486" s="86" t="s">
        <v>3464</v>
      </c>
      <c r="J486" s="86"/>
      <c r="K486" s="300"/>
      <c r="L486" s="300"/>
    </row>
    <row r="487" spans="1:12">
      <c r="A487" s="86" t="s">
        <v>3081</v>
      </c>
      <c r="B487" s="86" t="s">
        <v>3637</v>
      </c>
      <c r="C487" s="86">
        <v>2126923</v>
      </c>
      <c r="D487" s="86"/>
      <c r="E487" s="300">
        <v>11374</v>
      </c>
      <c r="F487" s="300"/>
      <c r="G487" s="300">
        <v>12646</v>
      </c>
      <c r="H487" s="300" t="s">
        <v>495</v>
      </c>
      <c r="I487" s="86" t="s">
        <v>3465</v>
      </c>
      <c r="J487" s="86"/>
      <c r="K487" s="300"/>
      <c r="L487" s="300"/>
    </row>
    <row r="488" spans="1:12">
      <c r="A488" s="86" t="s">
        <v>3081</v>
      </c>
      <c r="B488" s="86" t="s">
        <v>3637</v>
      </c>
      <c r="C488" s="86">
        <v>2136649</v>
      </c>
      <c r="D488" s="86"/>
      <c r="E488" s="300">
        <v>11764</v>
      </c>
      <c r="F488" s="300"/>
      <c r="G488" s="300">
        <v>12737</v>
      </c>
      <c r="H488" s="300" t="s">
        <v>495</v>
      </c>
      <c r="I488" s="86" t="s">
        <v>3329</v>
      </c>
      <c r="J488" s="86"/>
      <c r="K488" s="300"/>
      <c r="L488" s="300"/>
    </row>
    <row r="489" spans="1:12">
      <c r="A489" s="86" t="s">
        <v>3081</v>
      </c>
      <c r="B489" s="86" t="s">
        <v>3637</v>
      </c>
      <c r="C489" s="86">
        <v>2151496</v>
      </c>
      <c r="D489" s="86"/>
      <c r="E489" s="300">
        <v>12256</v>
      </c>
      <c r="F489" s="300"/>
      <c r="G489" s="300">
        <v>12863</v>
      </c>
      <c r="H489" s="300" t="s">
        <v>495</v>
      </c>
      <c r="I489" s="86" t="s">
        <v>3330</v>
      </c>
      <c r="J489" s="86"/>
      <c r="K489" s="300"/>
      <c r="L489" s="300"/>
    </row>
    <row r="490" spans="1:12">
      <c r="A490" s="86" t="s">
        <v>3081</v>
      </c>
      <c r="B490" s="86" t="s">
        <v>3637</v>
      </c>
      <c r="C490" s="86">
        <v>2167765</v>
      </c>
      <c r="D490" s="86"/>
      <c r="E490" s="300">
        <v>12026</v>
      </c>
      <c r="F490" s="300"/>
      <c r="G490" s="300">
        <v>12996</v>
      </c>
      <c r="H490" s="300" t="s">
        <v>495</v>
      </c>
      <c r="I490" s="86" t="s">
        <v>3069</v>
      </c>
      <c r="J490" s="86"/>
      <c r="K490" s="300"/>
      <c r="L490" s="300"/>
    </row>
    <row r="491" spans="1:12">
      <c r="A491" s="86" t="s">
        <v>3081</v>
      </c>
      <c r="B491" s="86" t="s">
        <v>3637</v>
      </c>
      <c r="C491" s="86">
        <v>2187785</v>
      </c>
      <c r="D491" s="86"/>
      <c r="E491" s="300">
        <v>12020</v>
      </c>
      <c r="F491" s="300"/>
      <c r="G491" s="300">
        <v>13171</v>
      </c>
      <c r="H491" s="300" t="s">
        <v>495</v>
      </c>
      <c r="I491" s="86" t="s">
        <v>3331</v>
      </c>
      <c r="J491" s="86"/>
      <c r="K491" s="300"/>
      <c r="L491" s="300"/>
    </row>
    <row r="492" spans="1:12">
      <c r="A492" s="86" t="s">
        <v>3081</v>
      </c>
      <c r="B492" s="86" t="s">
        <v>3637</v>
      </c>
      <c r="C492" s="86">
        <v>2197524</v>
      </c>
      <c r="D492" s="86"/>
      <c r="E492" s="300">
        <v>12306</v>
      </c>
      <c r="F492" s="300"/>
      <c r="G492" s="300">
        <v>13255</v>
      </c>
      <c r="H492" s="300" t="s">
        <v>495</v>
      </c>
      <c r="I492" s="86" t="s">
        <v>3332</v>
      </c>
      <c r="J492" s="86"/>
      <c r="K492" s="300"/>
      <c r="L492" s="300"/>
    </row>
    <row r="493" spans="1:12">
      <c r="A493" s="86" t="s">
        <v>3081</v>
      </c>
      <c r="B493" s="86" t="s">
        <v>3637</v>
      </c>
      <c r="C493" s="86">
        <v>2197533</v>
      </c>
      <c r="D493" s="86"/>
      <c r="E493" s="300">
        <v>12326</v>
      </c>
      <c r="F493" s="300"/>
      <c r="G493" s="300">
        <v>13255</v>
      </c>
      <c r="H493" s="300" t="s">
        <v>495</v>
      </c>
      <c r="I493" s="86" t="s">
        <v>3333</v>
      </c>
      <c r="J493" s="86"/>
      <c r="K493" s="300"/>
      <c r="L493" s="300"/>
    </row>
    <row r="494" spans="1:12">
      <c r="A494" s="86" t="s">
        <v>3081</v>
      </c>
      <c r="B494" s="86" t="s">
        <v>3637</v>
      </c>
      <c r="C494" s="86">
        <v>2215644</v>
      </c>
      <c r="D494" s="86"/>
      <c r="E494" s="300">
        <v>12748</v>
      </c>
      <c r="F494" s="300"/>
      <c r="G494" s="300">
        <v>13416</v>
      </c>
      <c r="H494" s="300" t="s">
        <v>495</v>
      </c>
      <c r="I494" s="86" t="s">
        <v>3334</v>
      </c>
      <c r="J494" s="86"/>
      <c r="K494" s="300"/>
      <c r="L494" s="300"/>
    </row>
    <row r="495" spans="1:12">
      <c r="A495" s="86" t="s">
        <v>3081</v>
      </c>
      <c r="B495" s="86" t="s">
        <v>3637</v>
      </c>
      <c r="C495" s="86">
        <v>2215645</v>
      </c>
      <c r="D495" s="86"/>
      <c r="E495" s="300">
        <v>12450</v>
      </c>
      <c r="F495" s="300"/>
      <c r="G495" s="300">
        <v>13416</v>
      </c>
      <c r="H495" s="300" t="s">
        <v>495</v>
      </c>
      <c r="I495" s="86" t="s">
        <v>3325</v>
      </c>
      <c r="J495" s="86"/>
      <c r="K495" s="300"/>
      <c r="L495" s="300"/>
    </row>
    <row r="496" spans="1:12">
      <c r="A496" s="86" t="s">
        <v>3081</v>
      </c>
      <c r="B496" s="86" t="s">
        <v>3637</v>
      </c>
      <c r="C496" s="86">
        <v>2238595</v>
      </c>
      <c r="D496" s="86"/>
      <c r="E496" s="300">
        <v>12690</v>
      </c>
      <c r="F496" s="300"/>
      <c r="G496" s="300">
        <v>13619</v>
      </c>
      <c r="H496" s="300" t="s">
        <v>495</v>
      </c>
      <c r="I496" s="86" t="s">
        <v>3326</v>
      </c>
      <c r="J496" s="86"/>
      <c r="K496" s="300"/>
      <c r="L496" s="300"/>
    </row>
    <row r="497" spans="1:12">
      <c r="A497" s="86" t="s">
        <v>3081</v>
      </c>
      <c r="B497" s="86" t="s">
        <v>3637</v>
      </c>
      <c r="C497" s="86">
        <v>2238599</v>
      </c>
      <c r="D497" s="86"/>
      <c r="E497" s="300">
        <v>11292</v>
      </c>
      <c r="F497" s="300"/>
      <c r="G497" s="300">
        <v>13619</v>
      </c>
      <c r="H497" s="300" t="s">
        <v>495</v>
      </c>
      <c r="I497" s="86" t="s">
        <v>3327</v>
      </c>
      <c r="J497" s="86"/>
      <c r="K497" s="300"/>
      <c r="L497" s="300"/>
    </row>
    <row r="498" spans="1:12">
      <c r="A498" s="86" t="s">
        <v>3081</v>
      </c>
      <c r="B498" s="86" t="s">
        <v>3637</v>
      </c>
      <c r="C498" s="86">
        <v>2252589</v>
      </c>
      <c r="D498" s="86"/>
      <c r="E498" s="300">
        <v>13027</v>
      </c>
      <c r="F498" s="300"/>
      <c r="G498" s="300">
        <v>13738</v>
      </c>
      <c r="H498" s="300" t="s">
        <v>495</v>
      </c>
      <c r="I498" s="86" t="s">
        <v>3328</v>
      </c>
      <c r="J498" s="86"/>
      <c r="K498" s="300"/>
      <c r="L498" s="300"/>
    </row>
    <row r="499" spans="1:12">
      <c r="A499" s="86" t="s">
        <v>3081</v>
      </c>
      <c r="B499" s="86" t="s">
        <v>3637</v>
      </c>
      <c r="C499" s="86">
        <v>2254865</v>
      </c>
      <c r="D499" s="86"/>
      <c r="E499" s="300">
        <v>13087</v>
      </c>
      <c r="F499" s="300"/>
      <c r="G499" s="300">
        <v>13759</v>
      </c>
      <c r="H499" s="300" t="s">
        <v>495</v>
      </c>
      <c r="I499" s="86" t="s">
        <v>3200</v>
      </c>
      <c r="J499" s="86"/>
      <c r="K499" s="300"/>
      <c r="L499" s="300"/>
    </row>
    <row r="500" spans="1:12">
      <c r="A500" s="86" t="s">
        <v>3081</v>
      </c>
      <c r="B500" s="86" t="s">
        <v>3637</v>
      </c>
      <c r="C500" s="86">
        <v>2254945</v>
      </c>
      <c r="D500" s="86"/>
      <c r="E500" s="300">
        <v>12229</v>
      </c>
      <c r="F500" s="300"/>
      <c r="G500" s="300">
        <v>13759</v>
      </c>
      <c r="H500" s="300" t="s">
        <v>495</v>
      </c>
      <c r="I500" s="86" t="s">
        <v>3201</v>
      </c>
      <c r="J500" s="86"/>
      <c r="K500" s="300"/>
      <c r="L500" s="300"/>
    </row>
    <row r="501" spans="1:12">
      <c r="A501" s="86" t="s">
        <v>3081</v>
      </c>
      <c r="B501" s="86" t="s">
        <v>3637</v>
      </c>
      <c r="C501" s="86">
        <v>2255431</v>
      </c>
      <c r="D501" s="86"/>
      <c r="E501" s="300">
        <v>13077</v>
      </c>
      <c r="F501" s="300"/>
      <c r="G501" s="300">
        <v>13766</v>
      </c>
      <c r="H501" s="300" t="s">
        <v>495</v>
      </c>
      <c r="I501" s="86" t="s">
        <v>3202</v>
      </c>
      <c r="J501" s="86"/>
      <c r="K501" s="300"/>
      <c r="L501" s="300"/>
    </row>
    <row r="502" spans="1:12">
      <c r="A502" s="86" t="s">
        <v>3081</v>
      </c>
      <c r="B502" s="86" t="s">
        <v>3637</v>
      </c>
      <c r="C502" s="86">
        <v>2263897</v>
      </c>
      <c r="D502" s="86"/>
      <c r="E502" s="300">
        <v>12716</v>
      </c>
      <c r="F502" s="300"/>
      <c r="G502" s="300">
        <v>13843</v>
      </c>
      <c r="H502" s="300" t="s">
        <v>495</v>
      </c>
      <c r="I502" s="86" t="s">
        <v>3343</v>
      </c>
      <c r="J502" s="86"/>
      <c r="K502" s="300"/>
      <c r="L502" s="300"/>
    </row>
    <row r="503" spans="1:12">
      <c r="A503" s="86" t="s">
        <v>3081</v>
      </c>
      <c r="B503" s="86" t="s">
        <v>3637</v>
      </c>
      <c r="C503" s="86">
        <v>2267118</v>
      </c>
      <c r="D503" s="86"/>
      <c r="E503" s="300">
        <v>13209</v>
      </c>
      <c r="F503" s="300"/>
      <c r="G503" s="300">
        <v>13871</v>
      </c>
      <c r="H503" s="300" t="s">
        <v>495</v>
      </c>
      <c r="I503" s="86" t="s">
        <v>3344</v>
      </c>
      <c r="J503" s="86"/>
      <c r="K503" s="300"/>
      <c r="L503" s="300"/>
    </row>
    <row r="504" spans="1:12">
      <c r="A504" s="86" t="s">
        <v>3081</v>
      </c>
      <c r="B504" s="86" t="s">
        <v>3637</v>
      </c>
      <c r="C504" s="86">
        <v>2279877</v>
      </c>
      <c r="D504" s="86"/>
      <c r="E504" s="300">
        <v>13209</v>
      </c>
      <c r="F504" s="300"/>
      <c r="G504" s="300">
        <v>13983</v>
      </c>
      <c r="H504" s="300" t="s">
        <v>495</v>
      </c>
      <c r="I504" s="86" t="s">
        <v>3345</v>
      </c>
      <c r="J504" s="86"/>
      <c r="K504" s="300"/>
      <c r="L504" s="300"/>
    </row>
    <row r="505" spans="1:12">
      <c r="A505" s="86" t="s">
        <v>3081</v>
      </c>
      <c r="B505" s="86" t="s">
        <v>3637</v>
      </c>
      <c r="C505" s="86">
        <v>2298923</v>
      </c>
      <c r="D505" s="86"/>
      <c r="E505" s="300">
        <v>11887</v>
      </c>
      <c r="F505" s="300"/>
      <c r="G505" s="300">
        <v>14165</v>
      </c>
      <c r="H505" s="300" t="s">
        <v>495</v>
      </c>
      <c r="I505" s="86" t="s">
        <v>3346</v>
      </c>
      <c r="J505" s="86"/>
      <c r="K505" s="300"/>
      <c r="L505" s="300"/>
    </row>
    <row r="506" spans="1:12">
      <c r="A506" s="86" t="s">
        <v>3081</v>
      </c>
      <c r="B506" s="86" t="s">
        <v>3637</v>
      </c>
      <c r="C506" s="86" t="s">
        <v>3347</v>
      </c>
      <c r="D506" s="86"/>
      <c r="E506" s="300">
        <v>10826</v>
      </c>
      <c r="F506" s="300">
        <v>12298</v>
      </c>
      <c r="G506" s="300">
        <v>14263</v>
      </c>
      <c r="H506" s="300" t="s">
        <v>495</v>
      </c>
      <c r="I506" s="86" t="s">
        <v>3495</v>
      </c>
      <c r="J506" s="86"/>
      <c r="K506" s="300"/>
      <c r="L506" s="300"/>
    </row>
    <row r="507" spans="1:12">
      <c r="A507" s="86" t="s">
        <v>3081</v>
      </c>
      <c r="B507" s="86" t="s">
        <v>3637</v>
      </c>
      <c r="C507" s="86">
        <v>2311513</v>
      </c>
      <c r="D507" s="86"/>
      <c r="E507" s="300">
        <v>13165</v>
      </c>
      <c r="F507" s="300"/>
      <c r="G507" s="300">
        <v>14291</v>
      </c>
      <c r="H507" s="300" t="s">
        <v>495</v>
      </c>
      <c r="I507" s="86" t="s">
        <v>3348</v>
      </c>
      <c r="J507" s="86"/>
      <c r="K507" s="300"/>
      <c r="L507" s="300"/>
    </row>
    <row r="508" spans="1:12">
      <c r="A508" s="86" t="s">
        <v>3081</v>
      </c>
      <c r="B508" s="86" t="s">
        <v>3637</v>
      </c>
      <c r="C508" s="86">
        <v>2316984</v>
      </c>
      <c r="D508" s="86"/>
      <c r="E508" s="300">
        <v>12944</v>
      </c>
      <c r="F508" s="300"/>
      <c r="G508" s="300">
        <v>14354</v>
      </c>
      <c r="H508" s="300" t="s">
        <v>495</v>
      </c>
      <c r="I508" s="86" t="s">
        <v>3482</v>
      </c>
      <c r="J508" s="86"/>
      <c r="K508" s="300"/>
      <c r="L508" s="300"/>
    </row>
    <row r="509" spans="1:12">
      <c r="A509" s="86" t="s">
        <v>3081</v>
      </c>
      <c r="B509" s="86" t="s">
        <v>3637</v>
      </c>
      <c r="C509" s="86">
        <v>2318652</v>
      </c>
      <c r="D509" s="86"/>
      <c r="E509" s="300">
        <v>12782</v>
      </c>
      <c r="F509" s="300"/>
      <c r="G509" s="300">
        <v>14375</v>
      </c>
      <c r="H509" s="300" t="s">
        <v>495</v>
      </c>
      <c r="I509" s="86" t="s">
        <v>3483</v>
      </c>
      <c r="J509" s="86"/>
      <c r="K509" s="300"/>
      <c r="L509" s="300"/>
    </row>
    <row r="510" spans="1:12">
      <c r="A510" s="86" t="s">
        <v>3081</v>
      </c>
      <c r="B510" s="86" t="s">
        <v>3637</v>
      </c>
      <c r="C510" s="86">
        <v>2318653</v>
      </c>
      <c r="D510" s="86" t="s">
        <v>3484</v>
      </c>
      <c r="E510" s="300">
        <v>12782</v>
      </c>
      <c r="F510" s="300">
        <v>14060</v>
      </c>
      <c r="G510" s="300">
        <v>14375</v>
      </c>
      <c r="H510" s="300" t="s">
        <v>495</v>
      </c>
      <c r="I510" s="86" t="s">
        <v>3483</v>
      </c>
      <c r="J510" s="86"/>
      <c r="K510" s="300"/>
      <c r="L510" s="300"/>
    </row>
    <row r="511" spans="1:12">
      <c r="A511" s="86" t="s">
        <v>3081</v>
      </c>
      <c r="B511" s="86" t="s">
        <v>3637</v>
      </c>
      <c r="C511" s="86">
        <v>2336946</v>
      </c>
      <c r="D511" s="86"/>
      <c r="E511" s="300">
        <v>13858</v>
      </c>
      <c r="F511" s="300"/>
      <c r="G511" s="300">
        <v>14592</v>
      </c>
      <c r="H511" s="300" t="s">
        <v>495</v>
      </c>
      <c r="I511" s="86" t="s">
        <v>3202</v>
      </c>
      <c r="J511" s="86"/>
      <c r="K511" s="300"/>
      <c r="L511" s="300"/>
    </row>
    <row r="512" spans="1:12">
      <c r="A512" s="86" t="s">
        <v>3081</v>
      </c>
      <c r="B512" s="86" t="s">
        <v>3637</v>
      </c>
      <c r="C512" s="86">
        <v>2336998</v>
      </c>
      <c r="D512" s="86"/>
      <c r="E512" s="300">
        <v>13685</v>
      </c>
      <c r="F512" s="300"/>
      <c r="G512" s="300">
        <v>14592</v>
      </c>
      <c r="H512" s="300" t="s">
        <v>495</v>
      </c>
      <c r="I512" s="86" t="s">
        <v>3485</v>
      </c>
      <c r="J512" s="86"/>
      <c r="K512" s="300"/>
      <c r="L512" s="300"/>
    </row>
    <row r="513" spans="1:12">
      <c r="A513" s="86" t="s">
        <v>3081</v>
      </c>
      <c r="B513" s="86" t="s">
        <v>3637</v>
      </c>
      <c r="C513" s="86">
        <v>2349444</v>
      </c>
      <c r="D513" s="86"/>
      <c r="E513" s="300">
        <v>13329</v>
      </c>
      <c r="F513" s="300"/>
      <c r="G513" s="300">
        <v>14753</v>
      </c>
      <c r="H513" s="300" t="s">
        <v>495</v>
      </c>
      <c r="I513" s="86" t="s">
        <v>3069</v>
      </c>
      <c r="J513" s="86"/>
      <c r="K513" s="300"/>
      <c r="L513" s="300"/>
    </row>
    <row r="514" spans="1:12">
      <c r="A514" s="86" t="s">
        <v>3081</v>
      </c>
      <c r="B514" s="86" t="s">
        <v>3637</v>
      </c>
      <c r="C514" s="86">
        <v>2349360</v>
      </c>
      <c r="D514" s="86"/>
      <c r="E514" s="300">
        <v>13903</v>
      </c>
      <c r="F514" s="300"/>
      <c r="G514" s="300">
        <v>14753</v>
      </c>
      <c r="H514" s="300" t="s">
        <v>495</v>
      </c>
      <c r="I514" s="86" t="s">
        <v>3202</v>
      </c>
      <c r="J514" s="86"/>
      <c r="K514" s="300"/>
      <c r="L514" s="300"/>
    </row>
    <row r="515" spans="1:12">
      <c r="A515" s="86" t="s">
        <v>3081</v>
      </c>
      <c r="B515" s="86" t="s">
        <v>3637</v>
      </c>
      <c r="C515" s="86">
        <v>2369563</v>
      </c>
      <c r="D515" s="86"/>
      <c r="E515" s="300">
        <v>14497</v>
      </c>
      <c r="F515" s="300"/>
      <c r="G515" s="300">
        <v>15019</v>
      </c>
      <c r="H515" s="300" t="s">
        <v>495</v>
      </c>
      <c r="I515" s="86" t="s">
        <v>3354</v>
      </c>
      <c r="J515" s="86"/>
      <c r="K515" s="300"/>
      <c r="L515" s="300"/>
    </row>
    <row r="516" spans="1:12">
      <c r="A516" s="86" t="s">
        <v>3081</v>
      </c>
      <c r="B516" s="86" t="s">
        <v>3637</v>
      </c>
      <c r="C516" s="86">
        <v>2385843</v>
      </c>
      <c r="D516" s="86"/>
      <c r="E516" s="300">
        <v>13788</v>
      </c>
      <c r="F516" s="300"/>
      <c r="G516" s="300">
        <v>15250</v>
      </c>
      <c r="H516" s="300" t="s">
        <v>3497</v>
      </c>
      <c r="I516" s="86" t="s">
        <v>3498</v>
      </c>
      <c r="J516" s="86"/>
      <c r="K516" s="300"/>
      <c r="L516" s="300"/>
    </row>
    <row r="517" spans="1:12">
      <c r="A517" s="86" t="s">
        <v>3081</v>
      </c>
      <c r="B517" s="86" t="s">
        <v>3637</v>
      </c>
      <c r="C517" s="86">
        <v>2392305</v>
      </c>
      <c r="D517" s="86"/>
      <c r="E517" s="300">
        <v>14347</v>
      </c>
      <c r="F517" s="300"/>
      <c r="G517" s="300">
        <v>15348</v>
      </c>
      <c r="H517" s="300" t="s">
        <v>3497</v>
      </c>
      <c r="I517" s="86" t="s">
        <v>3330</v>
      </c>
      <c r="J517" s="86"/>
      <c r="K517" s="300"/>
      <c r="L517" s="300"/>
    </row>
    <row r="518" spans="1:12">
      <c r="A518" s="86" t="s">
        <v>3081</v>
      </c>
      <c r="B518" s="86" t="s">
        <v>3637</v>
      </c>
      <c r="C518" s="86">
        <v>2392333</v>
      </c>
      <c r="D518" s="86"/>
      <c r="E518" s="300">
        <v>14598</v>
      </c>
      <c r="F518" s="300"/>
      <c r="G518" s="300">
        <v>15348</v>
      </c>
      <c r="H518" s="300" t="s">
        <v>3497</v>
      </c>
      <c r="I518" s="86" t="s">
        <v>3499</v>
      </c>
      <c r="J518" s="86"/>
      <c r="K518" s="300"/>
      <c r="L518" s="300"/>
    </row>
    <row r="519" spans="1:12">
      <c r="A519" s="86" t="s">
        <v>3081</v>
      </c>
      <c r="B519" s="86" t="s">
        <v>3637</v>
      </c>
      <c r="C519" s="86">
        <v>2393253</v>
      </c>
      <c r="D519" s="86"/>
      <c r="E519" s="300">
        <v>14056</v>
      </c>
      <c r="F519" s="300"/>
      <c r="G519" s="300">
        <v>15362</v>
      </c>
      <c r="H519" s="300" t="s">
        <v>3497</v>
      </c>
      <c r="I519" s="86" t="s">
        <v>3500</v>
      </c>
      <c r="J519" s="86"/>
      <c r="K519" s="300"/>
      <c r="L519" s="300"/>
    </row>
    <row r="520" spans="1:12">
      <c r="A520" s="86" t="s">
        <v>3081</v>
      </c>
      <c r="B520" s="86" t="s">
        <v>3637</v>
      </c>
      <c r="C520" s="86">
        <v>2394357</v>
      </c>
      <c r="D520" s="86"/>
      <c r="E520" s="300">
        <v>13020</v>
      </c>
      <c r="F520" s="300"/>
      <c r="G520" s="300">
        <v>15376</v>
      </c>
      <c r="H520" s="300" t="s">
        <v>3497</v>
      </c>
      <c r="I520" s="86" t="s">
        <v>3501</v>
      </c>
      <c r="J520" s="86"/>
      <c r="K520" s="300"/>
      <c r="L520" s="300"/>
    </row>
    <row r="521" spans="1:12">
      <c r="A521" s="86" t="s">
        <v>3081</v>
      </c>
      <c r="B521" s="86" t="s">
        <v>3637</v>
      </c>
      <c r="C521" s="86">
        <v>2398114</v>
      </c>
      <c r="D521" s="86"/>
      <c r="E521" s="300">
        <v>14134</v>
      </c>
      <c r="F521" s="300"/>
      <c r="G521" s="300">
        <v>15439</v>
      </c>
      <c r="H521" s="300" t="s">
        <v>3497</v>
      </c>
      <c r="I521" s="86" t="s">
        <v>3498</v>
      </c>
      <c r="J521" s="86"/>
      <c r="K521" s="300"/>
      <c r="L521" s="300"/>
    </row>
    <row r="522" spans="1:12">
      <c r="A522" s="86" t="s">
        <v>3081</v>
      </c>
      <c r="B522" s="86" t="s">
        <v>3637</v>
      </c>
      <c r="C522" s="86">
        <v>2404059</v>
      </c>
      <c r="D522" s="86"/>
      <c r="E522" s="300">
        <v>14885</v>
      </c>
      <c r="F522" s="300"/>
      <c r="G522" s="300">
        <v>15537</v>
      </c>
      <c r="H522" s="300" t="s">
        <v>3497</v>
      </c>
      <c r="I522" s="86" t="s">
        <v>3502</v>
      </c>
      <c r="J522" s="86"/>
      <c r="K522" s="300"/>
      <c r="L522" s="300"/>
    </row>
    <row r="523" spans="1:12">
      <c r="A523" s="86" t="s">
        <v>3081</v>
      </c>
      <c r="B523" s="86" t="s">
        <v>3637</v>
      </c>
      <c r="C523" s="86">
        <v>2404060</v>
      </c>
      <c r="D523" s="86"/>
      <c r="E523" s="300">
        <v>14643</v>
      </c>
      <c r="F523" s="300"/>
      <c r="G523" s="300">
        <v>15537</v>
      </c>
      <c r="H523" s="300" t="s">
        <v>3497</v>
      </c>
      <c r="I523" s="86" t="s">
        <v>3503</v>
      </c>
      <c r="J523" s="86"/>
      <c r="K523" s="300"/>
      <c r="L523" s="300"/>
    </row>
    <row r="524" spans="1:12">
      <c r="A524" s="86" t="s">
        <v>3081</v>
      </c>
      <c r="B524" s="86" t="s">
        <v>3637</v>
      </c>
      <c r="C524" s="86">
        <v>2409725</v>
      </c>
      <c r="D524" s="86"/>
      <c r="E524" s="300">
        <v>13608</v>
      </c>
      <c r="F524" s="300"/>
      <c r="G524" s="300">
        <v>15635</v>
      </c>
      <c r="H524" s="300" t="s">
        <v>3497</v>
      </c>
      <c r="I524" s="86" t="s">
        <v>3648</v>
      </c>
      <c r="J524" s="86"/>
      <c r="K524" s="300"/>
      <c r="L524" s="300"/>
    </row>
    <row r="525" spans="1:12">
      <c r="A525" s="86" t="s">
        <v>3081</v>
      </c>
      <c r="B525" s="86" t="s">
        <v>3637</v>
      </c>
      <c r="C525" s="86">
        <v>2411250</v>
      </c>
      <c r="D525" s="86"/>
      <c r="E525" s="300">
        <v>13685</v>
      </c>
      <c r="F525" s="300"/>
      <c r="G525" s="300">
        <v>15663</v>
      </c>
      <c r="H525" s="300" t="s">
        <v>3497</v>
      </c>
      <c r="I525" s="86" t="s">
        <v>3649</v>
      </c>
      <c r="J525" s="86"/>
      <c r="K525" s="300"/>
      <c r="L525" s="300"/>
    </row>
    <row r="526" spans="1:12">
      <c r="A526" s="86" t="s">
        <v>3081</v>
      </c>
      <c r="B526" s="86" t="s">
        <v>3637</v>
      </c>
      <c r="C526" s="86">
        <v>2414601</v>
      </c>
      <c r="D526" s="86"/>
      <c r="E526" s="300">
        <v>13839</v>
      </c>
      <c r="F526" s="300"/>
      <c r="G526" s="300">
        <v>15726</v>
      </c>
      <c r="H526" s="300" t="s">
        <v>3497</v>
      </c>
      <c r="I526" s="86" t="s">
        <v>3650</v>
      </c>
      <c r="J526" s="86"/>
      <c r="K526" s="300"/>
      <c r="L526" s="300"/>
    </row>
    <row r="527" spans="1:12">
      <c r="A527" s="86" t="s">
        <v>3081</v>
      </c>
      <c r="B527" s="86" t="s">
        <v>3637</v>
      </c>
      <c r="C527" s="86">
        <v>2426016</v>
      </c>
      <c r="D527" s="86"/>
      <c r="E527" s="300">
        <v>13847</v>
      </c>
      <c r="F527" s="300"/>
      <c r="G527" s="300">
        <v>15936</v>
      </c>
      <c r="H527" s="300" t="s">
        <v>3497</v>
      </c>
      <c r="I527" s="86" t="s">
        <v>3651</v>
      </c>
      <c r="J527" s="86"/>
      <c r="K527" s="300"/>
      <c r="L527" s="300"/>
    </row>
    <row r="528" spans="1:12">
      <c r="A528" s="86" t="s">
        <v>3081</v>
      </c>
      <c r="B528" s="86" t="s">
        <v>3637</v>
      </c>
      <c r="C528" s="86">
        <v>2427096</v>
      </c>
      <c r="D528" s="86" t="s">
        <v>3652</v>
      </c>
      <c r="E528" s="300">
        <v>12753</v>
      </c>
      <c r="F528" s="300">
        <v>14435</v>
      </c>
      <c r="G528" s="300">
        <v>15957</v>
      </c>
      <c r="H528" s="300" t="s">
        <v>3497</v>
      </c>
      <c r="I528" s="86" t="s">
        <v>3366</v>
      </c>
      <c r="J528" s="86"/>
      <c r="K528" s="300"/>
      <c r="L528" s="300"/>
    </row>
    <row r="529" spans="1:12">
      <c r="A529" s="86" t="s">
        <v>3081</v>
      </c>
      <c r="B529" s="86" t="s">
        <v>3637</v>
      </c>
      <c r="C529" s="86">
        <v>2428464</v>
      </c>
      <c r="D529" s="86"/>
      <c r="E529" s="300">
        <v>15015</v>
      </c>
      <c r="F529" s="300"/>
      <c r="G529" s="300">
        <v>15985</v>
      </c>
      <c r="H529" s="300" t="s">
        <v>3497</v>
      </c>
      <c r="I529" s="86" t="s">
        <v>3367</v>
      </c>
      <c r="J529" s="86"/>
      <c r="K529" s="300"/>
      <c r="L529" s="300"/>
    </row>
    <row r="530" spans="1:12">
      <c r="A530" s="86" t="s">
        <v>3081</v>
      </c>
      <c r="B530" s="86" t="s">
        <v>3637</v>
      </c>
      <c r="C530" s="86">
        <v>2429203</v>
      </c>
      <c r="D530" s="86"/>
      <c r="E530" s="300">
        <v>13955</v>
      </c>
      <c r="F530" s="300"/>
      <c r="G530" s="300">
        <v>15999</v>
      </c>
      <c r="H530" s="300" t="s">
        <v>3497</v>
      </c>
      <c r="I530" s="86" t="s">
        <v>3228</v>
      </c>
      <c r="J530" s="86"/>
      <c r="K530" s="300"/>
      <c r="L530" s="300"/>
    </row>
    <row r="531" spans="1:12">
      <c r="A531" s="86" t="s">
        <v>3081</v>
      </c>
      <c r="B531" s="86" t="s">
        <v>3637</v>
      </c>
      <c r="C531" s="86">
        <v>2429287</v>
      </c>
      <c r="D531" s="86"/>
      <c r="E531" s="300">
        <v>14078</v>
      </c>
      <c r="F531" s="300"/>
      <c r="G531" s="300">
        <v>15999</v>
      </c>
      <c r="H531" s="300" t="s">
        <v>3497</v>
      </c>
      <c r="I531" s="86" t="s">
        <v>3358</v>
      </c>
      <c r="J531" s="86"/>
      <c r="K531" s="300"/>
      <c r="L531" s="300"/>
    </row>
    <row r="532" spans="1:12">
      <c r="A532" s="86" t="s">
        <v>3081</v>
      </c>
      <c r="B532" s="86" t="s">
        <v>3637</v>
      </c>
      <c r="C532" s="86">
        <v>2431135</v>
      </c>
      <c r="D532" s="86"/>
      <c r="E532" s="300">
        <v>14698</v>
      </c>
      <c r="F532" s="300"/>
      <c r="G532" s="300">
        <v>16027</v>
      </c>
      <c r="H532" s="300" t="s">
        <v>3497</v>
      </c>
      <c r="I532" s="86" t="s">
        <v>3359</v>
      </c>
      <c r="J532" s="86"/>
      <c r="K532" s="300"/>
      <c r="L532" s="300"/>
    </row>
    <row r="533" spans="1:12">
      <c r="A533" s="86" t="s">
        <v>3081</v>
      </c>
      <c r="B533" s="86" t="s">
        <v>3637</v>
      </c>
      <c r="C533" s="86">
        <v>2433116</v>
      </c>
      <c r="D533" s="86"/>
      <c r="E533" s="300">
        <v>13997</v>
      </c>
      <c r="F533" s="300"/>
      <c r="G533" s="300">
        <v>16062</v>
      </c>
      <c r="H533" s="300" t="s">
        <v>3497</v>
      </c>
      <c r="I533" s="86" t="s">
        <v>3360</v>
      </c>
      <c r="J533" s="86"/>
      <c r="K533" s="300"/>
      <c r="L533" s="300"/>
    </row>
    <row r="534" spans="1:12">
      <c r="A534" s="86" t="s">
        <v>3081</v>
      </c>
      <c r="B534" s="86" t="s">
        <v>3637</v>
      </c>
      <c r="C534" s="86">
        <v>2433177</v>
      </c>
      <c r="D534" s="86"/>
      <c r="E534" s="300">
        <v>14650</v>
      </c>
      <c r="F534" s="300"/>
      <c r="G534" s="300">
        <v>16062</v>
      </c>
      <c r="H534" s="300" t="s">
        <v>3497</v>
      </c>
      <c r="I534" s="86" t="s">
        <v>3361</v>
      </c>
      <c r="J534" s="86"/>
      <c r="K534" s="300"/>
      <c r="L534" s="300"/>
    </row>
    <row r="535" spans="1:12">
      <c r="A535" s="86" t="s">
        <v>3081</v>
      </c>
      <c r="B535" s="86" t="s">
        <v>3637</v>
      </c>
      <c r="C535" s="86">
        <v>2438160</v>
      </c>
      <c r="D535" s="86"/>
      <c r="E535" s="300">
        <v>14628</v>
      </c>
      <c r="F535" s="300"/>
      <c r="G535" s="300">
        <v>16153</v>
      </c>
      <c r="H535" s="300" t="s">
        <v>3497</v>
      </c>
      <c r="I535" s="86" t="s">
        <v>3362</v>
      </c>
      <c r="J535" s="86"/>
      <c r="K535" s="300"/>
      <c r="L535" s="300"/>
    </row>
    <row r="536" spans="1:12">
      <c r="A536" s="86" t="s">
        <v>3081</v>
      </c>
      <c r="B536" s="86" t="s">
        <v>3637</v>
      </c>
      <c r="C536" s="86">
        <v>2438181</v>
      </c>
      <c r="D536" s="86"/>
      <c r="E536" s="300">
        <v>14391</v>
      </c>
      <c r="F536" s="300"/>
      <c r="G536" s="300">
        <v>16153</v>
      </c>
      <c r="H536" s="300" t="s">
        <v>3497</v>
      </c>
      <c r="I536" s="86" t="s">
        <v>3235</v>
      </c>
      <c r="J536" s="86"/>
      <c r="K536" s="300"/>
      <c r="L536" s="300"/>
    </row>
    <row r="537" spans="1:12">
      <c r="A537" s="86" t="s">
        <v>3081</v>
      </c>
      <c r="B537" s="86" t="s">
        <v>3637</v>
      </c>
      <c r="C537" s="86">
        <v>2439884</v>
      </c>
      <c r="D537" s="86"/>
      <c r="E537" s="300">
        <v>15378</v>
      </c>
      <c r="F537" s="300"/>
      <c r="G537" s="300">
        <v>16181</v>
      </c>
      <c r="H537" s="300" t="s">
        <v>3497</v>
      </c>
      <c r="I537" s="86" t="s">
        <v>3236</v>
      </c>
      <c r="J537" s="86"/>
      <c r="K537" s="300"/>
      <c r="L537" s="300"/>
    </row>
    <row r="538" spans="1:12">
      <c r="A538" s="86" t="s">
        <v>3081</v>
      </c>
      <c r="B538" s="86" t="s">
        <v>3637</v>
      </c>
      <c r="C538" s="86">
        <v>2442860</v>
      </c>
      <c r="D538" s="300" t="s">
        <v>3237</v>
      </c>
      <c r="E538" s="300">
        <v>12641</v>
      </c>
      <c r="F538" s="300">
        <v>14162</v>
      </c>
      <c r="G538" s="300">
        <v>16230</v>
      </c>
      <c r="H538" s="300" t="s">
        <v>3497</v>
      </c>
      <c r="I538" s="86" t="s">
        <v>3238</v>
      </c>
      <c r="J538" s="86"/>
      <c r="K538" s="300"/>
      <c r="L538" s="300"/>
    </row>
    <row r="539" spans="1:12">
      <c r="A539" s="86" t="s">
        <v>3081</v>
      </c>
      <c r="B539" s="86" t="s">
        <v>3637</v>
      </c>
      <c r="C539" s="86">
        <v>2449783</v>
      </c>
      <c r="D539" s="86"/>
      <c r="E539" s="300">
        <v>14517</v>
      </c>
      <c r="F539" s="300"/>
      <c r="G539" s="300">
        <v>16335</v>
      </c>
      <c r="H539" s="300" t="s">
        <v>3497</v>
      </c>
      <c r="I539" s="86" t="s">
        <v>3242</v>
      </c>
      <c r="J539" s="86"/>
      <c r="K539" s="300"/>
      <c r="L539" s="300"/>
    </row>
    <row r="540" spans="1:12">
      <c r="A540" s="86" t="s">
        <v>3081</v>
      </c>
      <c r="B540" s="86" t="s">
        <v>3637</v>
      </c>
      <c r="C540" s="86">
        <v>2454322</v>
      </c>
      <c r="D540" s="86"/>
      <c r="E540" s="300">
        <v>15447</v>
      </c>
      <c r="F540" s="300"/>
      <c r="G540" s="300">
        <v>16398</v>
      </c>
      <c r="H540" s="300" t="s">
        <v>3497</v>
      </c>
      <c r="I540" s="86" t="s">
        <v>3371</v>
      </c>
      <c r="J540" s="86"/>
      <c r="K540" s="300"/>
      <c r="L540" s="300"/>
    </row>
    <row r="541" spans="1:12">
      <c r="A541" s="86" t="s">
        <v>3081</v>
      </c>
      <c r="B541" s="86" t="s">
        <v>3637</v>
      </c>
      <c r="C541" s="86">
        <v>2454326</v>
      </c>
      <c r="D541" s="86"/>
      <c r="E541" s="300">
        <v>14607</v>
      </c>
      <c r="F541" s="300"/>
      <c r="G541" s="300">
        <v>16398</v>
      </c>
      <c r="H541" s="300" t="s">
        <v>3497</v>
      </c>
      <c r="I541" s="86" t="s">
        <v>3343</v>
      </c>
      <c r="J541" s="86"/>
      <c r="K541" s="300"/>
      <c r="L541" s="300"/>
    </row>
    <row r="542" spans="1:12">
      <c r="A542" s="86" t="s">
        <v>3081</v>
      </c>
      <c r="B542" s="86" t="s">
        <v>3637</v>
      </c>
      <c r="C542" s="86">
        <v>2454362</v>
      </c>
      <c r="D542" s="86"/>
      <c r="E542" s="300">
        <v>13990</v>
      </c>
      <c r="F542" s="300"/>
      <c r="G542" s="300">
        <v>16398</v>
      </c>
      <c r="H542" s="300" t="s">
        <v>3497</v>
      </c>
      <c r="I542" s="86" t="s">
        <v>3378</v>
      </c>
      <c r="J542" s="86"/>
      <c r="K542" s="300"/>
      <c r="L542" s="300"/>
    </row>
    <row r="543" spans="1:12">
      <c r="A543" s="86" t="s">
        <v>3081</v>
      </c>
      <c r="B543" s="86" t="s">
        <v>3637</v>
      </c>
      <c r="C543" s="86">
        <v>2476590</v>
      </c>
      <c r="D543" s="86" t="s">
        <v>3379</v>
      </c>
      <c r="E543" s="300">
        <v>13587</v>
      </c>
      <c r="F543" s="300">
        <v>14428</v>
      </c>
      <c r="G543" s="300">
        <v>16636</v>
      </c>
      <c r="H543" s="300" t="s">
        <v>3497</v>
      </c>
      <c r="I543" s="86" t="s">
        <v>3649</v>
      </c>
      <c r="J543" s="86"/>
      <c r="K543" s="300"/>
      <c r="L543" s="300"/>
    </row>
    <row r="544" spans="1:12">
      <c r="A544" s="86" t="s">
        <v>3081</v>
      </c>
      <c r="B544" s="86" t="s">
        <v>3637</v>
      </c>
      <c r="C544" s="86">
        <v>2476616</v>
      </c>
      <c r="D544" s="86"/>
      <c r="E544" s="300">
        <v>14556</v>
      </c>
      <c r="F544" s="300"/>
      <c r="G544" s="300">
        <v>16636</v>
      </c>
      <c r="H544" s="300" t="s">
        <v>3497</v>
      </c>
      <c r="I544" s="86" t="s">
        <v>3499</v>
      </c>
      <c r="J544" s="86"/>
      <c r="K544" s="300"/>
      <c r="L544" s="300"/>
    </row>
    <row r="545" spans="1:12">
      <c r="A545" s="86" t="s">
        <v>3081</v>
      </c>
      <c r="B545" s="86" t="s">
        <v>3637</v>
      </c>
      <c r="C545" s="86">
        <v>2477340</v>
      </c>
      <c r="D545" s="86"/>
      <c r="E545" s="300">
        <v>15103</v>
      </c>
      <c r="F545" s="300"/>
      <c r="G545" s="300">
        <v>16643</v>
      </c>
      <c r="H545" s="300" t="s">
        <v>3497</v>
      </c>
      <c r="I545" s="86" t="s">
        <v>3343</v>
      </c>
      <c r="J545" s="86"/>
      <c r="K545" s="300"/>
      <c r="L545" s="300"/>
    </row>
    <row r="546" spans="1:12">
      <c r="A546" s="86" t="s">
        <v>3081</v>
      </c>
      <c r="B546" s="86" t="s">
        <v>3637</v>
      </c>
      <c r="C546" s="86">
        <v>2489912</v>
      </c>
      <c r="D546" s="86"/>
      <c r="E546" s="300">
        <v>13861</v>
      </c>
      <c r="F546" s="300"/>
      <c r="G546" s="300">
        <v>16769</v>
      </c>
      <c r="H546" s="300" t="s">
        <v>3497</v>
      </c>
      <c r="I546" s="86" t="s">
        <v>3244</v>
      </c>
      <c r="J546" s="86"/>
      <c r="K546" s="300"/>
      <c r="L546" s="300"/>
    </row>
    <row r="547" spans="1:12">
      <c r="A547" s="86" t="s">
        <v>3081</v>
      </c>
      <c r="B547" s="86" t="s">
        <v>3637</v>
      </c>
      <c r="C547" s="86">
        <v>2502227</v>
      </c>
      <c r="D547" s="86"/>
      <c r="E547" s="300">
        <v>15035</v>
      </c>
      <c r="F547" s="300"/>
      <c r="G547" s="300">
        <v>16888</v>
      </c>
      <c r="H547" s="300" t="s">
        <v>3497</v>
      </c>
      <c r="I547" s="86" t="s">
        <v>3343</v>
      </c>
      <c r="J547" s="86"/>
      <c r="K547" s="300"/>
      <c r="L547" s="300"/>
    </row>
    <row r="548" spans="1:12">
      <c r="A548" s="86" t="s">
        <v>3081</v>
      </c>
      <c r="B548" s="86" t="s">
        <v>3637</v>
      </c>
      <c r="C548" s="86">
        <v>2515881</v>
      </c>
      <c r="D548" s="86"/>
      <c r="E548" s="300">
        <v>15177</v>
      </c>
      <c r="F548" s="300"/>
      <c r="G548" s="300">
        <v>17000</v>
      </c>
      <c r="H548" s="300" t="s">
        <v>3497</v>
      </c>
      <c r="I548" s="86" t="s">
        <v>3343</v>
      </c>
      <c r="J548" s="86"/>
      <c r="K548" s="300"/>
      <c r="L548" s="300"/>
    </row>
    <row r="549" spans="1:12">
      <c r="A549" s="86" t="s">
        <v>3081</v>
      </c>
      <c r="B549" s="86" t="s">
        <v>3637</v>
      </c>
      <c r="C549" s="86">
        <v>2533712</v>
      </c>
      <c r="D549" s="86"/>
      <c r="E549" s="300">
        <v>14698</v>
      </c>
      <c r="F549" s="300"/>
      <c r="G549" s="300">
        <v>17137</v>
      </c>
      <c r="H549" s="300" t="s">
        <v>3497</v>
      </c>
      <c r="I549" s="86" t="s">
        <v>3236</v>
      </c>
      <c r="J549" s="86"/>
      <c r="K549" s="300"/>
      <c r="L549" s="300"/>
    </row>
    <row r="550" spans="1:12">
      <c r="A550" s="86" t="s">
        <v>3081</v>
      </c>
      <c r="B550" s="86" t="s">
        <v>3637</v>
      </c>
      <c r="C550" s="86">
        <v>2538562</v>
      </c>
      <c r="D550" s="86"/>
      <c r="E550" s="300">
        <v>15125</v>
      </c>
      <c r="F550" s="300"/>
      <c r="G550" s="300">
        <v>17182</v>
      </c>
      <c r="H550" s="300" t="s">
        <v>3497</v>
      </c>
      <c r="I550" s="86" t="s">
        <v>3651</v>
      </c>
      <c r="J550" s="86"/>
      <c r="K550" s="300"/>
      <c r="L550" s="300"/>
    </row>
    <row r="551" spans="1:12">
      <c r="A551" s="86" t="s">
        <v>3081</v>
      </c>
      <c r="B551" s="86" t="s">
        <v>3637</v>
      </c>
      <c r="C551" s="86">
        <v>2542091</v>
      </c>
      <c r="D551" s="86"/>
      <c r="E551" s="300">
        <v>15573</v>
      </c>
      <c r="F551" s="300"/>
      <c r="G551" s="300">
        <v>17217</v>
      </c>
      <c r="H551" s="300" t="s">
        <v>3497</v>
      </c>
      <c r="I551" s="86" t="s">
        <v>3245</v>
      </c>
      <c r="J551" s="86"/>
      <c r="K551" s="300"/>
      <c r="L551" s="300"/>
    </row>
    <row r="552" spans="1:12">
      <c r="A552" s="86" t="s">
        <v>3081</v>
      </c>
      <c r="B552" s="86" t="s">
        <v>3637</v>
      </c>
      <c r="C552" s="86">
        <v>2557372</v>
      </c>
      <c r="D552" s="86"/>
      <c r="E552" s="300">
        <v>16122</v>
      </c>
      <c r="F552" s="300"/>
      <c r="G552" s="300">
        <v>17332</v>
      </c>
      <c r="H552" s="300" t="s">
        <v>3497</v>
      </c>
      <c r="I552" s="86" t="s">
        <v>3372</v>
      </c>
      <c r="J552" s="86"/>
      <c r="K552" s="300"/>
      <c r="L552" s="300"/>
    </row>
    <row r="553" spans="1:12">
      <c r="A553" s="86" t="s">
        <v>3081</v>
      </c>
      <c r="B553" s="86" t="s">
        <v>3637</v>
      </c>
      <c r="C553" s="86">
        <v>2563900</v>
      </c>
      <c r="D553" s="86"/>
      <c r="E553" s="300">
        <v>15877</v>
      </c>
      <c r="F553" s="300"/>
      <c r="G553" s="300">
        <v>17392</v>
      </c>
      <c r="H553" s="300" t="s">
        <v>3497</v>
      </c>
      <c r="I553" s="86" t="s">
        <v>3383</v>
      </c>
      <c r="J553" s="86"/>
      <c r="K553" s="300"/>
      <c r="L553" s="300"/>
    </row>
    <row r="554" spans="1:12">
      <c r="A554" s="86" t="s">
        <v>3081</v>
      </c>
      <c r="B554" s="86" t="s">
        <v>3637</v>
      </c>
      <c r="C554" s="86">
        <v>2563901</v>
      </c>
      <c r="D554" s="86"/>
      <c r="E554" s="300">
        <v>16206</v>
      </c>
      <c r="F554" s="300"/>
      <c r="G554" s="300">
        <v>17392</v>
      </c>
      <c r="H554" s="300" t="s">
        <v>3497</v>
      </c>
      <c r="I554" s="86" t="s">
        <v>3538</v>
      </c>
      <c r="J554" s="86"/>
      <c r="K554" s="300"/>
      <c r="L554" s="300"/>
    </row>
    <row r="555" spans="1:12">
      <c r="A555" s="86" t="s">
        <v>3081</v>
      </c>
      <c r="B555" s="86" t="s">
        <v>3637</v>
      </c>
      <c r="C555" s="86">
        <v>2571579</v>
      </c>
      <c r="D555" s="86"/>
      <c r="E555" s="300">
        <v>16544</v>
      </c>
      <c r="F555" s="300"/>
      <c r="G555" s="300">
        <v>17455</v>
      </c>
      <c r="H555" s="86" t="s">
        <v>3539</v>
      </c>
      <c r="I555" s="86" t="s">
        <v>3540</v>
      </c>
      <c r="J555" s="86"/>
      <c r="K555" s="300"/>
      <c r="L555" s="300"/>
    </row>
    <row r="556" spans="1:12">
      <c r="A556" s="86" t="s">
        <v>3081</v>
      </c>
      <c r="B556" s="86" t="s">
        <v>3637</v>
      </c>
      <c r="C556" s="86">
        <v>2576362</v>
      </c>
      <c r="D556" s="86"/>
      <c r="E556" s="300">
        <v>15986</v>
      </c>
      <c r="F556" s="300"/>
      <c r="G556" s="300">
        <v>17497</v>
      </c>
      <c r="H556" s="300" t="s">
        <v>3497</v>
      </c>
      <c r="I556" s="86" t="s">
        <v>3541</v>
      </c>
      <c r="J556" s="86"/>
      <c r="K556" s="300"/>
      <c r="L556" s="300"/>
    </row>
    <row r="557" spans="1:12">
      <c r="A557" s="86" t="s">
        <v>3081</v>
      </c>
      <c r="B557" s="86" t="s">
        <v>3637</v>
      </c>
      <c r="C557" s="86">
        <v>2583431</v>
      </c>
      <c r="D557" s="86"/>
      <c r="E557" s="300">
        <v>13928</v>
      </c>
      <c r="F557" s="300"/>
      <c r="G557" s="300">
        <v>17553</v>
      </c>
      <c r="H557" s="300" t="s">
        <v>3497</v>
      </c>
      <c r="I557" s="86" t="s">
        <v>3398</v>
      </c>
      <c r="J557" s="86"/>
      <c r="K557" s="300"/>
      <c r="L557" s="300"/>
    </row>
    <row r="558" spans="1:12">
      <c r="A558" s="86" t="s">
        <v>3081</v>
      </c>
      <c r="B558" s="86" t="s">
        <v>3637</v>
      </c>
      <c r="C558" s="86">
        <v>2593771</v>
      </c>
      <c r="D558" s="86"/>
      <c r="E558" s="300">
        <v>15447</v>
      </c>
      <c r="F558" s="300"/>
      <c r="G558" s="300">
        <v>17644</v>
      </c>
      <c r="H558" s="300" t="s">
        <v>3497</v>
      </c>
      <c r="I558" s="86" t="s">
        <v>3500</v>
      </c>
      <c r="J558" s="86"/>
      <c r="K558" s="300"/>
      <c r="L558" s="300"/>
    </row>
    <row r="559" spans="1:12">
      <c r="A559" s="86" t="s">
        <v>3081</v>
      </c>
      <c r="B559" s="86" t="s">
        <v>3637</v>
      </c>
      <c r="C559" s="86">
        <v>2603038</v>
      </c>
      <c r="D559" s="86"/>
      <c r="E559" s="300">
        <v>15167</v>
      </c>
      <c r="F559" s="300"/>
      <c r="G559" s="300">
        <v>17728</v>
      </c>
      <c r="H559" s="300" t="s">
        <v>3497</v>
      </c>
      <c r="I559" s="86" t="s">
        <v>3069</v>
      </c>
      <c r="J559" s="86"/>
      <c r="K559" s="300"/>
      <c r="L559" s="300"/>
    </row>
    <row r="560" spans="1:12">
      <c r="A560" s="86" t="s">
        <v>3081</v>
      </c>
      <c r="B560" s="86" t="s">
        <v>3637</v>
      </c>
      <c r="C560" s="86">
        <v>2603428</v>
      </c>
      <c r="D560" s="86"/>
      <c r="E560" s="300">
        <v>15511</v>
      </c>
      <c r="F560" s="300"/>
      <c r="G560" s="300">
        <v>17728</v>
      </c>
      <c r="H560" s="300" t="s">
        <v>3497</v>
      </c>
      <c r="I560" s="86" t="s">
        <v>3399</v>
      </c>
      <c r="J560" s="86"/>
      <c r="K560" s="300"/>
      <c r="L560" s="300"/>
    </row>
    <row r="561" spans="1:12">
      <c r="A561" s="86" t="s">
        <v>3081</v>
      </c>
      <c r="B561" s="86" t="s">
        <v>3637</v>
      </c>
      <c r="C561" s="86">
        <v>2617773</v>
      </c>
      <c r="D561" s="86"/>
      <c r="E561" s="300">
        <v>16324</v>
      </c>
      <c r="F561" s="300"/>
      <c r="G561" s="300">
        <v>17847</v>
      </c>
      <c r="H561" s="300" t="s">
        <v>3497</v>
      </c>
      <c r="I561" s="86" t="s">
        <v>3400</v>
      </c>
      <c r="J561" s="86"/>
      <c r="K561" s="300"/>
      <c r="L561" s="300"/>
    </row>
    <row r="562" spans="1:12">
      <c r="A562" s="86" t="s">
        <v>3081</v>
      </c>
      <c r="B562" s="86" t="s">
        <v>3637</v>
      </c>
      <c r="C562" s="86">
        <v>2622221</v>
      </c>
      <c r="D562" s="86"/>
      <c r="E562" s="300">
        <v>15302</v>
      </c>
      <c r="F562" s="300"/>
      <c r="G562" s="300">
        <v>17882</v>
      </c>
      <c r="H562" s="300" t="s">
        <v>3497</v>
      </c>
      <c r="I562" s="86" t="s">
        <v>3330</v>
      </c>
      <c r="J562" s="86"/>
      <c r="K562" s="300"/>
      <c r="L562" s="300"/>
    </row>
    <row r="563" spans="1:12">
      <c r="A563" s="86" t="s">
        <v>3081</v>
      </c>
      <c r="B563" s="86" t="s">
        <v>3637</v>
      </c>
      <c r="C563" s="86">
        <v>2628944</v>
      </c>
      <c r="D563" s="86"/>
      <c r="E563" s="300">
        <v>17196</v>
      </c>
      <c r="F563" s="300"/>
      <c r="G563" s="300">
        <v>17945</v>
      </c>
      <c r="H563" s="300" t="s">
        <v>3497</v>
      </c>
      <c r="I563" s="86" t="s">
        <v>3245</v>
      </c>
      <c r="J563" s="86"/>
      <c r="K563" s="300"/>
      <c r="L563" s="300"/>
    </row>
    <row r="564" spans="1:12">
      <c r="A564" s="86" t="s">
        <v>3081</v>
      </c>
      <c r="B564" s="86" t="s">
        <v>3637</v>
      </c>
      <c r="C564" s="86">
        <v>2631133</v>
      </c>
      <c r="D564" s="86"/>
      <c r="E564" s="300">
        <v>17321</v>
      </c>
      <c r="F564" s="300"/>
      <c r="G564" s="300">
        <v>17966</v>
      </c>
      <c r="H564" s="300" t="s">
        <v>3497</v>
      </c>
      <c r="I564" s="86" t="s">
        <v>3401</v>
      </c>
      <c r="J564" s="86"/>
      <c r="K564" s="300"/>
      <c r="L564" s="300"/>
    </row>
    <row r="565" spans="1:12">
      <c r="A565" s="86" t="s">
        <v>3081</v>
      </c>
      <c r="B565" s="86" t="s">
        <v>3637</v>
      </c>
      <c r="C565" s="86">
        <v>2650903</v>
      </c>
      <c r="D565" s="86"/>
      <c r="E565" s="300">
        <v>15891</v>
      </c>
      <c r="F565" s="300"/>
      <c r="G565" s="300">
        <v>18141</v>
      </c>
      <c r="H565" s="300" t="s">
        <v>3497</v>
      </c>
      <c r="I565" s="86" t="s">
        <v>3402</v>
      </c>
      <c r="J565" s="86"/>
      <c r="K565" s="300"/>
      <c r="L565" s="300"/>
    </row>
    <row r="566" spans="1:12">
      <c r="A566" s="86" t="s">
        <v>3081</v>
      </c>
      <c r="B566" s="86" t="s">
        <v>3637</v>
      </c>
      <c r="C566" s="86">
        <v>2652483</v>
      </c>
      <c r="D566" s="86"/>
      <c r="E566" s="300">
        <v>16180</v>
      </c>
      <c r="F566" s="300"/>
      <c r="G566" s="300">
        <v>18155</v>
      </c>
      <c r="H566" s="300" t="s">
        <v>3497</v>
      </c>
      <c r="I566" s="86" t="s">
        <v>3549</v>
      </c>
      <c r="J566" s="86"/>
      <c r="K566" s="300"/>
      <c r="L566" s="300"/>
    </row>
    <row r="567" spans="1:12">
      <c r="A567" s="86" t="s">
        <v>3081</v>
      </c>
      <c r="B567" s="86" t="s">
        <v>3637</v>
      </c>
      <c r="C567" s="86">
        <v>2656320</v>
      </c>
      <c r="D567" s="86"/>
      <c r="E567" s="300">
        <v>16203</v>
      </c>
      <c r="F567" s="300"/>
      <c r="G567" s="300">
        <v>18190</v>
      </c>
      <c r="H567" s="300" t="s">
        <v>3497</v>
      </c>
      <c r="I567" s="86" t="s">
        <v>3538</v>
      </c>
      <c r="J567" s="86"/>
      <c r="K567" s="300"/>
      <c r="L567" s="300"/>
    </row>
    <row r="568" spans="1:12">
      <c r="A568" s="86" t="s">
        <v>3081</v>
      </c>
      <c r="B568" s="86" t="s">
        <v>3637</v>
      </c>
      <c r="C568" s="86">
        <v>2661101</v>
      </c>
      <c r="D568" s="86"/>
      <c r="E568" s="300">
        <v>17239</v>
      </c>
      <c r="F568" s="300"/>
      <c r="G568" s="300">
        <v>18232</v>
      </c>
      <c r="H568" s="300" t="s">
        <v>3497</v>
      </c>
      <c r="I568" s="86" t="s">
        <v>3263</v>
      </c>
      <c r="J568" s="86"/>
      <c r="K568" s="300"/>
      <c r="L568" s="300"/>
    </row>
    <row r="569" spans="1:12">
      <c r="A569" s="86" t="s">
        <v>3081</v>
      </c>
      <c r="B569" s="86" t="s">
        <v>3637</v>
      </c>
      <c r="C569" s="86">
        <v>2667204</v>
      </c>
      <c r="D569" s="86"/>
      <c r="E569" s="300">
        <v>17620</v>
      </c>
      <c r="F569" s="300"/>
      <c r="G569" s="300">
        <v>18278</v>
      </c>
      <c r="H569" s="300" t="s">
        <v>3497</v>
      </c>
      <c r="I569" s="86" t="s">
        <v>3264</v>
      </c>
      <c r="J569" s="86"/>
      <c r="K569" s="300"/>
      <c r="L569" s="300"/>
    </row>
    <row r="570" spans="1:12">
      <c r="A570" s="86" t="s">
        <v>3081</v>
      </c>
      <c r="B570" s="86" t="s">
        <v>3637</v>
      </c>
      <c r="C570" s="86">
        <v>2670115</v>
      </c>
      <c r="D570" s="86"/>
      <c r="E570" s="300">
        <v>17465</v>
      </c>
      <c r="F570" s="300"/>
      <c r="G570" s="300">
        <v>18316</v>
      </c>
      <c r="H570" s="300" t="s">
        <v>3497</v>
      </c>
      <c r="I570" s="86" t="s">
        <v>3265</v>
      </c>
      <c r="J570" s="86"/>
      <c r="K570" s="300"/>
      <c r="L570" s="300"/>
    </row>
    <row r="571" spans="1:12">
      <c r="A571" s="86" t="s">
        <v>3081</v>
      </c>
      <c r="B571" s="86" t="s">
        <v>3637</v>
      </c>
      <c r="C571" s="86">
        <v>2671986</v>
      </c>
      <c r="D571" s="86"/>
      <c r="E571" s="300">
        <v>17589</v>
      </c>
      <c r="F571" s="300"/>
      <c r="G571" s="300">
        <v>18337</v>
      </c>
      <c r="H571" s="300" t="s">
        <v>3497</v>
      </c>
      <c r="I571" s="86" t="s">
        <v>3483</v>
      </c>
      <c r="J571" s="86"/>
      <c r="K571" s="300"/>
      <c r="L571" s="300"/>
    </row>
    <row r="572" spans="1:12">
      <c r="A572" s="86" t="s">
        <v>3081</v>
      </c>
      <c r="B572" s="86" t="s">
        <v>3637</v>
      </c>
      <c r="C572" s="86">
        <v>2672451</v>
      </c>
      <c r="D572" s="86"/>
      <c r="E572" s="300">
        <v>17199</v>
      </c>
      <c r="F572" s="300"/>
      <c r="G572" s="300">
        <v>18337</v>
      </c>
      <c r="H572" s="300" t="s">
        <v>3497</v>
      </c>
      <c r="I572" s="86" t="s">
        <v>3383</v>
      </c>
      <c r="J572" s="86"/>
      <c r="K572" s="300"/>
      <c r="L572" s="300"/>
    </row>
    <row r="573" spans="1:12">
      <c r="A573" s="86" t="s">
        <v>3081</v>
      </c>
      <c r="B573" s="86" t="s">
        <v>3266</v>
      </c>
      <c r="C573" s="86">
        <v>2692350</v>
      </c>
      <c r="D573" s="86">
        <v>2405</v>
      </c>
      <c r="E573" s="300">
        <v>16085</v>
      </c>
      <c r="F573" s="300"/>
      <c r="G573" s="300">
        <v>18554</v>
      </c>
      <c r="H573" s="300" t="s">
        <v>3497</v>
      </c>
      <c r="I573" s="86" t="s">
        <v>3267</v>
      </c>
      <c r="J573" s="86"/>
      <c r="K573" s="300"/>
      <c r="L573" s="300"/>
    </row>
    <row r="574" spans="1:12">
      <c r="A574" s="307" t="s">
        <v>3081</v>
      </c>
      <c r="B574" s="307" t="s">
        <v>3266</v>
      </c>
      <c r="C574" s="307"/>
      <c r="D574" s="307">
        <v>9528</v>
      </c>
      <c r="E574" s="308"/>
      <c r="F574" s="308"/>
      <c r="G574" s="308"/>
      <c r="H574" s="307"/>
      <c r="I574" s="307"/>
      <c r="J574" s="307"/>
      <c r="K574" s="308"/>
      <c r="L574" s="308" t="s">
        <v>3268</v>
      </c>
    </row>
    <row r="575" spans="1:12">
      <c r="A575" s="307" t="s">
        <v>3081</v>
      </c>
      <c r="B575" s="307" t="s">
        <v>3266</v>
      </c>
      <c r="C575" s="307"/>
      <c r="D575" s="307">
        <v>27163</v>
      </c>
      <c r="E575" s="308"/>
      <c r="F575" s="308"/>
      <c r="G575" s="308"/>
      <c r="H575" s="307"/>
      <c r="I575" s="307"/>
      <c r="J575" s="307"/>
      <c r="K575" s="308"/>
      <c r="L575" s="308" t="s">
        <v>3268</v>
      </c>
    </row>
    <row r="576" spans="1:12">
      <c r="A576" s="307" t="s">
        <v>3081</v>
      </c>
      <c r="B576" s="307" t="s">
        <v>3266</v>
      </c>
      <c r="C576" s="307"/>
      <c r="D576" s="307">
        <v>102016</v>
      </c>
      <c r="E576" s="308"/>
      <c r="F576" s="308"/>
      <c r="G576" s="308"/>
      <c r="H576" s="307"/>
      <c r="I576" s="307"/>
      <c r="J576" s="307"/>
      <c r="K576" s="308"/>
      <c r="L576" s="308"/>
    </row>
    <row r="577" spans="1:12">
      <c r="A577" s="307" t="s">
        <v>3081</v>
      </c>
      <c r="B577" s="307" t="s">
        <v>3266</v>
      </c>
      <c r="C577" s="307"/>
      <c r="D577" s="307">
        <v>138352</v>
      </c>
      <c r="E577" s="308"/>
      <c r="F577" s="308"/>
      <c r="G577" s="308"/>
      <c r="H577" s="307"/>
      <c r="I577" s="307"/>
      <c r="J577" s="307"/>
      <c r="K577" s="308"/>
      <c r="L577" s="308"/>
    </row>
    <row r="578" spans="1:12">
      <c r="A578" s="307" t="s">
        <v>3081</v>
      </c>
      <c r="B578" s="307" t="s">
        <v>3266</v>
      </c>
      <c r="C578" s="307"/>
      <c r="D578" s="307">
        <v>158927</v>
      </c>
      <c r="E578" s="308"/>
      <c r="F578" s="308"/>
      <c r="G578" s="308"/>
      <c r="H578" s="307"/>
      <c r="I578" s="307"/>
      <c r="J578" s="307"/>
      <c r="K578" s="308"/>
      <c r="L578" s="308"/>
    </row>
    <row r="579" spans="1:12">
      <c r="A579" s="86" t="s">
        <v>3081</v>
      </c>
      <c r="B579" s="86" t="s">
        <v>3266</v>
      </c>
      <c r="C579" s="86">
        <v>2709644</v>
      </c>
      <c r="D579" s="86">
        <v>213016</v>
      </c>
      <c r="E579" s="300">
        <v>17224</v>
      </c>
      <c r="F579" s="300"/>
      <c r="G579" s="300">
        <v>18778</v>
      </c>
      <c r="H579" s="86" t="s">
        <v>3497</v>
      </c>
      <c r="I579" s="86" t="s">
        <v>3366</v>
      </c>
      <c r="J579" s="86"/>
      <c r="K579" s="300"/>
      <c r="L579" s="300"/>
    </row>
    <row r="580" spans="1:12">
      <c r="A580" s="86" t="s">
        <v>3081</v>
      </c>
      <c r="B580" s="86" t="s">
        <v>3266</v>
      </c>
      <c r="C580" s="86">
        <v>2764953</v>
      </c>
      <c r="D580" s="86">
        <v>215602</v>
      </c>
      <c r="E580" s="300">
        <v>17239</v>
      </c>
      <c r="F580" s="300"/>
      <c r="G580" s="300">
        <v>19268</v>
      </c>
      <c r="H580" s="86" t="s">
        <v>3497</v>
      </c>
      <c r="I580" s="86" t="s">
        <v>3464</v>
      </c>
      <c r="J580" s="86"/>
      <c r="K580" s="300"/>
      <c r="L580" s="300"/>
    </row>
    <row r="581" spans="1:12">
      <c r="A581" s="86" t="s">
        <v>3081</v>
      </c>
      <c r="B581" s="86" t="s">
        <v>3266</v>
      </c>
      <c r="C581" s="86">
        <v>2692347</v>
      </c>
      <c r="D581" s="86">
        <v>217943</v>
      </c>
      <c r="E581" s="300">
        <v>17253</v>
      </c>
      <c r="F581" s="300"/>
      <c r="G581" s="300">
        <v>18554</v>
      </c>
      <c r="H581" s="86" t="s">
        <v>3497</v>
      </c>
      <c r="I581" s="86" t="s">
        <v>3269</v>
      </c>
      <c r="J581" s="86"/>
      <c r="K581" s="300"/>
      <c r="L581" s="300"/>
    </row>
    <row r="582" spans="1:12">
      <c r="A582" s="307" t="s">
        <v>3081</v>
      </c>
      <c r="B582" s="307" t="s">
        <v>3266</v>
      </c>
      <c r="C582" s="307"/>
      <c r="D582" s="307">
        <v>218078</v>
      </c>
      <c r="E582" s="308"/>
      <c r="F582" s="308"/>
      <c r="G582" s="308"/>
      <c r="H582" s="307"/>
      <c r="I582" s="307"/>
      <c r="J582" s="307"/>
      <c r="K582" s="308"/>
      <c r="L582" s="308"/>
    </row>
    <row r="583" spans="1:12">
      <c r="A583" s="86" t="s">
        <v>3081</v>
      </c>
      <c r="B583" s="86" t="s">
        <v>3266</v>
      </c>
      <c r="C583" s="86">
        <v>2720690</v>
      </c>
      <c r="D583" s="86">
        <v>219606</v>
      </c>
      <c r="E583" s="300">
        <v>17262</v>
      </c>
      <c r="F583" s="300"/>
      <c r="G583" s="300">
        <v>18918</v>
      </c>
      <c r="H583" s="86" t="s">
        <v>3497</v>
      </c>
      <c r="I583" s="86" t="s">
        <v>3403</v>
      </c>
      <c r="J583" s="86"/>
      <c r="K583" s="300"/>
      <c r="L583" s="300"/>
    </row>
    <row r="584" spans="1:12">
      <c r="A584" s="86" t="s">
        <v>3081</v>
      </c>
      <c r="B584" s="86" t="s">
        <v>3266</v>
      </c>
      <c r="C584" s="86">
        <v>2775069</v>
      </c>
      <c r="D584" s="86">
        <v>222648</v>
      </c>
      <c r="E584" s="300">
        <v>17277</v>
      </c>
      <c r="F584" s="300"/>
      <c r="G584" s="300">
        <v>19352</v>
      </c>
      <c r="H584" s="86" t="s">
        <v>3497</v>
      </c>
      <c r="I584" s="86" t="s">
        <v>3412</v>
      </c>
      <c r="J584" s="86"/>
      <c r="K584" s="300"/>
      <c r="L584" s="300"/>
    </row>
    <row r="585" spans="1:12">
      <c r="A585" s="86" t="s">
        <v>3081</v>
      </c>
      <c r="B585" s="86" t="s">
        <v>3266</v>
      </c>
      <c r="C585" s="86">
        <v>2725497</v>
      </c>
      <c r="D585" s="86">
        <v>222817</v>
      </c>
      <c r="E585" s="300">
        <v>17281</v>
      </c>
      <c r="F585" s="300"/>
      <c r="G585" s="300">
        <v>18960</v>
      </c>
      <c r="H585" s="86" t="s">
        <v>3497</v>
      </c>
      <c r="I585" s="86" t="s">
        <v>3269</v>
      </c>
      <c r="J585" s="86"/>
      <c r="K585" s="300"/>
      <c r="L585" s="300"/>
    </row>
    <row r="586" spans="1:12">
      <c r="A586" s="307" t="s">
        <v>3081</v>
      </c>
      <c r="B586" s="307" t="s">
        <v>3266</v>
      </c>
      <c r="C586" s="307"/>
      <c r="D586" s="307">
        <v>222869</v>
      </c>
      <c r="E586" s="308"/>
      <c r="F586" s="308"/>
      <c r="G586" s="308"/>
      <c r="H586" s="307"/>
      <c r="I586" s="307"/>
      <c r="J586" s="307"/>
      <c r="K586" s="308"/>
      <c r="L586" s="308"/>
    </row>
    <row r="587" spans="1:12">
      <c r="A587" s="307" t="s">
        <v>3081</v>
      </c>
      <c r="B587" s="307" t="s">
        <v>3266</v>
      </c>
      <c r="C587" s="307"/>
      <c r="D587" s="307">
        <v>229181</v>
      </c>
      <c r="E587" s="308"/>
      <c r="F587" s="308"/>
      <c r="G587" s="308"/>
      <c r="H587" s="307"/>
      <c r="I587" s="307"/>
      <c r="J587" s="307"/>
      <c r="K587" s="308"/>
      <c r="L587" s="308"/>
    </row>
    <row r="588" spans="1:12">
      <c r="A588" s="307" t="s">
        <v>3081</v>
      </c>
      <c r="B588" s="307" t="s">
        <v>3266</v>
      </c>
      <c r="C588" s="307"/>
      <c r="D588" s="307">
        <v>229866</v>
      </c>
      <c r="E588" s="308"/>
      <c r="F588" s="308"/>
      <c r="G588" s="308"/>
      <c r="H588" s="307"/>
      <c r="I588" s="307"/>
      <c r="J588" s="307"/>
      <c r="K588" s="308"/>
      <c r="L588" s="308"/>
    </row>
    <row r="589" spans="1:12">
      <c r="A589" s="86" t="s">
        <v>3081</v>
      </c>
      <c r="B589" s="86" t="s">
        <v>3266</v>
      </c>
      <c r="C589" s="86">
        <v>2709766</v>
      </c>
      <c r="D589" s="86">
        <v>229869</v>
      </c>
      <c r="E589" s="300">
        <v>17321</v>
      </c>
      <c r="F589" s="300"/>
      <c r="G589" s="300">
        <v>18778</v>
      </c>
      <c r="H589" s="86" t="s">
        <v>3497</v>
      </c>
      <c r="I589" s="86" t="s">
        <v>3413</v>
      </c>
      <c r="J589" s="86"/>
      <c r="K589" s="300"/>
      <c r="L589" s="300"/>
    </row>
    <row r="590" spans="1:12">
      <c r="A590" s="86" t="s">
        <v>3081</v>
      </c>
      <c r="B590" s="86" t="s">
        <v>3266</v>
      </c>
      <c r="C590" s="86">
        <v>2696697</v>
      </c>
      <c r="D590" s="86">
        <v>230826</v>
      </c>
      <c r="E590" s="300">
        <v>17326</v>
      </c>
      <c r="F590" s="300"/>
      <c r="G590" s="300">
        <v>18610</v>
      </c>
      <c r="H590" s="86" t="s">
        <v>3497</v>
      </c>
      <c r="I590" s="86" t="s">
        <v>3560</v>
      </c>
      <c r="J590" s="86"/>
      <c r="K590" s="300"/>
      <c r="L590" s="300"/>
    </row>
    <row r="591" spans="1:12">
      <c r="A591" s="86" t="s">
        <v>3081</v>
      </c>
      <c r="B591" s="86" t="s">
        <v>3266</v>
      </c>
      <c r="C591" s="86">
        <v>2692348</v>
      </c>
      <c r="D591" s="86">
        <v>232361</v>
      </c>
      <c r="E591" s="300">
        <v>17336</v>
      </c>
      <c r="F591" s="300"/>
      <c r="G591" s="300">
        <v>18554</v>
      </c>
      <c r="H591" s="86" t="s">
        <v>3497</v>
      </c>
      <c r="I591" s="86" t="s">
        <v>3561</v>
      </c>
      <c r="J591" s="86"/>
      <c r="K591" s="300"/>
      <c r="L591" s="300"/>
    </row>
    <row r="592" spans="1:12">
      <c r="A592" s="307" t="s">
        <v>3081</v>
      </c>
      <c r="B592" s="307" t="s">
        <v>3266</v>
      </c>
      <c r="C592" s="307"/>
      <c r="D592" s="307">
        <v>236285</v>
      </c>
      <c r="E592" s="308"/>
      <c r="F592" s="308"/>
      <c r="G592" s="308"/>
      <c r="H592" s="307"/>
      <c r="I592" s="307"/>
      <c r="J592" s="307"/>
      <c r="K592" s="308"/>
      <c r="L592" s="308" t="s">
        <v>3268</v>
      </c>
    </row>
    <row r="593" spans="1:12">
      <c r="A593" s="307" t="s">
        <v>3081</v>
      </c>
      <c r="B593" s="307" t="s">
        <v>3266</v>
      </c>
      <c r="C593" s="307"/>
      <c r="D593" s="307">
        <v>243612</v>
      </c>
      <c r="E593" s="308"/>
      <c r="F593" s="308"/>
      <c r="G593" s="308"/>
      <c r="H593" s="307"/>
      <c r="I593" s="307"/>
      <c r="J593" s="307"/>
      <c r="K593" s="308"/>
      <c r="L593" s="308"/>
    </row>
    <row r="594" spans="1:12">
      <c r="A594" s="307" t="s">
        <v>3081</v>
      </c>
      <c r="B594" s="307" t="s">
        <v>3266</v>
      </c>
      <c r="C594" s="307"/>
      <c r="D594" s="307">
        <v>243673</v>
      </c>
      <c r="E594" s="308"/>
      <c r="F594" s="308"/>
      <c r="G594" s="308"/>
      <c r="H594" s="307"/>
      <c r="I594" s="307"/>
      <c r="J594" s="307"/>
      <c r="K594" s="308"/>
      <c r="L594" s="308"/>
    </row>
    <row r="595" spans="1:12">
      <c r="A595" s="86" t="s">
        <v>3081</v>
      </c>
      <c r="B595" s="86" t="s">
        <v>3266</v>
      </c>
      <c r="C595" s="86">
        <v>2707687</v>
      </c>
      <c r="D595" s="86">
        <v>244344</v>
      </c>
      <c r="E595" s="300">
        <v>17408</v>
      </c>
      <c r="F595" s="300"/>
      <c r="G595" s="300">
        <v>18750</v>
      </c>
      <c r="H595" s="86" t="s">
        <v>3497</v>
      </c>
      <c r="I595" s="86" t="s">
        <v>3419</v>
      </c>
      <c r="J595" s="86"/>
      <c r="K595" s="300"/>
      <c r="L595" s="300"/>
    </row>
    <row r="596" spans="1:12">
      <c r="A596" s="307" t="s">
        <v>3081</v>
      </c>
      <c r="B596" s="307" t="s">
        <v>3266</v>
      </c>
      <c r="C596" s="307"/>
      <c r="D596" s="307">
        <v>248591</v>
      </c>
      <c r="E596" s="308"/>
      <c r="F596" s="308"/>
      <c r="G596" s="308"/>
      <c r="H596" s="307"/>
      <c r="I596" s="307"/>
      <c r="J596" s="307"/>
      <c r="K596" s="308"/>
      <c r="L596" s="308"/>
    </row>
    <row r="597" spans="1:12">
      <c r="A597" s="307" t="s">
        <v>3081</v>
      </c>
      <c r="B597" s="307" t="s">
        <v>3266</v>
      </c>
      <c r="C597" s="307"/>
      <c r="D597" s="307">
        <v>251423</v>
      </c>
      <c r="E597" s="308"/>
      <c r="F597" s="308"/>
      <c r="G597" s="308"/>
      <c r="H597" s="307"/>
      <c r="I597" s="307"/>
      <c r="J597" s="307"/>
      <c r="K597" s="308"/>
      <c r="L597" s="308" t="s">
        <v>3268</v>
      </c>
    </row>
    <row r="598" spans="1:12">
      <c r="A598" s="307" t="s">
        <v>3081</v>
      </c>
      <c r="B598" s="307" t="s">
        <v>3266</v>
      </c>
      <c r="C598" s="307"/>
      <c r="D598" s="307">
        <v>251554</v>
      </c>
      <c r="E598" s="308"/>
      <c r="F598" s="308"/>
      <c r="G598" s="308"/>
      <c r="H598" s="307"/>
      <c r="I598" s="307"/>
      <c r="J598" s="307"/>
      <c r="K598" s="308"/>
      <c r="L598" s="308"/>
    </row>
    <row r="599" spans="1:12">
      <c r="A599" s="307" t="s">
        <v>3081</v>
      </c>
      <c r="B599" s="307" t="s">
        <v>3266</v>
      </c>
      <c r="C599" s="307"/>
      <c r="D599" s="307">
        <v>251644</v>
      </c>
      <c r="E599" s="308"/>
      <c r="F599" s="308"/>
      <c r="G599" s="308"/>
      <c r="H599" s="307"/>
      <c r="I599" s="307"/>
      <c r="J599" s="307"/>
      <c r="K599" s="308"/>
      <c r="L599" s="308"/>
    </row>
    <row r="600" spans="1:12">
      <c r="A600" s="307" t="s">
        <v>3081</v>
      </c>
      <c r="B600" s="307" t="s">
        <v>3266</v>
      </c>
      <c r="C600" s="307"/>
      <c r="D600" s="307">
        <v>253794</v>
      </c>
      <c r="E600" s="308"/>
      <c r="F600" s="308"/>
      <c r="G600" s="308"/>
      <c r="H600" s="307"/>
      <c r="I600" s="307"/>
      <c r="J600" s="307"/>
      <c r="K600" s="308"/>
      <c r="L600" s="308"/>
    </row>
    <row r="601" spans="1:12">
      <c r="A601" s="307" t="s">
        <v>3081</v>
      </c>
      <c r="B601" s="307" t="s">
        <v>3266</v>
      </c>
      <c r="C601" s="307"/>
      <c r="D601" s="307">
        <v>256667</v>
      </c>
      <c r="E601" s="308"/>
      <c r="F601" s="308"/>
      <c r="G601" s="308"/>
      <c r="H601" s="307"/>
      <c r="I601" s="307"/>
      <c r="J601" s="307"/>
      <c r="K601" s="308"/>
      <c r="L601" s="308"/>
    </row>
    <row r="602" spans="1:12">
      <c r="A602" s="307" t="s">
        <v>3081</v>
      </c>
      <c r="B602" s="307" t="s">
        <v>3266</v>
      </c>
      <c r="C602" s="307"/>
      <c r="D602" s="307">
        <v>258627</v>
      </c>
      <c r="E602" s="308"/>
      <c r="F602" s="308"/>
      <c r="G602" s="308"/>
      <c r="H602" s="307"/>
      <c r="I602" s="307"/>
      <c r="J602" s="307"/>
      <c r="K602" s="308"/>
      <c r="L602" s="308" t="s">
        <v>3268</v>
      </c>
    </row>
    <row r="603" spans="1:12">
      <c r="A603" s="307" t="s">
        <v>3081</v>
      </c>
      <c r="B603" s="307" t="s">
        <v>3266</v>
      </c>
      <c r="C603" s="307"/>
      <c r="D603" s="307">
        <v>260775</v>
      </c>
      <c r="E603" s="308"/>
      <c r="F603" s="308"/>
      <c r="G603" s="308"/>
      <c r="H603" s="307"/>
      <c r="I603" s="307"/>
      <c r="J603" s="307"/>
      <c r="K603" s="308"/>
      <c r="L603" s="308" t="s">
        <v>3268</v>
      </c>
    </row>
    <row r="604" spans="1:12">
      <c r="A604" s="86" t="s">
        <v>3081</v>
      </c>
      <c r="B604" s="86" t="s">
        <v>3266</v>
      </c>
      <c r="C604" s="86">
        <v>2725026</v>
      </c>
      <c r="D604" s="189">
        <v>261350</v>
      </c>
      <c r="E604" s="300">
        <v>17512</v>
      </c>
      <c r="F604" s="300"/>
      <c r="G604" s="300">
        <v>18960</v>
      </c>
      <c r="H604" s="86" t="s">
        <v>3497</v>
      </c>
      <c r="I604" s="86" t="s">
        <v>3420</v>
      </c>
      <c r="J604" s="86"/>
      <c r="K604" s="300"/>
      <c r="L604" s="300"/>
    </row>
    <row r="605" spans="1:12">
      <c r="A605" s="86" t="s">
        <v>3081</v>
      </c>
      <c r="B605" s="86" t="s">
        <v>3266</v>
      </c>
      <c r="C605" s="86">
        <v>2721317</v>
      </c>
      <c r="D605" s="189">
        <v>266432</v>
      </c>
      <c r="E605" s="300">
        <v>17545</v>
      </c>
      <c r="F605" s="300"/>
      <c r="G605" s="300">
        <v>18918</v>
      </c>
      <c r="H605" s="86" t="s">
        <v>3497</v>
      </c>
      <c r="I605" s="86" t="s">
        <v>3421</v>
      </c>
      <c r="J605" s="86"/>
      <c r="K605" s="300"/>
      <c r="L605" s="300"/>
    </row>
    <row r="606" spans="1:12">
      <c r="A606" s="86" t="s">
        <v>3081</v>
      </c>
      <c r="B606" s="86" t="s">
        <v>3266</v>
      </c>
      <c r="C606" s="86">
        <v>2687486</v>
      </c>
      <c r="D606" s="189">
        <v>268068</v>
      </c>
      <c r="E606" s="300">
        <v>17555</v>
      </c>
      <c r="F606" s="300"/>
      <c r="G606" s="300">
        <v>18498</v>
      </c>
      <c r="H606" s="86" t="s">
        <v>3497</v>
      </c>
      <c r="I606" s="86" t="s">
        <v>3422</v>
      </c>
      <c r="J606" s="86"/>
      <c r="K606" s="300"/>
      <c r="L606" s="300"/>
    </row>
    <row r="607" spans="1:12">
      <c r="A607" s="307" t="s">
        <v>3081</v>
      </c>
      <c r="B607" s="307" t="s">
        <v>3266</v>
      </c>
      <c r="C607" s="307"/>
      <c r="D607" s="307">
        <v>270451</v>
      </c>
      <c r="E607" s="308"/>
      <c r="F607" s="308"/>
      <c r="G607" s="308"/>
      <c r="H607" s="307"/>
      <c r="I607" s="307"/>
      <c r="J607" s="307"/>
      <c r="K607" s="308"/>
      <c r="L607" s="308"/>
    </row>
    <row r="608" spans="1:12">
      <c r="A608" s="307" t="s">
        <v>3081</v>
      </c>
      <c r="B608" s="307" t="s">
        <v>3266</v>
      </c>
      <c r="C608" s="307"/>
      <c r="D608" s="307">
        <v>276421</v>
      </c>
      <c r="E608" s="308"/>
      <c r="F608" s="308"/>
      <c r="G608" s="308"/>
      <c r="H608" s="307"/>
      <c r="I608" s="307"/>
      <c r="J608" s="307"/>
      <c r="K608" s="308"/>
      <c r="L608" s="308"/>
    </row>
    <row r="609" spans="1:12">
      <c r="A609" s="86" t="s">
        <v>3081</v>
      </c>
      <c r="B609" s="86" t="s">
        <v>3266</v>
      </c>
      <c r="C609" s="86">
        <v>2798514</v>
      </c>
      <c r="D609" s="189">
        <v>279135</v>
      </c>
      <c r="E609" s="300">
        <v>17619</v>
      </c>
      <c r="F609" s="300"/>
      <c r="G609" s="300">
        <v>19548</v>
      </c>
      <c r="H609" s="86" t="s">
        <v>3497</v>
      </c>
      <c r="I609" s="86" t="s">
        <v>3464</v>
      </c>
      <c r="J609" s="86"/>
      <c r="K609" s="300"/>
      <c r="L609" s="300"/>
    </row>
    <row r="610" spans="1:12">
      <c r="A610" s="307" t="s">
        <v>3081</v>
      </c>
      <c r="B610" s="307" t="s">
        <v>3266</v>
      </c>
      <c r="C610" s="307"/>
      <c r="D610" s="307">
        <v>279193</v>
      </c>
      <c r="E610" s="308"/>
      <c r="F610" s="308"/>
      <c r="G610" s="308"/>
      <c r="H610" s="307"/>
      <c r="I610" s="307"/>
      <c r="J610" s="307"/>
      <c r="K610" s="308"/>
      <c r="L610" s="308" t="s">
        <v>3268</v>
      </c>
    </row>
    <row r="611" spans="1:12">
      <c r="A611" s="307" t="s">
        <v>3081</v>
      </c>
      <c r="B611" s="307" t="s">
        <v>3266</v>
      </c>
      <c r="C611" s="307"/>
      <c r="D611" s="307">
        <v>286837</v>
      </c>
      <c r="E611" s="308"/>
      <c r="F611" s="308"/>
      <c r="G611" s="308"/>
      <c r="H611" s="307"/>
      <c r="I611" s="307"/>
      <c r="J611" s="307"/>
      <c r="K611" s="308"/>
      <c r="L611" s="308" t="s">
        <v>3268</v>
      </c>
    </row>
    <row r="612" spans="1:12">
      <c r="A612" s="307" t="s">
        <v>3081</v>
      </c>
      <c r="B612" s="307" t="s">
        <v>3266</v>
      </c>
      <c r="C612" s="307"/>
      <c r="D612" s="307">
        <v>291007</v>
      </c>
      <c r="E612" s="308"/>
      <c r="F612" s="308"/>
      <c r="G612" s="308"/>
      <c r="H612" s="307"/>
      <c r="I612" s="307"/>
      <c r="J612" s="307"/>
      <c r="K612" s="308"/>
      <c r="L612" s="308"/>
    </row>
    <row r="613" spans="1:12">
      <c r="A613" s="307" t="s">
        <v>3081</v>
      </c>
      <c r="B613" s="307" t="s">
        <v>3266</v>
      </c>
      <c r="C613" s="307"/>
      <c r="D613" s="307">
        <v>295995</v>
      </c>
      <c r="E613" s="308"/>
      <c r="F613" s="308"/>
      <c r="G613" s="308"/>
      <c r="H613" s="307"/>
      <c r="I613" s="307"/>
      <c r="J613" s="307"/>
      <c r="K613" s="308"/>
      <c r="L613" s="308"/>
    </row>
    <row r="614" spans="1:12">
      <c r="A614" s="86" t="s">
        <v>3081</v>
      </c>
      <c r="B614" s="86" t="s">
        <v>3266</v>
      </c>
      <c r="C614" s="86">
        <v>2714682</v>
      </c>
      <c r="D614" s="189">
        <v>296042</v>
      </c>
      <c r="E614" s="300">
        <v>17710</v>
      </c>
      <c r="F614" s="300"/>
      <c r="G614" s="300">
        <v>18841</v>
      </c>
      <c r="H614" s="86" t="s">
        <v>3497</v>
      </c>
      <c r="I614" s="86" t="s">
        <v>3566</v>
      </c>
      <c r="J614" s="86"/>
      <c r="K614" s="300"/>
      <c r="L614" s="300"/>
    </row>
    <row r="615" spans="1:12">
      <c r="A615" s="307" t="s">
        <v>3081</v>
      </c>
      <c r="B615" s="307" t="s">
        <v>3266</v>
      </c>
      <c r="C615" s="307"/>
      <c r="D615" s="307">
        <v>302781</v>
      </c>
      <c r="E615" s="308"/>
      <c r="F615" s="308"/>
      <c r="G615" s="308"/>
      <c r="H615" s="307"/>
      <c r="I615" s="307"/>
      <c r="J615" s="307"/>
      <c r="K615" s="308"/>
      <c r="L615" s="308"/>
    </row>
    <row r="616" spans="1:12">
      <c r="A616" s="307" t="s">
        <v>3081</v>
      </c>
      <c r="B616" s="307" t="s">
        <v>3266</v>
      </c>
      <c r="C616" s="307"/>
      <c r="D616" s="307">
        <v>305664</v>
      </c>
      <c r="E616" s="308"/>
      <c r="F616" s="308"/>
      <c r="G616" s="308"/>
      <c r="H616" s="307"/>
      <c r="I616" s="307"/>
      <c r="J616" s="307"/>
      <c r="K616" s="308"/>
      <c r="L616" s="308"/>
    </row>
    <row r="617" spans="1:12">
      <c r="A617" s="307" t="s">
        <v>3081</v>
      </c>
      <c r="B617" s="307" t="s">
        <v>3266</v>
      </c>
      <c r="C617" s="307"/>
      <c r="D617" s="307">
        <v>307390</v>
      </c>
      <c r="E617" s="308"/>
      <c r="F617" s="308"/>
      <c r="G617" s="308"/>
      <c r="H617" s="307"/>
      <c r="I617" s="307"/>
      <c r="J617" s="307"/>
      <c r="K617" s="308"/>
      <c r="L617" s="308"/>
    </row>
    <row r="618" spans="1:12">
      <c r="A618" s="307" t="s">
        <v>3081</v>
      </c>
      <c r="B618" s="307" t="s">
        <v>3266</v>
      </c>
      <c r="C618" s="307"/>
      <c r="D618" s="307">
        <v>308295</v>
      </c>
      <c r="E618" s="308"/>
      <c r="F618" s="308"/>
      <c r="G618" s="308"/>
      <c r="H618" s="307"/>
      <c r="I618" s="307"/>
      <c r="J618" s="307"/>
      <c r="K618" s="308"/>
      <c r="L618" s="308" t="s">
        <v>3268</v>
      </c>
    </row>
    <row r="619" spans="1:12">
      <c r="A619" s="86" t="s">
        <v>3081</v>
      </c>
      <c r="B619" s="86" t="s">
        <v>3266</v>
      </c>
      <c r="C619" s="86">
        <v>2820920</v>
      </c>
      <c r="D619" s="189">
        <v>310115</v>
      </c>
      <c r="E619" s="300">
        <v>17792</v>
      </c>
      <c r="F619" s="300"/>
      <c r="G619" s="300">
        <v>19744</v>
      </c>
      <c r="H619" s="86" t="s">
        <v>3574</v>
      </c>
      <c r="I619" s="86" t="s">
        <v>3575</v>
      </c>
      <c r="J619" s="86"/>
      <c r="K619" s="300"/>
      <c r="L619" s="300"/>
    </row>
    <row r="620" spans="1:12">
      <c r="A620" s="307" t="s">
        <v>3081</v>
      </c>
      <c r="B620" s="307" t="s">
        <v>3266</v>
      </c>
      <c r="C620" s="307"/>
      <c r="D620" s="307">
        <v>314339</v>
      </c>
      <c r="E620" s="308"/>
      <c r="F620" s="308"/>
      <c r="G620" s="308"/>
      <c r="H620" s="307"/>
      <c r="I620" s="307"/>
      <c r="J620" s="307"/>
      <c r="K620" s="308"/>
      <c r="L620" s="308"/>
    </row>
    <row r="621" spans="1:12">
      <c r="A621" s="86" t="s">
        <v>3081</v>
      </c>
      <c r="B621" s="86" t="s">
        <v>3266</v>
      </c>
      <c r="C621" s="86">
        <v>2723926</v>
      </c>
      <c r="D621" s="189">
        <v>317741</v>
      </c>
      <c r="E621" s="300">
        <v>17835</v>
      </c>
      <c r="F621" s="300"/>
      <c r="G621" s="300">
        <v>18946</v>
      </c>
      <c r="H621" s="86" t="s">
        <v>3497</v>
      </c>
      <c r="I621" s="86" t="s">
        <v>3576</v>
      </c>
      <c r="J621" s="86"/>
      <c r="K621" s="300"/>
      <c r="L621" s="300"/>
    </row>
    <row r="622" spans="1:12">
      <c r="A622" s="86" t="s">
        <v>3081</v>
      </c>
      <c r="B622" s="86" t="s">
        <v>3266</v>
      </c>
      <c r="C622" s="86">
        <v>2758095</v>
      </c>
      <c r="D622" s="189">
        <v>319423</v>
      </c>
      <c r="E622" s="300">
        <v>17843</v>
      </c>
      <c r="F622" s="300"/>
      <c r="G622" s="300">
        <v>19212</v>
      </c>
      <c r="H622" s="86" t="s">
        <v>3497</v>
      </c>
      <c r="I622" s="86" t="s">
        <v>3383</v>
      </c>
      <c r="J622" s="86"/>
      <c r="K622" s="300"/>
      <c r="L622" s="300"/>
    </row>
    <row r="623" spans="1:12">
      <c r="A623" s="307" t="s">
        <v>3081</v>
      </c>
      <c r="B623" s="307" t="s">
        <v>3266</v>
      </c>
      <c r="C623" s="307"/>
      <c r="D623" s="307">
        <v>322114</v>
      </c>
      <c r="E623" s="308"/>
      <c r="F623" s="308"/>
      <c r="G623" s="308"/>
      <c r="H623" s="307"/>
      <c r="I623" s="307"/>
      <c r="J623" s="307"/>
      <c r="K623" s="308"/>
      <c r="L623" s="308"/>
    </row>
    <row r="624" spans="1:12">
      <c r="A624" s="307" t="s">
        <v>3081</v>
      </c>
      <c r="B624" s="307" t="s">
        <v>3266</v>
      </c>
      <c r="C624" s="307"/>
      <c r="D624" s="307">
        <v>322995</v>
      </c>
      <c r="E624" s="308"/>
      <c r="F624" s="308"/>
      <c r="G624" s="308"/>
      <c r="H624" s="307"/>
      <c r="I624" s="307"/>
      <c r="J624" s="307"/>
      <c r="K624" s="308"/>
      <c r="L624" s="308"/>
    </row>
    <row r="625" spans="1:12">
      <c r="A625" s="307" t="s">
        <v>3081</v>
      </c>
      <c r="B625" s="307" t="s">
        <v>3266</v>
      </c>
      <c r="C625" s="307"/>
      <c r="D625" s="307">
        <v>323979</v>
      </c>
      <c r="E625" s="308"/>
      <c r="F625" s="308"/>
      <c r="G625" s="308"/>
      <c r="H625" s="307"/>
      <c r="I625" s="307"/>
      <c r="J625" s="307"/>
      <c r="K625" s="308"/>
      <c r="L625" s="308"/>
    </row>
    <row r="626" spans="1:12">
      <c r="A626" s="307" t="s">
        <v>3081</v>
      </c>
      <c r="B626" s="307" t="s">
        <v>3266</v>
      </c>
      <c r="C626" s="307"/>
      <c r="D626" s="307">
        <v>324279</v>
      </c>
      <c r="E626" s="308"/>
      <c r="F626" s="308"/>
      <c r="G626" s="308"/>
      <c r="H626" s="307"/>
      <c r="I626" s="307"/>
      <c r="J626" s="307"/>
      <c r="K626" s="308"/>
      <c r="L626" s="308" t="s">
        <v>3268</v>
      </c>
    </row>
    <row r="627" spans="1:12">
      <c r="A627" s="86" t="s">
        <v>3081</v>
      </c>
      <c r="B627" s="86" t="s">
        <v>3266</v>
      </c>
      <c r="C627" s="86">
        <v>2725031</v>
      </c>
      <c r="D627" s="189">
        <v>327019</v>
      </c>
      <c r="E627" s="300">
        <v>17885</v>
      </c>
      <c r="F627" s="300"/>
      <c r="G627" s="300">
        <v>18960</v>
      </c>
      <c r="H627" s="86" t="s">
        <v>3497</v>
      </c>
      <c r="I627" s="86" t="s">
        <v>3236</v>
      </c>
      <c r="J627" s="86"/>
      <c r="K627" s="300"/>
      <c r="L627" s="300"/>
    </row>
    <row r="628" spans="1:12">
      <c r="A628" s="86" t="s">
        <v>3081</v>
      </c>
      <c r="B628" s="86" t="s">
        <v>3266</v>
      </c>
      <c r="C628" s="86">
        <v>334681</v>
      </c>
      <c r="D628" s="189">
        <v>334681</v>
      </c>
      <c r="E628" s="300">
        <v>17930</v>
      </c>
      <c r="F628" s="300"/>
      <c r="G628" s="300">
        <v>20017</v>
      </c>
      <c r="H628" s="86" t="s">
        <v>3497</v>
      </c>
      <c r="I628" s="86" t="s">
        <v>3464</v>
      </c>
      <c r="J628" s="86"/>
      <c r="K628" s="300"/>
      <c r="L628" s="300"/>
    </row>
    <row r="629" spans="1:12">
      <c r="A629" s="307" t="s">
        <v>3081</v>
      </c>
      <c r="B629" s="307" t="s">
        <v>3266</v>
      </c>
      <c r="C629" s="307"/>
      <c r="D629" s="307">
        <v>334752</v>
      </c>
      <c r="E629" s="308"/>
      <c r="F629" s="308"/>
      <c r="G629" s="308"/>
      <c r="H629" s="307"/>
      <c r="I629" s="307"/>
      <c r="J629" s="307"/>
      <c r="K629" s="308"/>
      <c r="L629" s="308"/>
    </row>
    <row r="630" spans="1:12">
      <c r="A630" s="86" t="s">
        <v>3081</v>
      </c>
      <c r="B630" s="86" t="s">
        <v>3266</v>
      </c>
      <c r="C630" s="86">
        <v>2724070</v>
      </c>
      <c r="D630" s="189">
        <v>335908</v>
      </c>
      <c r="E630" s="300">
        <v>17937</v>
      </c>
      <c r="F630" s="300"/>
      <c r="G630" s="300">
        <v>18946</v>
      </c>
      <c r="H630" s="86" t="s">
        <v>3497</v>
      </c>
      <c r="I630" s="86" t="s">
        <v>3577</v>
      </c>
      <c r="J630" s="86"/>
      <c r="K630" s="300"/>
      <c r="L630" s="300"/>
    </row>
    <row r="631" spans="1:12">
      <c r="A631" s="86" t="s">
        <v>3081</v>
      </c>
      <c r="B631" s="86" t="s">
        <v>3266</v>
      </c>
      <c r="C631" s="86">
        <v>2764857</v>
      </c>
      <c r="D631" s="189">
        <v>339226</v>
      </c>
      <c r="E631" s="300">
        <v>17955</v>
      </c>
      <c r="F631" s="300"/>
      <c r="G631" s="300">
        <v>19268</v>
      </c>
      <c r="H631" s="86" t="s">
        <v>3497</v>
      </c>
      <c r="I631" s="86" t="s">
        <v>3578</v>
      </c>
      <c r="J631" s="86"/>
      <c r="K631" s="300"/>
      <c r="L631" s="300"/>
    </row>
    <row r="632" spans="1:12">
      <c r="A632" s="86" t="s">
        <v>3081</v>
      </c>
      <c r="B632" s="86" t="s">
        <v>3266</v>
      </c>
      <c r="C632" s="86">
        <v>2838678</v>
      </c>
      <c r="D632" s="189">
        <v>345281</v>
      </c>
      <c r="E632" s="300">
        <v>17986</v>
      </c>
      <c r="F632" s="300"/>
      <c r="G632" s="300">
        <v>19884</v>
      </c>
      <c r="H632" s="86" t="s">
        <v>3497</v>
      </c>
      <c r="I632" s="86" t="s">
        <v>3330</v>
      </c>
      <c r="J632" s="86"/>
      <c r="K632" s="300"/>
      <c r="L632" s="300"/>
    </row>
    <row r="633" spans="1:12">
      <c r="A633" s="86" t="s">
        <v>3081</v>
      </c>
      <c r="B633" s="86" t="s">
        <v>3266</v>
      </c>
      <c r="C633" s="86">
        <v>2752313</v>
      </c>
      <c r="D633" s="189">
        <v>345884</v>
      </c>
      <c r="E633" s="300">
        <v>17987</v>
      </c>
      <c r="F633" s="300"/>
      <c r="G633" s="300">
        <v>19170</v>
      </c>
      <c r="H633" s="86" t="s">
        <v>3497</v>
      </c>
      <c r="I633" s="86" t="s">
        <v>3401</v>
      </c>
      <c r="J633" s="86"/>
      <c r="K633" s="300"/>
      <c r="L633" s="300"/>
    </row>
    <row r="634" spans="1:12">
      <c r="A634" s="307" t="s">
        <v>3081</v>
      </c>
      <c r="B634" s="307" t="s">
        <v>3266</v>
      </c>
      <c r="C634" s="307"/>
      <c r="D634" s="307">
        <v>357486</v>
      </c>
      <c r="E634" s="308"/>
      <c r="F634" s="308"/>
      <c r="G634" s="308"/>
      <c r="H634" s="307"/>
      <c r="I634" s="307"/>
      <c r="J634" s="307"/>
      <c r="K634" s="308"/>
      <c r="L634" s="308"/>
    </row>
    <row r="635" spans="1:12">
      <c r="A635" s="307" t="s">
        <v>3081</v>
      </c>
      <c r="B635" s="307" t="s">
        <v>3266</v>
      </c>
      <c r="C635" s="307"/>
      <c r="D635" s="307">
        <v>357522</v>
      </c>
      <c r="E635" s="308"/>
      <c r="F635" s="308"/>
      <c r="G635" s="308"/>
      <c r="H635" s="307"/>
      <c r="I635" s="307"/>
      <c r="J635" s="307"/>
      <c r="K635" s="308"/>
      <c r="L635" s="308"/>
    </row>
    <row r="636" spans="1:12">
      <c r="A636" s="86" t="s">
        <v>3081</v>
      </c>
      <c r="B636" s="86" t="s">
        <v>3266</v>
      </c>
      <c r="C636" s="86">
        <v>2840751</v>
      </c>
      <c r="D636" s="189">
        <v>358044</v>
      </c>
      <c r="E636" s="300">
        <v>18045</v>
      </c>
      <c r="F636" s="300"/>
      <c r="G636" s="300">
        <v>19898</v>
      </c>
      <c r="H636" s="86" t="s">
        <v>3497</v>
      </c>
      <c r="I636" s="86" t="s">
        <v>3566</v>
      </c>
      <c r="J636" s="86"/>
      <c r="K636" s="300"/>
      <c r="L636" s="300"/>
    </row>
    <row r="637" spans="1:12">
      <c r="A637" s="307" t="s">
        <v>3081</v>
      </c>
      <c r="B637" s="307" t="s">
        <v>3266</v>
      </c>
      <c r="C637" s="307"/>
      <c r="D637" s="307">
        <v>358412</v>
      </c>
      <c r="E637" s="308"/>
      <c r="F637" s="308"/>
      <c r="G637" s="308"/>
      <c r="H637" s="307"/>
      <c r="I637" s="307"/>
      <c r="J637" s="307"/>
      <c r="K637" s="308"/>
      <c r="L637" s="308"/>
    </row>
    <row r="638" spans="1:12">
      <c r="A638" s="86" t="s">
        <v>3081</v>
      </c>
      <c r="B638" s="86" t="s">
        <v>3266</v>
      </c>
      <c r="C638" s="86">
        <v>2882523</v>
      </c>
      <c r="D638" s="189">
        <v>358752</v>
      </c>
      <c r="E638" s="300">
        <v>18049</v>
      </c>
      <c r="F638" s="300"/>
      <c r="G638" s="300">
        <v>20192</v>
      </c>
      <c r="H638" s="86" t="s">
        <v>3497</v>
      </c>
      <c r="I638" s="86" t="s">
        <v>3579</v>
      </c>
      <c r="J638" s="86"/>
      <c r="K638" s="300"/>
      <c r="L638" s="300"/>
    </row>
    <row r="639" spans="1:12">
      <c r="A639" s="86" t="s">
        <v>3081</v>
      </c>
      <c r="B639" s="86" t="s">
        <v>3266</v>
      </c>
      <c r="C639" s="86">
        <v>2769112</v>
      </c>
      <c r="D639" s="189">
        <v>360980</v>
      </c>
      <c r="E639" s="300">
        <v>18059</v>
      </c>
      <c r="F639" s="300"/>
      <c r="G639" s="300">
        <v>19296</v>
      </c>
      <c r="H639" s="86" t="s">
        <v>3497</v>
      </c>
      <c r="I639" s="86" t="s">
        <v>3577</v>
      </c>
      <c r="J639" s="86"/>
      <c r="K639" s="300"/>
      <c r="L639" s="300"/>
    </row>
    <row r="640" spans="1:12">
      <c r="A640" s="307" t="s">
        <v>3081</v>
      </c>
      <c r="B640" s="307" t="s">
        <v>3266</v>
      </c>
      <c r="C640" s="307"/>
      <c r="D640" s="307">
        <v>362377</v>
      </c>
      <c r="E640" s="308"/>
      <c r="F640" s="308"/>
      <c r="G640" s="308"/>
      <c r="H640" s="307"/>
      <c r="I640" s="307"/>
      <c r="J640" s="307"/>
      <c r="K640" s="308"/>
      <c r="L640" s="308"/>
    </row>
    <row r="641" spans="1:12">
      <c r="A641" s="86" t="s">
        <v>3081</v>
      </c>
      <c r="B641" s="86" t="s">
        <v>3266</v>
      </c>
      <c r="C641" s="86">
        <v>2744072</v>
      </c>
      <c r="D641" s="189">
        <v>363935</v>
      </c>
      <c r="E641" s="300">
        <v>18072</v>
      </c>
      <c r="F641" s="300"/>
      <c r="G641" s="300">
        <v>19114</v>
      </c>
      <c r="H641" s="86" t="s">
        <v>3497</v>
      </c>
      <c r="I641" s="86" t="s">
        <v>3718</v>
      </c>
      <c r="J641" s="86"/>
      <c r="K641" s="300"/>
      <c r="L641" s="300"/>
    </row>
    <row r="642" spans="1:12">
      <c r="A642" s="86" t="s">
        <v>3081</v>
      </c>
      <c r="B642" s="86" t="s">
        <v>3266</v>
      </c>
      <c r="C642" s="86">
        <v>383205</v>
      </c>
      <c r="D642" s="189">
        <v>383205</v>
      </c>
      <c r="E642" s="300">
        <v>18170</v>
      </c>
      <c r="F642" s="300"/>
      <c r="G642" s="300">
        <v>19324</v>
      </c>
      <c r="H642" s="86" t="s">
        <v>3497</v>
      </c>
      <c r="I642" s="86" t="s">
        <v>3719</v>
      </c>
      <c r="J642" s="86"/>
      <c r="K642" s="300"/>
      <c r="L642" s="300"/>
    </row>
    <row r="643" spans="1:12">
      <c r="A643" s="86" t="s">
        <v>3081</v>
      </c>
      <c r="B643" s="86" t="s">
        <v>3266</v>
      </c>
      <c r="C643" s="86">
        <v>2757300</v>
      </c>
      <c r="D643" s="189">
        <v>383449</v>
      </c>
      <c r="E643" s="300">
        <v>18171</v>
      </c>
      <c r="F643" s="300"/>
      <c r="G643" s="300">
        <v>19205</v>
      </c>
      <c r="H643" s="86" t="s">
        <v>3497</v>
      </c>
      <c r="I643" s="86" t="s">
        <v>3500</v>
      </c>
      <c r="J643" s="86"/>
      <c r="K643" s="300"/>
      <c r="L643" s="300"/>
    </row>
    <row r="644" spans="1:12">
      <c r="A644" s="86" t="s">
        <v>3081</v>
      </c>
      <c r="B644" s="86" t="s">
        <v>3266</v>
      </c>
      <c r="C644" s="86">
        <v>2791723</v>
      </c>
      <c r="D644" s="189">
        <v>383450</v>
      </c>
      <c r="E644" s="300">
        <v>18171</v>
      </c>
      <c r="F644" s="300"/>
      <c r="G644" s="300">
        <v>19485</v>
      </c>
      <c r="H644" s="86" t="s">
        <v>3497</v>
      </c>
      <c r="I644" s="86" t="s">
        <v>3538</v>
      </c>
      <c r="J644" s="86"/>
      <c r="K644" s="300"/>
      <c r="L644" s="300"/>
    </row>
    <row r="645" spans="1:12">
      <c r="A645" s="86" t="s">
        <v>3081</v>
      </c>
      <c r="B645" s="86" t="s">
        <v>3266</v>
      </c>
      <c r="C645" s="86">
        <v>2780746</v>
      </c>
      <c r="D645" s="189">
        <v>383662</v>
      </c>
      <c r="E645" s="300">
        <v>18171</v>
      </c>
      <c r="F645" s="300"/>
      <c r="G645" s="300">
        <v>19394</v>
      </c>
      <c r="H645" s="86" t="s">
        <v>3497</v>
      </c>
      <c r="I645" s="86" t="s">
        <v>3267</v>
      </c>
      <c r="J645" s="86"/>
      <c r="K645" s="300"/>
      <c r="L645" s="300"/>
    </row>
    <row r="646" spans="1:12">
      <c r="A646" s="86" t="s">
        <v>3081</v>
      </c>
      <c r="B646" s="86" t="s">
        <v>3266</v>
      </c>
      <c r="C646" s="86">
        <v>2802191</v>
      </c>
      <c r="D646" s="189">
        <v>389011</v>
      </c>
      <c r="E646" s="300">
        <v>18199</v>
      </c>
      <c r="F646" s="300"/>
      <c r="G646" s="300">
        <v>19576</v>
      </c>
      <c r="H646" s="86" t="s">
        <v>3497</v>
      </c>
      <c r="I646" s="86" t="s">
        <v>3720</v>
      </c>
      <c r="J646" s="86"/>
      <c r="K646" s="300"/>
      <c r="L646" s="300"/>
    </row>
    <row r="647" spans="1:12">
      <c r="A647" s="307" t="s">
        <v>3081</v>
      </c>
      <c r="B647" s="307" t="s">
        <v>3266</v>
      </c>
      <c r="C647" s="307"/>
      <c r="D647" s="307">
        <v>389062</v>
      </c>
      <c r="E647" s="308"/>
      <c r="F647" s="308"/>
      <c r="G647" s="308"/>
      <c r="H647" s="307"/>
      <c r="I647" s="307"/>
      <c r="J647" s="307"/>
      <c r="K647" s="308"/>
      <c r="L647" s="308"/>
    </row>
    <row r="648" spans="1:12">
      <c r="A648" s="86" t="s">
        <v>3081</v>
      </c>
      <c r="B648" s="86" t="s">
        <v>3266</v>
      </c>
      <c r="C648" s="86">
        <v>2877845</v>
      </c>
      <c r="D648" s="189">
        <v>390601</v>
      </c>
      <c r="E648" s="300">
        <v>18207</v>
      </c>
      <c r="F648" s="300"/>
      <c r="G648" s="300">
        <v>20164</v>
      </c>
      <c r="H648" s="86" t="s">
        <v>3497</v>
      </c>
      <c r="I648" s="86" t="s">
        <v>3721</v>
      </c>
      <c r="J648" s="86"/>
      <c r="K648" s="300"/>
      <c r="L648" s="300"/>
    </row>
    <row r="649" spans="1:12">
      <c r="A649" s="307" t="s">
        <v>3081</v>
      </c>
      <c r="B649" s="307" t="s">
        <v>3266</v>
      </c>
      <c r="C649" s="307"/>
      <c r="D649" s="307">
        <v>391198</v>
      </c>
      <c r="E649" s="308"/>
      <c r="F649" s="308"/>
      <c r="G649" s="308"/>
      <c r="H649" s="307"/>
      <c r="I649" s="307"/>
      <c r="J649" s="307"/>
      <c r="K649" s="308"/>
      <c r="L649" s="308"/>
    </row>
    <row r="650" spans="1:12">
      <c r="A650" s="86" t="s">
        <v>3081</v>
      </c>
      <c r="B650" s="86" t="s">
        <v>3266</v>
      </c>
      <c r="C650" s="86">
        <v>2823633</v>
      </c>
      <c r="D650" s="189">
        <v>395996</v>
      </c>
      <c r="E650" s="300">
        <v>18234</v>
      </c>
      <c r="F650" s="300"/>
      <c r="G650" s="300">
        <v>20075</v>
      </c>
      <c r="H650" s="86" t="s">
        <v>3497</v>
      </c>
      <c r="I650" s="86" t="s">
        <v>3722</v>
      </c>
      <c r="J650" s="86"/>
      <c r="K650" s="300"/>
      <c r="L650" s="300"/>
    </row>
    <row r="651" spans="1:12">
      <c r="A651" s="307" t="s">
        <v>3081</v>
      </c>
      <c r="B651" s="307" t="s">
        <v>3266</v>
      </c>
      <c r="C651" s="307"/>
      <c r="D651" s="307">
        <v>399082</v>
      </c>
      <c r="E651" s="308"/>
      <c r="F651" s="308"/>
      <c r="G651" s="308"/>
      <c r="H651" s="307"/>
      <c r="I651" s="307"/>
      <c r="J651" s="307"/>
      <c r="K651" s="308"/>
      <c r="L651" s="308"/>
    </row>
    <row r="652" spans="1:12">
      <c r="A652" s="307" t="s">
        <v>3081</v>
      </c>
      <c r="B652" s="307" t="s">
        <v>3266</v>
      </c>
      <c r="C652" s="307"/>
      <c r="D652" s="307">
        <v>399657</v>
      </c>
      <c r="E652" s="308"/>
      <c r="F652" s="308"/>
      <c r="G652" s="308"/>
      <c r="H652" s="307"/>
      <c r="I652" s="307"/>
      <c r="J652" s="307"/>
      <c r="K652" s="308"/>
      <c r="L652" s="308"/>
    </row>
    <row r="653" spans="1:12">
      <c r="A653" s="86" t="s">
        <v>3081</v>
      </c>
      <c r="B653" s="86" t="s">
        <v>3266</v>
      </c>
      <c r="C653" s="86">
        <v>3005674</v>
      </c>
      <c r="D653" s="189">
        <v>399774</v>
      </c>
      <c r="E653" s="300">
        <v>18253</v>
      </c>
      <c r="F653" s="300"/>
      <c r="G653" s="300">
        <v>21116</v>
      </c>
      <c r="H653" s="86" t="s">
        <v>3497</v>
      </c>
      <c r="I653" s="86" t="s">
        <v>3723</v>
      </c>
      <c r="J653" s="86"/>
      <c r="K653" s="300"/>
      <c r="L653" s="303" t="s">
        <v>3581</v>
      </c>
    </row>
    <row r="654" spans="1:12">
      <c r="A654" s="307" t="s">
        <v>3081</v>
      </c>
      <c r="B654" s="307" t="s">
        <v>3266</v>
      </c>
      <c r="C654" s="307"/>
      <c r="D654" s="307">
        <v>402637</v>
      </c>
      <c r="E654" s="308"/>
      <c r="F654" s="308"/>
      <c r="G654" s="308"/>
      <c r="H654" s="307"/>
      <c r="I654" s="307"/>
      <c r="J654" s="307"/>
      <c r="K654" s="308"/>
      <c r="L654" s="308"/>
    </row>
    <row r="655" spans="1:12">
      <c r="A655" s="307" t="s">
        <v>3081</v>
      </c>
      <c r="B655" s="307" t="s">
        <v>3266</v>
      </c>
      <c r="C655" s="307"/>
      <c r="D655" s="307">
        <v>402728</v>
      </c>
      <c r="E655" s="308"/>
      <c r="F655" s="308"/>
      <c r="G655" s="308"/>
      <c r="H655" s="307"/>
      <c r="I655" s="307"/>
      <c r="J655" s="307"/>
      <c r="K655" s="308"/>
      <c r="L655" s="308"/>
    </row>
    <row r="656" spans="1:12">
      <c r="A656" s="307" t="s">
        <v>3081</v>
      </c>
      <c r="B656" s="307" t="s">
        <v>3266</v>
      </c>
      <c r="C656" s="307"/>
      <c r="D656" s="307">
        <v>403144</v>
      </c>
      <c r="E656" s="308"/>
      <c r="F656" s="308"/>
      <c r="G656" s="308"/>
      <c r="H656" s="307"/>
      <c r="I656" s="307"/>
      <c r="J656" s="307"/>
      <c r="K656" s="308"/>
      <c r="L656" s="308"/>
    </row>
    <row r="657" spans="1:12">
      <c r="A657" s="86" t="s">
        <v>3081</v>
      </c>
      <c r="B657" s="86" t="s">
        <v>3266</v>
      </c>
      <c r="C657" s="86">
        <v>2877804</v>
      </c>
      <c r="D657" s="189">
        <v>405116</v>
      </c>
      <c r="E657" s="300">
        <v>18282</v>
      </c>
      <c r="F657" s="300"/>
      <c r="G657" s="300">
        <v>20164</v>
      </c>
      <c r="H657" s="86" t="s">
        <v>3497</v>
      </c>
      <c r="I657" s="86" t="s">
        <v>3427</v>
      </c>
      <c r="J657" s="86"/>
      <c r="K657" s="300"/>
      <c r="L657" s="300"/>
    </row>
    <row r="658" spans="1:12">
      <c r="A658" s="86" t="s">
        <v>3081</v>
      </c>
      <c r="B658" s="86" t="s">
        <v>3266</v>
      </c>
      <c r="C658" s="86">
        <v>2877731</v>
      </c>
      <c r="D658" s="189">
        <v>407357</v>
      </c>
      <c r="E658" s="300">
        <v>18294</v>
      </c>
      <c r="F658" s="300"/>
      <c r="G658" s="300">
        <v>20164</v>
      </c>
      <c r="H658" s="86" t="s">
        <v>3497</v>
      </c>
      <c r="I658" s="86" t="s">
        <v>3300</v>
      </c>
      <c r="J658" s="86"/>
      <c r="K658" s="300"/>
      <c r="L658" s="300"/>
    </row>
    <row r="659" spans="1:12">
      <c r="A659" s="307" t="s">
        <v>3081</v>
      </c>
      <c r="B659" s="307" t="s">
        <v>3266</v>
      </c>
      <c r="C659" s="307"/>
      <c r="D659" s="307">
        <v>407499</v>
      </c>
      <c r="E659" s="308"/>
      <c r="F659" s="308"/>
      <c r="G659" s="308"/>
      <c r="H659" s="307"/>
      <c r="I659" s="307"/>
      <c r="J659" s="307"/>
      <c r="K659" s="308"/>
      <c r="L659" s="308"/>
    </row>
    <row r="660" spans="1:12">
      <c r="A660" s="86" t="s">
        <v>3081</v>
      </c>
      <c r="B660" s="86" t="s">
        <v>3266</v>
      </c>
      <c r="C660" s="86">
        <v>2806970</v>
      </c>
      <c r="D660" s="189">
        <v>413082</v>
      </c>
      <c r="E660" s="300">
        <v>18322</v>
      </c>
      <c r="F660" s="300"/>
      <c r="G660" s="300">
        <v>19618</v>
      </c>
      <c r="H660" s="86" t="s">
        <v>3497</v>
      </c>
      <c r="I660" s="86" t="s">
        <v>3566</v>
      </c>
      <c r="J660" s="86"/>
      <c r="K660" s="300"/>
      <c r="L660" s="300"/>
    </row>
    <row r="661" spans="1:12">
      <c r="A661" s="86" t="s">
        <v>3081</v>
      </c>
      <c r="B661" s="86" t="s">
        <v>3266</v>
      </c>
      <c r="C661" s="86">
        <v>2999070</v>
      </c>
      <c r="D661" s="189">
        <v>413111</v>
      </c>
      <c r="E661" s="300">
        <v>18322</v>
      </c>
      <c r="F661" s="300"/>
      <c r="G661" s="300">
        <v>21067</v>
      </c>
      <c r="H661" s="86" t="s">
        <v>3497</v>
      </c>
      <c r="I661" s="86" t="s">
        <v>3541</v>
      </c>
      <c r="J661" s="86"/>
      <c r="K661" s="300"/>
      <c r="L661" s="300"/>
    </row>
    <row r="663" spans="1:12">
      <c r="A663" s="47" t="s">
        <v>1977</v>
      </c>
      <c r="B663" s="83"/>
      <c r="C663" s="83"/>
      <c r="D663" s="83"/>
      <c r="E663" s="83"/>
      <c r="F663" s="83"/>
      <c r="G663" s="83"/>
    </row>
    <row r="664" spans="1:12">
      <c r="A664" s="83" t="s">
        <v>2527</v>
      </c>
      <c r="B664" s="83"/>
      <c r="C664" s="83"/>
      <c r="D664" s="83"/>
      <c r="E664" s="83"/>
      <c r="F664" s="83"/>
      <c r="G664" s="83"/>
    </row>
    <row r="665" spans="1:12">
      <c r="A665" s="83"/>
      <c r="B665" s="83"/>
      <c r="C665" s="83"/>
      <c r="D665" s="83"/>
      <c r="E665" s="83"/>
      <c r="F665" s="83"/>
      <c r="G665" s="83"/>
    </row>
    <row r="666" spans="1:12">
      <c r="A666" s="123" t="s">
        <v>2549</v>
      </c>
      <c r="B666" s="83"/>
      <c r="C666" s="83"/>
      <c r="D666" s="83"/>
      <c r="E666" s="83"/>
      <c r="F666" s="83"/>
      <c r="G666" s="83"/>
    </row>
    <row r="667" spans="1:12">
      <c r="A667" s="123" t="s">
        <v>2513</v>
      </c>
      <c r="B667" s="83"/>
      <c r="C667" s="83"/>
      <c r="D667" s="83"/>
      <c r="E667" s="83"/>
      <c r="F667" s="83"/>
      <c r="G667" s="83"/>
    </row>
    <row r="668" spans="1:12">
      <c r="A668" s="123" t="s">
        <v>2550</v>
      </c>
      <c r="B668" s="83"/>
      <c r="C668" s="83"/>
      <c r="D668" s="83"/>
      <c r="E668" s="83"/>
      <c r="F668" s="83"/>
      <c r="G668" s="83"/>
    </row>
    <row r="669" spans="1:12">
      <c r="A669" s="123" t="s">
        <v>2557</v>
      </c>
      <c r="B669" s="83"/>
      <c r="C669" s="83"/>
      <c r="D669" s="83"/>
      <c r="E669" s="83"/>
      <c r="F669" s="83"/>
      <c r="G669" s="83"/>
    </row>
    <row r="670" spans="1:12">
      <c r="A670" s="123" t="s">
        <v>1368</v>
      </c>
      <c r="B670" s="83"/>
      <c r="C670" s="83"/>
      <c r="D670" s="83"/>
      <c r="E670" s="83"/>
      <c r="F670" s="83"/>
      <c r="G670" s="83"/>
    </row>
    <row r="671" spans="1:12">
      <c r="A671" s="123" t="s">
        <v>1369</v>
      </c>
      <c r="B671" s="83"/>
      <c r="C671" s="83"/>
      <c r="D671" s="83"/>
      <c r="E671" s="83"/>
      <c r="F671" s="83"/>
      <c r="G671" s="83"/>
    </row>
    <row r="672" spans="1:12">
      <c r="A672" s="123" t="s">
        <v>2602</v>
      </c>
      <c r="B672" s="83"/>
      <c r="C672" s="83"/>
      <c r="D672" s="83"/>
      <c r="E672" s="83"/>
      <c r="F672" s="83"/>
      <c r="G672" s="83"/>
    </row>
    <row r="673" spans="1:7">
      <c r="A673" s="123" t="s">
        <v>2601</v>
      </c>
      <c r="B673" s="83"/>
      <c r="C673" s="83"/>
      <c r="D673" s="83"/>
      <c r="E673" s="83"/>
      <c r="F673" s="83"/>
      <c r="G673" s="83"/>
    </row>
    <row r="674" spans="1:7">
      <c r="A674" s="123" t="s">
        <v>1375</v>
      </c>
      <c r="B674" s="83"/>
      <c r="C674" s="83"/>
      <c r="D674" s="83"/>
      <c r="E674" s="83"/>
      <c r="F674" s="83"/>
      <c r="G674" s="83"/>
    </row>
    <row r="675" spans="1:7">
      <c r="A675" s="123" t="s">
        <v>1376</v>
      </c>
      <c r="B675" s="83"/>
      <c r="C675" s="83"/>
      <c r="D675" s="83"/>
      <c r="E675" s="83"/>
      <c r="F675" s="83"/>
      <c r="G675" s="83"/>
    </row>
    <row r="676" spans="1:7">
      <c r="A676" s="123" t="s">
        <v>2573</v>
      </c>
      <c r="B676" s="83"/>
      <c r="C676" s="83"/>
      <c r="D676" s="83"/>
      <c r="E676" s="83"/>
      <c r="F676" s="83"/>
      <c r="G676" s="83"/>
    </row>
    <row r="677" spans="1:7">
      <c r="A677" s="123"/>
      <c r="B677" s="83"/>
      <c r="C677" s="83"/>
      <c r="D677" s="83"/>
      <c r="E677" s="83"/>
      <c r="F677" s="83"/>
      <c r="G677" s="83"/>
    </row>
    <row r="678" spans="1:7">
      <c r="A678" s="123" t="s">
        <v>2605</v>
      </c>
      <c r="B678" s="83"/>
      <c r="C678" s="83"/>
      <c r="D678" s="83"/>
      <c r="E678" s="83"/>
      <c r="F678" s="83"/>
      <c r="G678" s="83"/>
    </row>
    <row r="679" spans="1:7">
      <c r="A679" s="123"/>
      <c r="B679" s="83"/>
      <c r="C679" s="83"/>
      <c r="D679" s="83"/>
      <c r="E679" s="83"/>
      <c r="F679" s="83"/>
      <c r="G679" s="83"/>
    </row>
    <row r="680" spans="1:7">
      <c r="A680" s="47" t="s">
        <v>1407</v>
      </c>
      <c r="B680" s="83"/>
      <c r="C680" s="83"/>
      <c r="D680" s="83"/>
      <c r="E680" s="83"/>
      <c r="F680" s="83"/>
      <c r="G680" s="83"/>
    </row>
    <row r="681" spans="1:7">
      <c r="A681" s="123" t="s">
        <v>2529</v>
      </c>
      <c r="B681" s="83"/>
      <c r="C681" s="83"/>
      <c r="D681" s="83"/>
      <c r="E681" s="83"/>
      <c r="F681" s="83"/>
      <c r="G681" s="83"/>
    </row>
    <row r="682" spans="1:7">
      <c r="A682" s="123" t="s">
        <v>2600</v>
      </c>
      <c r="B682" s="83"/>
      <c r="C682" s="83"/>
      <c r="D682" s="83"/>
      <c r="E682" s="83"/>
      <c r="F682" s="83"/>
      <c r="G682" s="83"/>
    </row>
    <row r="683" spans="1:7">
      <c r="A683" s="123" t="s">
        <v>2631</v>
      </c>
      <c r="B683" s="83"/>
      <c r="C683" s="83"/>
      <c r="D683" s="83"/>
      <c r="E683" s="83"/>
      <c r="F683" s="83"/>
      <c r="G683" s="83"/>
    </row>
    <row r="684" spans="1:7">
      <c r="A684" s="123" t="s">
        <v>2616</v>
      </c>
      <c r="B684" s="83"/>
      <c r="C684" s="83"/>
      <c r="D684" s="83"/>
      <c r="E684" s="83"/>
      <c r="F684" s="83"/>
      <c r="G684" s="83"/>
    </row>
    <row r="685" spans="1:7">
      <c r="A685" s="123" t="s">
        <v>2542</v>
      </c>
      <c r="B685" s="83"/>
      <c r="C685" s="83"/>
      <c r="D685" s="83"/>
      <c r="E685" s="83"/>
      <c r="F685" s="83"/>
      <c r="G685" s="83"/>
    </row>
    <row r="686" spans="1:7">
      <c r="A686" s="123"/>
      <c r="B686" s="83"/>
      <c r="C686" s="83"/>
      <c r="D686" s="83"/>
      <c r="E686" s="83"/>
      <c r="F686" s="83"/>
      <c r="G686" s="83"/>
    </row>
    <row r="687" spans="1:7">
      <c r="A687" s="47" t="s">
        <v>1411</v>
      </c>
      <c r="B687" s="83"/>
      <c r="C687" s="83"/>
      <c r="D687" s="83"/>
      <c r="E687" s="83"/>
      <c r="F687" s="83"/>
      <c r="G687" s="83"/>
    </row>
    <row r="688" spans="1:7">
      <c r="A688" s="123" t="s">
        <v>2632</v>
      </c>
      <c r="B688" s="83">
        <v>1927</v>
      </c>
      <c r="C688" s="83"/>
      <c r="D688" s="83"/>
      <c r="E688" s="83"/>
      <c r="F688" s="83"/>
      <c r="G688" s="83"/>
    </row>
    <row r="689" spans="1:7">
      <c r="A689" s="123" t="s">
        <v>2633</v>
      </c>
      <c r="B689" s="83">
        <v>1927</v>
      </c>
      <c r="C689" s="83"/>
      <c r="D689" s="83"/>
      <c r="E689" s="83"/>
      <c r="F689" s="83"/>
      <c r="G689" s="83"/>
    </row>
    <row r="690" spans="1:7">
      <c r="A690" s="123" t="s">
        <v>2634</v>
      </c>
      <c r="B690" s="83">
        <v>1927</v>
      </c>
      <c r="C690" s="83"/>
      <c r="D690" s="83"/>
      <c r="E690" s="83"/>
      <c r="F690" s="83"/>
      <c r="G690" s="83"/>
    </row>
    <row r="691" spans="1:7">
      <c r="A691" s="123" t="s">
        <v>2604</v>
      </c>
      <c r="B691" s="83">
        <v>1936</v>
      </c>
      <c r="C691" s="83"/>
      <c r="D691" s="83"/>
      <c r="E691" s="83"/>
      <c r="F691" s="83"/>
      <c r="G691" s="83"/>
    </row>
    <row r="692" spans="1:7">
      <c r="A692" s="83"/>
      <c r="B692" s="83"/>
      <c r="C692" s="83"/>
      <c r="D692" s="83"/>
      <c r="E692" s="83"/>
      <c r="F692" s="83"/>
      <c r="G692" s="83"/>
    </row>
    <row r="693" spans="1:7">
      <c r="A693" s="47" t="s">
        <v>2679</v>
      </c>
      <c r="B693" s="83"/>
      <c r="C693" s="83"/>
      <c r="D693" s="83"/>
      <c r="E693" s="83"/>
      <c r="F693" s="83"/>
      <c r="G693" s="83"/>
    </row>
    <row r="694" spans="1:7">
      <c r="A694" s="123" t="s">
        <v>2559</v>
      </c>
      <c r="B694" s="72">
        <v>1933</v>
      </c>
      <c r="C694"/>
      <c r="D694" s="83"/>
      <c r="E694" s="83"/>
      <c r="F694" s="83"/>
      <c r="G694" s="83"/>
    </row>
    <row r="695" spans="1:7">
      <c r="A695" s="123" t="s">
        <v>2561</v>
      </c>
      <c r="B695" s="72">
        <v>1933</v>
      </c>
      <c r="C695"/>
      <c r="D695" s="83"/>
      <c r="E695" s="83"/>
      <c r="F695" s="83"/>
      <c r="G695" s="83"/>
    </row>
    <row r="696" spans="1:7">
      <c r="A696" s="123" t="s">
        <v>2606</v>
      </c>
      <c r="B696" s="72">
        <v>1933</v>
      </c>
      <c r="C696"/>
      <c r="D696" s="83"/>
      <c r="E696" s="83"/>
      <c r="F696" s="83"/>
      <c r="G696" s="83"/>
    </row>
    <row r="697" spans="1:7">
      <c r="A697" s="86" t="s">
        <v>2562</v>
      </c>
      <c r="B697" s="72">
        <v>1933</v>
      </c>
      <c r="C697" s="83"/>
      <c r="D697" s="83"/>
      <c r="E697" s="83"/>
      <c r="F697" s="83"/>
      <c r="G697" s="83"/>
    </row>
    <row r="698" spans="1:7">
      <c r="A698" s="86" t="s">
        <v>2563</v>
      </c>
      <c r="B698" s="72">
        <v>1934</v>
      </c>
      <c r="C698" s="83"/>
      <c r="D698" s="83"/>
      <c r="E698" s="83"/>
      <c r="F698" s="83"/>
      <c r="G698" s="83"/>
    </row>
    <row r="699" spans="1:7">
      <c r="A699" s="83"/>
      <c r="B699" s="83"/>
      <c r="C699" s="83"/>
      <c r="D699" s="83"/>
      <c r="E699" s="83"/>
      <c r="F699" s="83"/>
      <c r="G699" s="83"/>
    </row>
  </sheetData>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W186"/>
  <sheetViews>
    <sheetView topLeftCell="A93" workbookViewId="0">
      <selection activeCell="A111" sqref="A111:XFD199"/>
    </sheetView>
  </sheetViews>
  <sheetFormatPr baseColWidth="10" defaultColWidth="11" defaultRowHeight="12"/>
  <cols>
    <col min="1" max="2" width="11" style="146"/>
    <col min="3" max="3" width="11" style="143"/>
    <col min="4" max="16384" width="11" style="26"/>
  </cols>
  <sheetData>
    <row r="1" spans="1:49" s="12" customFormat="1" ht="36">
      <c r="A1" s="52" t="s">
        <v>1869</v>
      </c>
      <c r="B1" s="52" t="s">
        <v>1511</v>
      </c>
      <c r="C1" s="52" t="s">
        <v>1175</v>
      </c>
      <c r="D1" s="1" t="s">
        <v>1527</v>
      </c>
      <c r="E1" s="1" t="s">
        <v>1528</v>
      </c>
      <c r="F1" s="1" t="s">
        <v>1529</v>
      </c>
      <c r="G1" s="2" t="s">
        <v>1631</v>
      </c>
      <c r="H1" s="3" t="s">
        <v>1632</v>
      </c>
      <c r="I1" s="4" t="s">
        <v>1797</v>
      </c>
      <c r="J1" s="4" t="s">
        <v>1689</v>
      </c>
      <c r="K1" s="4" t="s">
        <v>1633</v>
      </c>
      <c r="L1" s="4" t="s">
        <v>1827</v>
      </c>
      <c r="M1" s="4" t="s">
        <v>1828</v>
      </c>
      <c r="N1" s="4" t="s">
        <v>1692</v>
      </c>
      <c r="O1" s="4" t="s">
        <v>1793</v>
      </c>
      <c r="P1" s="4" t="s">
        <v>1638</v>
      </c>
      <c r="Q1" s="4" t="s">
        <v>1801</v>
      </c>
      <c r="R1" s="4" t="s">
        <v>1700</v>
      </c>
      <c r="S1" s="5" t="s">
        <v>1683</v>
      </c>
      <c r="T1" s="6" t="s">
        <v>1684</v>
      </c>
      <c r="U1" s="6" t="s">
        <v>1900</v>
      </c>
      <c r="V1" s="6" t="s">
        <v>1901</v>
      </c>
      <c r="W1" s="6" t="s">
        <v>1685</v>
      </c>
      <c r="X1" s="6" t="s">
        <v>1686</v>
      </c>
      <c r="Y1" s="7" t="s">
        <v>1687</v>
      </c>
      <c r="Z1" s="8" t="s">
        <v>1688</v>
      </c>
      <c r="AA1" s="9" t="s">
        <v>1810</v>
      </c>
      <c r="AB1" s="9" t="s">
        <v>1728</v>
      </c>
      <c r="AC1" s="9" t="s">
        <v>1763</v>
      </c>
      <c r="AD1" s="9" t="s">
        <v>1764</v>
      </c>
      <c r="AE1" s="9" t="s">
        <v>1860</v>
      </c>
      <c r="AF1" s="9" t="s">
        <v>1861</v>
      </c>
      <c r="AG1" s="9" t="s">
        <v>1693</v>
      </c>
      <c r="AH1" s="5" t="s">
        <v>1694</v>
      </c>
      <c r="AI1" s="6" t="s">
        <v>1862</v>
      </c>
      <c r="AJ1" s="6" t="s">
        <v>1744</v>
      </c>
      <c r="AK1" s="7" t="s">
        <v>1758</v>
      </c>
      <c r="AL1" s="7" t="s">
        <v>1921</v>
      </c>
      <c r="AM1" s="7" t="s">
        <v>1835</v>
      </c>
      <c r="AN1" s="7" t="s">
        <v>1836</v>
      </c>
      <c r="AO1" s="7" t="s">
        <v>1893</v>
      </c>
      <c r="AP1" s="7" t="s">
        <v>1894</v>
      </c>
      <c r="AQ1" s="10" t="s">
        <v>1895</v>
      </c>
      <c r="AR1" s="10" t="s">
        <v>1745</v>
      </c>
      <c r="AS1" s="10" t="s">
        <v>1530</v>
      </c>
      <c r="AT1" s="11" t="s">
        <v>1746</v>
      </c>
      <c r="AU1" s="1" t="s">
        <v>1899</v>
      </c>
      <c r="AV1" s="1" t="s">
        <v>1613</v>
      </c>
      <c r="AW1" s="1" t="s">
        <v>1614</v>
      </c>
    </row>
    <row r="3" spans="1:49" s="45" customFormat="1">
      <c r="A3" s="58" t="s">
        <v>1555</v>
      </c>
      <c r="B3" s="52"/>
      <c r="C3" s="52"/>
      <c r="D3" s="52"/>
      <c r="E3" s="52"/>
      <c r="F3" s="52"/>
      <c r="G3" s="53"/>
      <c r="H3" s="53"/>
      <c r="I3" s="52"/>
      <c r="J3" s="52"/>
      <c r="K3" s="52"/>
      <c r="L3" s="52"/>
      <c r="M3" s="52"/>
      <c r="N3" s="52"/>
      <c r="O3" s="52"/>
      <c r="P3" s="52"/>
      <c r="Q3" s="52"/>
      <c r="R3" s="52"/>
      <c r="S3" s="53"/>
      <c r="T3" s="53"/>
      <c r="U3" s="53"/>
      <c r="V3" s="53"/>
      <c r="W3" s="53"/>
      <c r="X3" s="53"/>
      <c r="Y3" s="53"/>
      <c r="Z3" s="53"/>
      <c r="AA3" s="53"/>
      <c r="AB3" s="53"/>
      <c r="AC3" s="53"/>
      <c r="AD3" s="53"/>
      <c r="AE3" s="53"/>
      <c r="AF3" s="53"/>
      <c r="AG3" s="53"/>
      <c r="AH3" s="53"/>
      <c r="AI3" s="53"/>
      <c r="AJ3" s="53"/>
      <c r="AK3" s="53"/>
      <c r="AL3" s="53"/>
      <c r="AM3" s="53"/>
      <c r="AN3" s="53"/>
      <c r="AO3" s="53"/>
      <c r="AP3" s="53"/>
      <c r="AQ3" s="52"/>
      <c r="AR3" s="52"/>
      <c r="AS3" s="52"/>
      <c r="AT3" s="53"/>
      <c r="AU3" s="52"/>
      <c r="AV3" s="52"/>
      <c r="AW3" s="52"/>
    </row>
    <row r="4" spans="1:49">
      <c r="A4" s="229" t="s">
        <v>1557</v>
      </c>
      <c r="B4" s="230">
        <v>1641416</v>
      </c>
      <c r="C4" s="231" t="s">
        <v>1312</v>
      </c>
      <c r="D4" s="49">
        <v>8455</v>
      </c>
      <c r="E4" s="49">
        <v>8649</v>
      </c>
      <c r="F4" s="26" t="s">
        <v>1556</v>
      </c>
    </row>
    <row r="5" spans="1:49">
      <c r="A5" s="229" t="s">
        <v>1557</v>
      </c>
      <c r="B5" s="230">
        <v>1788225</v>
      </c>
      <c r="C5" s="231" t="s">
        <v>1182</v>
      </c>
      <c r="D5" s="49">
        <v>9006</v>
      </c>
      <c r="E5" s="49">
        <v>9867</v>
      </c>
      <c r="F5" s="26" t="s">
        <v>1665</v>
      </c>
    </row>
    <row r="6" spans="1:49">
      <c r="A6" s="58" t="s">
        <v>1557</v>
      </c>
      <c r="B6" s="146">
        <v>1829247</v>
      </c>
      <c r="C6" s="143" t="s">
        <v>1182</v>
      </c>
      <c r="D6" s="49">
        <v>9159</v>
      </c>
      <c r="E6" s="49">
        <v>10161</v>
      </c>
      <c r="F6" s="26" t="s">
        <v>1556</v>
      </c>
    </row>
    <row r="7" spans="1:49">
      <c r="A7" s="58" t="s">
        <v>1557</v>
      </c>
      <c r="B7" s="146">
        <v>1833550</v>
      </c>
      <c r="C7" s="143" t="s">
        <v>1312</v>
      </c>
      <c r="D7" s="49">
        <v>9749</v>
      </c>
      <c r="E7" s="49">
        <v>10189</v>
      </c>
      <c r="F7" s="26" t="s">
        <v>1556</v>
      </c>
    </row>
    <row r="8" spans="1:49">
      <c r="D8" s="49"/>
      <c r="E8" s="49"/>
    </row>
    <row r="9" spans="1:49">
      <c r="A9" s="146" t="s">
        <v>1183</v>
      </c>
      <c r="D9" s="49"/>
      <c r="E9" s="49"/>
    </row>
    <row r="10" spans="1:49">
      <c r="A10" s="229" t="s">
        <v>1520</v>
      </c>
      <c r="B10" s="230">
        <v>1208698</v>
      </c>
      <c r="C10" s="231" t="s">
        <v>1312</v>
      </c>
      <c r="D10" s="49">
        <v>4455</v>
      </c>
      <c r="E10" s="49">
        <v>4729</v>
      </c>
      <c r="F10" s="26" t="s">
        <v>1559</v>
      </c>
    </row>
    <row r="11" spans="1:49">
      <c r="A11" s="229" t="s">
        <v>1520</v>
      </c>
      <c r="B11" s="230">
        <v>1374782</v>
      </c>
      <c r="C11" s="231" t="s">
        <v>1312</v>
      </c>
      <c r="D11" s="49">
        <v>6226</v>
      </c>
      <c r="E11" s="49">
        <v>6311</v>
      </c>
      <c r="F11" s="26" t="s">
        <v>1559</v>
      </c>
      <c r="G11" s="26" t="s">
        <v>1184</v>
      </c>
    </row>
    <row r="12" spans="1:49">
      <c r="A12" s="229" t="s">
        <v>1520</v>
      </c>
      <c r="B12" s="230">
        <v>1659776</v>
      </c>
      <c r="C12" s="231" t="s">
        <v>1312</v>
      </c>
      <c r="D12" s="49">
        <v>7596</v>
      </c>
      <c r="E12" s="49">
        <v>8817</v>
      </c>
      <c r="F12" s="26" t="s">
        <v>1461</v>
      </c>
    </row>
    <row r="13" spans="1:49">
      <c r="A13" s="229" t="s">
        <v>1520</v>
      </c>
      <c r="B13" s="230">
        <v>1547854</v>
      </c>
      <c r="C13" s="231" t="s">
        <v>1312</v>
      </c>
      <c r="D13" s="49">
        <v>7680</v>
      </c>
      <c r="E13" s="49">
        <v>7879</v>
      </c>
      <c r="F13" s="26" t="s">
        <v>1462</v>
      </c>
    </row>
    <row r="14" spans="1:49">
      <c r="A14" s="229" t="s">
        <v>1520</v>
      </c>
      <c r="B14" s="230">
        <v>1562423</v>
      </c>
      <c r="C14" s="231" t="s">
        <v>1312</v>
      </c>
      <c r="D14" s="49">
        <v>7721</v>
      </c>
      <c r="E14" s="49">
        <v>7991</v>
      </c>
      <c r="F14" s="26" t="s">
        <v>1463</v>
      </c>
      <c r="G14" s="26" t="s">
        <v>1126</v>
      </c>
    </row>
    <row r="15" spans="1:49">
      <c r="A15" s="229" t="s">
        <v>1520</v>
      </c>
      <c r="B15" s="230">
        <v>1732650</v>
      </c>
      <c r="C15" s="231" t="s">
        <v>1312</v>
      </c>
      <c r="D15" s="49">
        <v>8232</v>
      </c>
      <c r="E15" s="49">
        <v>10014</v>
      </c>
      <c r="F15" s="26" t="s">
        <v>1461</v>
      </c>
      <c r="G15" s="26" t="s">
        <v>1127</v>
      </c>
    </row>
    <row r="16" spans="1:49">
      <c r="A16" s="229" t="s">
        <v>1520</v>
      </c>
      <c r="B16" s="230">
        <v>1808466</v>
      </c>
      <c r="C16" s="231" t="s">
        <v>1312</v>
      </c>
      <c r="D16" s="49">
        <v>8232</v>
      </c>
      <c r="E16" s="49">
        <v>10014</v>
      </c>
      <c r="F16" s="26" t="s">
        <v>1461</v>
      </c>
      <c r="G16" s="26" t="s">
        <v>1115</v>
      </c>
    </row>
    <row r="17" spans="1:7">
      <c r="A17" s="229" t="s">
        <v>1520</v>
      </c>
      <c r="B17" s="230">
        <v>1712506</v>
      </c>
      <c r="C17" s="231" t="s">
        <v>1312</v>
      </c>
      <c r="D17" s="49">
        <v>8517</v>
      </c>
      <c r="E17" s="49">
        <v>9356</v>
      </c>
      <c r="F17" s="26" t="s">
        <v>1461</v>
      </c>
    </row>
    <row r="18" spans="1:7">
      <c r="A18" s="229" t="s">
        <v>1520</v>
      </c>
      <c r="B18" s="230">
        <v>1724031</v>
      </c>
      <c r="C18" s="231" t="s">
        <v>1312</v>
      </c>
      <c r="D18" s="49">
        <v>8517</v>
      </c>
      <c r="E18" s="49">
        <v>9356</v>
      </c>
      <c r="F18" s="26" t="s">
        <v>1461</v>
      </c>
    </row>
    <row r="19" spans="1:7">
      <c r="A19" s="229" t="s">
        <v>1520</v>
      </c>
      <c r="B19" s="230">
        <v>1788225</v>
      </c>
      <c r="C19" s="231" t="s">
        <v>1312</v>
      </c>
      <c r="D19" s="49">
        <v>9006</v>
      </c>
      <c r="E19" s="49">
        <v>9867</v>
      </c>
      <c r="F19" s="26" t="s">
        <v>1462</v>
      </c>
    </row>
    <row r="20" spans="1:7">
      <c r="A20" s="58" t="s">
        <v>1520</v>
      </c>
      <c r="B20" s="146">
        <v>1829247</v>
      </c>
      <c r="C20" s="143" t="s">
        <v>1312</v>
      </c>
      <c r="D20" s="49">
        <v>9159</v>
      </c>
      <c r="E20" s="49">
        <v>10161</v>
      </c>
      <c r="F20" s="26" t="s">
        <v>1559</v>
      </c>
    </row>
    <row r="21" spans="1:7">
      <c r="A21" s="58" t="s">
        <v>1520</v>
      </c>
      <c r="B21" s="146">
        <v>1808467</v>
      </c>
      <c r="C21" s="143" t="s">
        <v>1312</v>
      </c>
      <c r="D21" s="49">
        <v>9231</v>
      </c>
      <c r="E21" s="49">
        <v>10014</v>
      </c>
      <c r="F21" s="26" t="s">
        <v>1461</v>
      </c>
    </row>
    <row r="22" spans="1:7">
      <c r="A22" s="58" t="s">
        <v>1520</v>
      </c>
      <c r="B22" s="146">
        <v>1808468</v>
      </c>
      <c r="C22" s="143" t="s">
        <v>1312</v>
      </c>
      <c r="D22" s="49">
        <v>9231</v>
      </c>
      <c r="E22" s="49">
        <v>10014</v>
      </c>
      <c r="F22" s="26" t="s">
        <v>1461</v>
      </c>
      <c r="G22" s="26" t="s">
        <v>1116</v>
      </c>
    </row>
    <row r="23" spans="1:7">
      <c r="A23" s="58" t="s">
        <v>1520</v>
      </c>
      <c r="B23" s="146">
        <v>1858401</v>
      </c>
      <c r="C23" s="143" t="s">
        <v>1312</v>
      </c>
      <c r="D23" s="49">
        <v>9234</v>
      </c>
      <c r="E23" s="49">
        <v>10364</v>
      </c>
      <c r="F23" s="26" t="s">
        <v>1461</v>
      </c>
    </row>
    <row r="24" spans="1:7">
      <c r="A24" s="58" t="s">
        <v>1520</v>
      </c>
      <c r="B24" s="146">
        <v>1799382</v>
      </c>
      <c r="C24" s="143" t="s">
        <v>1312</v>
      </c>
      <c r="D24" s="108">
        <v>9253</v>
      </c>
      <c r="E24" s="49">
        <v>9958</v>
      </c>
      <c r="F24" s="26" t="s">
        <v>1117</v>
      </c>
    </row>
    <row r="25" spans="1:7">
      <c r="A25" s="58" t="s">
        <v>1520</v>
      </c>
      <c r="B25" s="146">
        <v>1804792</v>
      </c>
      <c r="C25" s="143" t="s">
        <v>1312</v>
      </c>
      <c r="D25" s="49">
        <v>9267</v>
      </c>
      <c r="E25" s="49">
        <v>9993</v>
      </c>
      <c r="F25" s="26" t="s">
        <v>1461</v>
      </c>
    </row>
    <row r="26" spans="1:7">
      <c r="A26" s="58" t="s">
        <v>1520</v>
      </c>
      <c r="B26" s="146">
        <v>1757774</v>
      </c>
      <c r="C26" s="143" t="s">
        <v>1312</v>
      </c>
      <c r="D26" s="49">
        <v>9443</v>
      </c>
      <c r="E26" s="49">
        <v>9622</v>
      </c>
      <c r="F26" s="26" t="s">
        <v>1461</v>
      </c>
      <c r="G26" s="26" t="s">
        <v>1114</v>
      </c>
    </row>
    <row r="27" spans="1:7">
      <c r="A27" s="58" t="s">
        <v>1520</v>
      </c>
      <c r="B27" s="146">
        <v>1836032</v>
      </c>
      <c r="C27" s="143" t="s">
        <v>1312</v>
      </c>
      <c r="D27" s="49">
        <v>9992</v>
      </c>
      <c r="E27" s="49">
        <v>10210</v>
      </c>
      <c r="F27" s="26" t="s">
        <v>1461</v>
      </c>
    </row>
    <row r="28" spans="1:7">
      <c r="A28" s="58" t="s">
        <v>1520</v>
      </c>
      <c r="B28" s="146">
        <v>2134449</v>
      </c>
      <c r="C28" s="143" t="s">
        <v>1312</v>
      </c>
      <c r="D28" s="49">
        <v>11933</v>
      </c>
      <c r="E28" s="49">
        <v>12716</v>
      </c>
      <c r="F28" s="26" t="s">
        <v>1463</v>
      </c>
    </row>
    <row r="29" spans="1:7">
      <c r="A29" s="58" t="s">
        <v>1520</v>
      </c>
      <c r="B29" s="146">
        <v>2134450</v>
      </c>
      <c r="C29" s="143" t="s">
        <v>1312</v>
      </c>
      <c r="D29" s="49">
        <v>11933</v>
      </c>
      <c r="E29" s="49">
        <v>12716</v>
      </c>
      <c r="F29" s="26" t="s">
        <v>1463</v>
      </c>
    </row>
    <row r="31" spans="1:7">
      <c r="A31" s="146" t="s">
        <v>1118</v>
      </c>
      <c r="D31" s="49"/>
      <c r="E31" s="49"/>
    </row>
    <row r="32" spans="1:7">
      <c r="A32" s="229" t="s">
        <v>1520</v>
      </c>
      <c r="B32" s="230">
        <v>1833026</v>
      </c>
      <c r="C32" s="231" t="s">
        <v>1312</v>
      </c>
      <c r="D32" s="232">
        <v>7026</v>
      </c>
      <c r="E32" s="49">
        <v>10189</v>
      </c>
      <c r="F32" s="26" t="s">
        <v>1461</v>
      </c>
    </row>
    <row r="33" spans="1:7">
      <c r="A33" s="58" t="s">
        <v>1520</v>
      </c>
      <c r="B33" s="146">
        <v>1799380</v>
      </c>
      <c r="C33" s="143" t="s">
        <v>1312</v>
      </c>
      <c r="D33" s="49">
        <v>9215</v>
      </c>
      <c r="E33" s="49">
        <v>9958</v>
      </c>
      <c r="F33" s="26" t="s">
        <v>1461</v>
      </c>
      <c r="G33" s="26" t="s">
        <v>1144</v>
      </c>
    </row>
    <row r="34" spans="1:7">
      <c r="A34" s="58" t="s">
        <v>1520</v>
      </c>
      <c r="B34" s="146">
        <v>1814835</v>
      </c>
      <c r="C34" s="143" t="s">
        <v>1312</v>
      </c>
      <c r="D34" s="49">
        <v>9611</v>
      </c>
      <c r="E34" s="49">
        <v>10056</v>
      </c>
      <c r="F34" s="26" t="s">
        <v>1461</v>
      </c>
    </row>
    <row r="35" spans="1:7">
      <c r="A35" s="58" t="s">
        <v>1520</v>
      </c>
      <c r="B35" s="146">
        <v>1865194</v>
      </c>
      <c r="C35" s="143" t="s">
        <v>1312</v>
      </c>
      <c r="D35" s="49">
        <v>9611</v>
      </c>
      <c r="E35" s="49">
        <v>10406</v>
      </c>
      <c r="F35" s="26" t="s">
        <v>1461</v>
      </c>
    </row>
    <row r="36" spans="1:7">
      <c r="A36" s="58" t="s">
        <v>1520</v>
      </c>
      <c r="B36" s="146">
        <v>1759458</v>
      </c>
      <c r="C36" s="143" t="s">
        <v>1312</v>
      </c>
      <c r="D36" s="49">
        <v>9722</v>
      </c>
      <c r="E36" s="49">
        <v>10504</v>
      </c>
      <c r="F36" s="26" t="s">
        <v>1461</v>
      </c>
    </row>
    <row r="37" spans="1:7">
      <c r="A37" s="58" t="s">
        <v>1520</v>
      </c>
      <c r="B37" s="146">
        <v>1799381</v>
      </c>
      <c r="C37" s="143" t="s">
        <v>1312</v>
      </c>
      <c r="D37" s="49">
        <v>9722</v>
      </c>
      <c r="E37" s="49">
        <v>10504</v>
      </c>
      <c r="F37" s="26" t="s">
        <v>1461</v>
      </c>
    </row>
    <row r="38" spans="1:7">
      <c r="A38" s="58" t="s">
        <v>1520</v>
      </c>
      <c r="B38" s="146">
        <v>1842412</v>
      </c>
      <c r="C38" s="143" t="s">
        <v>1312</v>
      </c>
      <c r="D38" s="49">
        <v>9722</v>
      </c>
      <c r="E38" s="49">
        <v>10504</v>
      </c>
      <c r="F38" s="26" t="s">
        <v>1461</v>
      </c>
    </row>
    <row r="39" spans="1:7">
      <c r="A39" s="58" t="s">
        <v>1520</v>
      </c>
      <c r="B39" s="146">
        <v>1883982</v>
      </c>
      <c r="C39" s="143" t="s">
        <v>1312</v>
      </c>
      <c r="D39" s="49">
        <v>9807</v>
      </c>
      <c r="E39" s="49">
        <v>10525</v>
      </c>
      <c r="F39" s="26" t="s">
        <v>1461</v>
      </c>
    </row>
    <row r="40" spans="1:7">
      <c r="A40" s="58" t="s">
        <v>1520</v>
      </c>
      <c r="B40" s="146">
        <v>1890687</v>
      </c>
      <c r="C40" s="143" t="s">
        <v>1312</v>
      </c>
      <c r="D40" s="49">
        <v>9876</v>
      </c>
      <c r="E40" s="49">
        <v>10574</v>
      </c>
      <c r="F40" s="26" t="s">
        <v>1461</v>
      </c>
    </row>
    <row r="41" spans="1:7">
      <c r="A41" s="58" t="s">
        <v>1520</v>
      </c>
      <c r="B41" s="146">
        <v>1836033</v>
      </c>
      <c r="C41" s="143" t="s">
        <v>1312</v>
      </c>
      <c r="D41" s="49">
        <v>10024</v>
      </c>
      <c r="E41" s="49">
        <v>10210</v>
      </c>
      <c r="F41" s="26" t="s">
        <v>1461</v>
      </c>
    </row>
    <row r="42" spans="1:7">
      <c r="A42" s="58" t="s">
        <v>1520</v>
      </c>
      <c r="B42" s="146">
        <v>2034043</v>
      </c>
      <c r="C42" s="143" t="s">
        <v>1312</v>
      </c>
      <c r="D42" s="49">
        <v>11021</v>
      </c>
      <c r="E42" s="49">
        <v>11764</v>
      </c>
      <c r="F42" s="26" t="s">
        <v>1461</v>
      </c>
    </row>
    <row r="43" spans="1:7">
      <c r="A43" s="58" t="s">
        <v>1520</v>
      </c>
      <c r="B43" s="146">
        <v>2034044</v>
      </c>
      <c r="C43" s="143" t="s">
        <v>1312</v>
      </c>
      <c r="D43" s="49">
        <v>11199</v>
      </c>
      <c r="E43" s="49">
        <v>11764</v>
      </c>
      <c r="F43" s="26" t="s">
        <v>1461</v>
      </c>
    </row>
    <row r="44" spans="1:7">
      <c r="A44" s="58" t="s">
        <v>1520</v>
      </c>
      <c r="B44" s="146">
        <v>2034045</v>
      </c>
      <c r="C44" s="143" t="s">
        <v>1312</v>
      </c>
      <c r="D44" s="49">
        <v>11199</v>
      </c>
      <c r="E44" s="49">
        <v>11764</v>
      </c>
      <c r="F44" s="26" t="s">
        <v>1461</v>
      </c>
    </row>
    <row r="45" spans="1:7">
      <c r="A45" s="58" t="s">
        <v>1520</v>
      </c>
      <c r="B45" s="146">
        <v>2034046</v>
      </c>
      <c r="C45" s="143" t="s">
        <v>1312</v>
      </c>
      <c r="D45" s="49">
        <v>11399</v>
      </c>
      <c r="E45" s="49">
        <v>11764</v>
      </c>
      <c r="F45" s="26" t="s">
        <v>1461</v>
      </c>
    </row>
    <row r="46" spans="1:7">
      <c r="A46" s="58" t="s">
        <v>1520</v>
      </c>
      <c r="B46" s="146">
        <v>2060996</v>
      </c>
      <c r="C46" s="143" t="s">
        <v>1312</v>
      </c>
      <c r="D46" s="49">
        <v>11443</v>
      </c>
      <c r="E46" s="49">
        <v>12009</v>
      </c>
      <c r="F46" s="26" t="s">
        <v>1461</v>
      </c>
    </row>
    <row r="48" spans="1:7">
      <c r="A48" s="146" t="s">
        <v>1132</v>
      </c>
      <c r="D48" s="49"/>
      <c r="E48" s="49"/>
    </row>
    <row r="49" spans="1:6">
      <c r="D49" s="49"/>
      <c r="E49" s="49"/>
    </row>
    <row r="50" spans="1:6">
      <c r="A50" s="229" t="s">
        <v>1520</v>
      </c>
      <c r="B50" s="230">
        <v>1641416</v>
      </c>
      <c r="C50" s="231" t="s">
        <v>1312</v>
      </c>
      <c r="D50" s="49">
        <v>8455</v>
      </c>
      <c r="E50" s="49">
        <v>8649</v>
      </c>
      <c r="F50" s="26" t="s">
        <v>1465</v>
      </c>
    </row>
    <row r="51" spans="1:6">
      <c r="A51" s="58" t="s">
        <v>1520</v>
      </c>
      <c r="B51" s="146">
        <v>1833550</v>
      </c>
      <c r="C51" s="143" t="s">
        <v>1312</v>
      </c>
      <c r="D51" s="49">
        <v>9749</v>
      </c>
      <c r="E51" s="49">
        <v>10189</v>
      </c>
      <c r="F51" s="26" t="s">
        <v>1560</v>
      </c>
    </row>
    <row r="52" spans="1:6">
      <c r="A52" s="58" t="s">
        <v>1520</v>
      </c>
      <c r="B52" s="146">
        <v>1948102</v>
      </c>
      <c r="C52" s="143" t="s">
        <v>1312</v>
      </c>
      <c r="D52" s="49">
        <v>9754</v>
      </c>
      <c r="E52" s="49">
        <v>11008</v>
      </c>
      <c r="F52" s="26" t="s">
        <v>1561</v>
      </c>
    </row>
    <row r="53" spans="1:6">
      <c r="A53" s="58"/>
      <c r="D53" s="49"/>
      <c r="E53" s="49"/>
    </row>
    <row r="55" spans="1:6" s="66" customFormat="1" ht="13">
      <c r="A55" s="126" t="s">
        <v>1637</v>
      </c>
      <c r="B55" s="42"/>
      <c r="C55" s="151"/>
    </row>
    <row r="56" spans="1:6" s="66" customFormat="1" ht="13">
      <c r="A56" s="127" t="s">
        <v>1138</v>
      </c>
      <c r="B56" s="42"/>
      <c r="C56" s="151"/>
    </row>
    <row r="57" spans="1:6" s="66" customFormat="1" ht="13">
      <c r="A57" s="42"/>
      <c r="B57" s="42"/>
      <c r="C57" s="151"/>
    </row>
    <row r="58" spans="1:6" s="66" customFormat="1" ht="13">
      <c r="A58" s="42" t="s">
        <v>1179</v>
      </c>
      <c r="B58" s="42"/>
      <c r="C58" s="151"/>
    </row>
    <row r="59" spans="1:6" s="66" customFormat="1" ht="13">
      <c r="A59" s="42" t="s">
        <v>1142</v>
      </c>
      <c r="B59" s="42"/>
      <c r="C59" s="151"/>
    </row>
    <row r="60" spans="1:6" s="66" customFormat="1" ht="13">
      <c r="A60" s="42" t="s">
        <v>1139</v>
      </c>
      <c r="B60" s="42"/>
      <c r="C60" s="151"/>
    </row>
    <row r="61" spans="1:6" s="66" customFormat="1" ht="13">
      <c r="A61" s="42" t="s">
        <v>1140</v>
      </c>
      <c r="B61" s="42"/>
      <c r="C61" s="151"/>
    </row>
    <row r="62" spans="1:6" s="66" customFormat="1" ht="13">
      <c r="A62" s="42" t="s">
        <v>2475</v>
      </c>
      <c r="B62" s="42"/>
      <c r="C62" s="151"/>
    </row>
    <row r="63" spans="1:6" s="66" customFormat="1" ht="13">
      <c r="A63" s="42" t="s">
        <v>1369</v>
      </c>
      <c r="B63" s="42"/>
      <c r="C63" s="151"/>
    </row>
    <row r="64" spans="1:6" s="66" customFormat="1" ht="13">
      <c r="A64" s="42" t="s">
        <v>1141</v>
      </c>
      <c r="B64" s="42"/>
      <c r="C64" s="151"/>
    </row>
    <row r="65" spans="1:3" s="66" customFormat="1" ht="13">
      <c r="A65" s="42" t="s">
        <v>2583</v>
      </c>
      <c r="B65" s="42"/>
      <c r="C65" s="151"/>
    </row>
    <row r="66" spans="1:3" s="66" customFormat="1" ht="13">
      <c r="A66" s="42" t="s">
        <v>2409</v>
      </c>
      <c r="B66" s="42"/>
      <c r="C66" s="151"/>
    </row>
    <row r="67" spans="1:3" s="66" customFormat="1" ht="13">
      <c r="A67" s="42" t="s">
        <v>1143</v>
      </c>
      <c r="B67" s="42"/>
      <c r="C67" s="151"/>
    </row>
    <row r="68" spans="1:3" s="66" customFormat="1" ht="13">
      <c r="A68" s="42" t="s">
        <v>1135</v>
      </c>
      <c r="B68" s="42"/>
      <c r="C68" s="151"/>
    </row>
    <row r="69" spans="1:3" s="66" customFormat="1" ht="13">
      <c r="A69" s="42" t="s">
        <v>95</v>
      </c>
      <c r="B69" s="42"/>
      <c r="C69" s="151"/>
    </row>
    <row r="70" spans="1:3" s="66" customFormat="1" ht="13">
      <c r="A70" s="42"/>
      <c r="B70" s="42"/>
      <c r="C70" s="151"/>
    </row>
    <row r="71" spans="1:3" s="66" customFormat="1">
      <c r="A71" s="222" t="s">
        <v>1137</v>
      </c>
      <c r="B71" s="223"/>
      <c r="C71" s="224"/>
    </row>
    <row r="72" spans="1:3" s="66" customFormat="1">
      <c r="A72" s="223" t="s">
        <v>1177</v>
      </c>
      <c r="B72" s="223">
        <v>1928</v>
      </c>
      <c r="C72" s="224"/>
    </row>
    <row r="73" spans="1:3">
      <c r="A73" s="146" t="s">
        <v>1178</v>
      </c>
      <c r="B73" s="146">
        <v>1928</v>
      </c>
    </row>
    <row r="74" spans="1:3">
      <c r="A74" s="146" t="s">
        <v>1180</v>
      </c>
      <c r="B74" s="146">
        <v>1929</v>
      </c>
    </row>
    <row r="77" spans="1:3">
      <c r="A77" s="222" t="s">
        <v>1136</v>
      </c>
    </row>
    <row r="78" spans="1:3">
      <c r="A78" s="146" t="s">
        <v>1181</v>
      </c>
      <c r="B78" s="146">
        <v>1931</v>
      </c>
    </row>
    <row r="79" spans="1:3">
      <c r="A79" s="223" t="s">
        <v>1471</v>
      </c>
      <c r="B79" s="225">
        <v>10139</v>
      </c>
      <c r="C79" s="226"/>
    </row>
    <row r="80" spans="1:3">
      <c r="A80" s="223" t="s">
        <v>1581</v>
      </c>
      <c r="B80" s="225">
        <v>10141</v>
      </c>
      <c r="C80" s="226"/>
    </row>
    <row r="81" spans="1:3">
      <c r="A81" s="223" t="s">
        <v>1582</v>
      </c>
      <c r="B81" s="225">
        <v>10149</v>
      </c>
      <c r="C81" s="226"/>
    </row>
    <row r="82" spans="1:3">
      <c r="A82" s="223" t="s">
        <v>1583</v>
      </c>
      <c r="B82" s="225">
        <v>10160</v>
      </c>
      <c r="C82" s="226"/>
    </row>
    <row r="83" spans="1:3">
      <c r="A83" s="223" t="s">
        <v>1584</v>
      </c>
      <c r="B83" s="225">
        <v>10168</v>
      </c>
      <c r="C83" s="226"/>
    </row>
    <row r="84" spans="1:3">
      <c r="A84" s="223" t="s">
        <v>1585</v>
      </c>
      <c r="B84" s="225">
        <v>10183</v>
      </c>
      <c r="C84" s="226"/>
    </row>
    <row r="85" spans="1:3">
      <c r="A85" s="223" t="s">
        <v>1432</v>
      </c>
      <c r="B85" s="225">
        <v>11389</v>
      </c>
      <c r="C85" s="226"/>
    </row>
    <row r="86" spans="1:3">
      <c r="A86" s="223" t="s">
        <v>1433</v>
      </c>
      <c r="B86" s="225">
        <v>11719</v>
      </c>
      <c r="C86" s="226"/>
    </row>
    <row r="87" spans="1:3">
      <c r="A87" s="223" t="s">
        <v>1434</v>
      </c>
      <c r="B87" s="225">
        <v>10531</v>
      </c>
      <c r="C87" s="226"/>
    </row>
    <row r="89" spans="1:3">
      <c r="A89" s="222" t="s">
        <v>2734</v>
      </c>
    </row>
    <row r="90" spans="1:3">
      <c r="A90" s="146" t="s">
        <v>2733</v>
      </c>
    </row>
    <row r="92" spans="1:3">
      <c r="A92" s="222" t="s">
        <v>1457</v>
      </c>
    </row>
    <row r="93" spans="1:3">
      <c r="A93" s="223" t="s">
        <v>1580</v>
      </c>
    </row>
    <row r="94" spans="1:3">
      <c r="A94" s="227" t="s">
        <v>1591</v>
      </c>
    </row>
    <row r="95" spans="1:3">
      <c r="A95" s="223" t="s">
        <v>1586</v>
      </c>
    </row>
    <row r="96" spans="1:3">
      <c r="A96" s="223" t="s">
        <v>1587</v>
      </c>
    </row>
    <row r="97" spans="1:3">
      <c r="A97" s="223" t="s">
        <v>1588</v>
      </c>
    </row>
    <row r="98" spans="1:3">
      <c r="A98" s="223" t="s">
        <v>1589</v>
      </c>
    </row>
    <row r="99" spans="1:3">
      <c r="A99" s="223" t="s">
        <v>1574</v>
      </c>
    </row>
    <row r="100" spans="1:3">
      <c r="A100" s="223" t="s">
        <v>1470</v>
      </c>
    </row>
    <row r="101" spans="1:3">
      <c r="A101" s="223"/>
    </row>
    <row r="102" spans="1:3">
      <c r="A102" s="228" t="s">
        <v>1147</v>
      </c>
    </row>
    <row r="103" spans="1:3">
      <c r="A103" s="146" t="s">
        <v>1928</v>
      </c>
    </row>
    <row r="104" spans="1:3">
      <c r="A104" s="146" t="s">
        <v>1887</v>
      </c>
    </row>
    <row r="105" spans="1:3">
      <c r="A105" s="146" t="s">
        <v>1912</v>
      </c>
    </row>
    <row r="106" spans="1:3">
      <c r="A106" s="146" t="s">
        <v>1963</v>
      </c>
    </row>
    <row r="111" spans="1:3" ht="13">
      <c r="A111" s="42"/>
      <c r="B111" s="42"/>
      <c r="C111" s="42"/>
    </row>
    <row r="112" spans="1:3" ht="13">
      <c r="A112" s="42"/>
      <c r="B112" s="42"/>
      <c r="C112" s="42"/>
    </row>
    <row r="113" spans="1:3" ht="13">
      <c r="A113" s="42"/>
      <c r="B113" s="42"/>
      <c r="C113" s="42"/>
    </row>
    <row r="114" spans="1:3" ht="13">
      <c r="A114" s="42"/>
      <c r="B114" s="42"/>
      <c r="C114" s="42"/>
    </row>
    <row r="115" spans="1:3" ht="13">
      <c r="A115" s="42"/>
      <c r="B115" s="42"/>
      <c r="C115" s="42"/>
    </row>
    <row r="116" spans="1:3" ht="13">
      <c r="A116" s="42"/>
      <c r="B116" s="42"/>
      <c r="C116" s="42"/>
    </row>
    <row r="117" spans="1:3" ht="13">
      <c r="A117" s="42"/>
      <c r="B117" s="42"/>
      <c r="C117" s="42"/>
    </row>
    <row r="118" spans="1:3" ht="13">
      <c r="A118" s="42"/>
      <c r="B118" s="42"/>
      <c r="C118" s="42"/>
    </row>
    <row r="119" spans="1:3" ht="13">
      <c r="A119" s="42"/>
      <c r="B119" s="42"/>
      <c r="C119" s="42"/>
    </row>
    <row r="120" spans="1:3" ht="13">
      <c r="A120" s="42"/>
      <c r="B120" s="42"/>
      <c r="C120" s="42"/>
    </row>
    <row r="121" spans="1:3" ht="13">
      <c r="A121" s="42"/>
      <c r="B121" s="42"/>
      <c r="C121" s="42"/>
    </row>
    <row r="122" spans="1:3" ht="13">
      <c r="A122" s="42"/>
      <c r="B122" s="42"/>
      <c r="C122" s="42"/>
    </row>
    <row r="123" spans="1:3" ht="13">
      <c r="A123" s="42"/>
      <c r="B123" s="42"/>
      <c r="C123" s="42"/>
    </row>
    <row r="124" spans="1:3" ht="13">
      <c r="A124" s="42"/>
      <c r="B124" s="42"/>
      <c r="C124" s="42"/>
    </row>
    <row r="125" spans="1:3" ht="13">
      <c r="A125" s="42"/>
      <c r="B125" s="42"/>
      <c r="C125" s="42"/>
    </row>
    <row r="126" spans="1:3" ht="13">
      <c r="A126" s="42"/>
      <c r="B126" s="42"/>
      <c r="C126" s="42"/>
    </row>
    <row r="127" spans="1:3" ht="13">
      <c r="A127" s="42"/>
      <c r="B127" s="42"/>
      <c r="C127" s="42"/>
    </row>
    <row r="128" spans="1:3" ht="13">
      <c r="A128" s="42"/>
      <c r="B128" s="42"/>
      <c r="C128" s="42"/>
    </row>
    <row r="129" spans="1:3" ht="13">
      <c r="A129" s="42"/>
      <c r="B129" s="42"/>
      <c r="C129" s="42"/>
    </row>
    <row r="130" spans="1:3" ht="13">
      <c r="A130" s="42"/>
      <c r="B130" s="42"/>
      <c r="C130" s="42"/>
    </row>
    <row r="131" spans="1:3" ht="13">
      <c r="A131" s="42"/>
      <c r="B131" s="42"/>
      <c r="C131" s="42"/>
    </row>
    <row r="132" spans="1:3" ht="13">
      <c r="A132" s="42"/>
      <c r="B132" s="42"/>
      <c r="C132" s="42"/>
    </row>
    <row r="133" spans="1:3" ht="13">
      <c r="A133" s="42"/>
      <c r="B133" s="42"/>
      <c r="C133" s="42"/>
    </row>
    <row r="134" spans="1:3" ht="13">
      <c r="A134" s="42"/>
      <c r="B134" s="42"/>
      <c r="C134" s="42"/>
    </row>
    <row r="135" spans="1:3" ht="13">
      <c r="A135" s="42"/>
      <c r="B135" s="42"/>
      <c r="C135" s="42"/>
    </row>
    <row r="136" spans="1:3" ht="13">
      <c r="A136" s="42"/>
      <c r="B136" s="42"/>
      <c r="C136" s="42"/>
    </row>
    <row r="137" spans="1:3" ht="13">
      <c r="A137" s="42"/>
      <c r="B137" s="42"/>
      <c r="C137" s="42"/>
    </row>
    <row r="138" spans="1:3" ht="13">
      <c r="A138" s="42"/>
      <c r="B138" s="42"/>
      <c r="C138" s="42"/>
    </row>
    <row r="139" spans="1:3" ht="13">
      <c r="A139" s="42"/>
      <c r="B139" s="42"/>
      <c r="C139" s="42"/>
    </row>
    <row r="140" spans="1:3" ht="13">
      <c r="A140" s="42"/>
      <c r="B140" s="42"/>
      <c r="C140" s="42"/>
    </row>
    <row r="141" spans="1:3" ht="13">
      <c r="A141" s="42"/>
      <c r="B141" s="42"/>
      <c r="C141" s="42"/>
    </row>
    <row r="142" spans="1:3" ht="13">
      <c r="A142" s="42"/>
      <c r="B142" s="42"/>
      <c r="C142" s="42"/>
    </row>
    <row r="143" spans="1:3" ht="13">
      <c r="A143" s="42"/>
      <c r="B143" s="42"/>
      <c r="C143" s="42"/>
    </row>
    <row r="144" spans="1:3" ht="13">
      <c r="A144" s="42"/>
      <c r="B144" s="42"/>
      <c r="C144" s="42"/>
    </row>
    <row r="145" spans="1:3" ht="13">
      <c r="A145" s="42"/>
      <c r="B145" s="42"/>
      <c r="C145" s="42"/>
    </row>
    <row r="146" spans="1:3" ht="13">
      <c r="A146" s="42"/>
      <c r="B146" s="42"/>
      <c r="C146" s="42"/>
    </row>
    <row r="147" spans="1:3" ht="13">
      <c r="A147" s="42"/>
      <c r="B147" s="42"/>
      <c r="C147" s="42"/>
    </row>
    <row r="148" spans="1:3" ht="13">
      <c r="A148" s="42"/>
      <c r="B148" s="42"/>
      <c r="C148" s="42"/>
    </row>
    <row r="149" spans="1:3" ht="13">
      <c r="A149" s="42"/>
      <c r="B149" s="42"/>
      <c r="C149" s="42"/>
    </row>
    <row r="150" spans="1:3" ht="13">
      <c r="A150" s="42"/>
      <c r="B150" s="42"/>
      <c r="C150" s="42"/>
    </row>
    <row r="151" spans="1:3" ht="13">
      <c r="A151" s="42"/>
      <c r="B151" s="42"/>
      <c r="C151" s="42"/>
    </row>
    <row r="152" spans="1:3" ht="13">
      <c r="A152" s="42"/>
      <c r="B152" s="42"/>
      <c r="C152" s="42"/>
    </row>
    <row r="153" spans="1:3" ht="13">
      <c r="A153" s="42"/>
      <c r="B153" s="42"/>
      <c r="C153" s="42"/>
    </row>
    <row r="154" spans="1:3" ht="13">
      <c r="A154" s="42"/>
      <c r="B154" s="42"/>
      <c r="C154" s="42"/>
    </row>
    <row r="155" spans="1:3" ht="13">
      <c r="A155" s="42"/>
      <c r="B155" s="42"/>
      <c r="C155" s="42"/>
    </row>
    <row r="156" spans="1:3" ht="13">
      <c r="A156" s="42"/>
      <c r="B156" s="42"/>
      <c r="C156" s="42"/>
    </row>
    <row r="157" spans="1:3" ht="13">
      <c r="A157" s="42"/>
      <c r="B157" s="42"/>
      <c r="C157" s="42"/>
    </row>
    <row r="158" spans="1:3" ht="13">
      <c r="A158" s="42"/>
      <c r="B158" s="42"/>
      <c r="C158" s="42"/>
    </row>
    <row r="159" spans="1:3" ht="13">
      <c r="A159" s="42"/>
      <c r="B159" s="42"/>
      <c r="C159" s="42"/>
    </row>
    <row r="160" spans="1:3" ht="13">
      <c r="A160" s="42"/>
      <c r="B160" s="42"/>
      <c r="C160" s="42"/>
    </row>
    <row r="161" spans="1:3" ht="13">
      <c r="A161" s="42"/>
      <c r="B161" s="42"/>
      <c r="C161" s="42"/>
    </row>
    <row r="162" spans="1:3" ht="13">
      <c r="A162" s="42"/>
      <c r="B162" s="42"/>
      <c r="C162" s="42"/>
    </row>
    <row r="163" spans="1:3" ht="13">
      <c r="A163" s="42"/>
      <c r="B163" s="42"/>
      <c r="C163" s="42"/>
    </row>
    <row r="164" spans="1:3" ht="13">
      <c r="A164" s="42"/>
      <c r="B164" s="42"/>
      <c r="C164" s="42"/>
    </row>
    <row r="165" spans="1:3" ht="13">
      <c r="A165" s="42"/>
      <c r="B165" s="42"/>
      <c r="C165" s="42"/>
    </row>
    <row r="166" spans="1:3" ht="13">
      <c r="A166" s="42"/>
      <c r="B166" s="42"/>
      <c r="C166" s="42"/>
    </row>
    <row r="167" spans="1:3" ht="13">
      <c r="A167" s="42"/>
      <c r="B167" s="42"/>
      <c r="C167" s="42"/>
    </row>
    <row r="168" spans="1:3" ht="13">
      <c r="A168" s="42"/>
      <c r="B168" s="42"/>
      <c r="C168" s="42"/>
    </row>
    <row r="169" spans="1:3" ht="13">
      <c r="A169" s="42"/>
      <c r="B169" s="42"/>
      <c r="C169" s="42"/>
    </row>
    <row r="170" spans="1:3" ht="13">
      <c r="A170" s="42"/>
      <c r="B170" s="42"/>
      <c r="C170" s="42"/>
    </row>
    <row r="171" spans="1:3" ht="13">
      <c r="A171" s="42"/>
      <c r="B171" s="42"/>
      <c r="C171" s="42"/>
    </row>
    <row r="172" spans="1:3" ht="13">
      <c r="A172" s="42"/>
      <c r="B172" s="42"/>
      <c r="C172" s="42"/>
    </row>
    <row r="173" spans="1:3" ht="13">
      <c r="A173" s="42"/>
      <c r="B173" s="42"/>
      <c r="C173" s="42"/>
    </row>
    <row r="174" spans="1:3" ht="13">
      <c r="A174" s="42"/>
      <c r="B174" s="42"/>
      <c r="C174" s="42"/>
    </row>
    <row r="175" spans="1:3" ht="13">
      <c r="A175" s="42"/>
      <c r="B175" s="42"/>
      <c r="C175" s="42"/>
    </row>
    <row r="176" spans="1:3" ht="13">
      <c r="A176" s="42"/>
      <c r="B176" s="42"/>
      <c r="C176" s="42"/>
    </row>
    <row r="177" spans="1:3" ht="13">
      <c r="A177" s="42"/>
      <c r="B177" s="42"/>
      <c r="C177" s="42"/>
    </row>
    <row r="178" spans="1:3" ht="13">
      <c r="A178" s="42"/>
      <c r="B178" s="42"/>
      <c r="C178" s="42"/>
    </row>
    <row r="179" spans="1:3" ht="13">
      <c r="A179" s="42"/>
      <c r="B179" s="42"/>
      <c r="C179" s="42"/>
    </row>
    <row r="180" spans="1:3" ht="13">
      <c r="A180" s="42"/>
      <c r="B180" s="42"/>
      <c r="C180" s="42"/>
    </row>
    <row r="181" spans="1:3" ht="13">
      <c r="A181" s="42"/>
      <c r="B181" s="42"/>
      <c r="C181" s="42"/>
    </row>
    <row r="182" spans="1:3" ht="13">
      <c r="A182" s="42"/>
      <c r="B182" s="42"/>
      <c r="C182" s="42"/>
    </row>
    <row r="183" spans="1:3" ht="13">
      <c r="A183" s="42"/>
      <c r="B183" s="42"/>
      <c r="C183" s="42"/>
    </row>
    <row r="184" spans="1:3" ht="13">
      <c r="A184" s="42"/>
      <c r="B184" s="42"/>
      <c r="C184" s="42"/>
    </row>
    <row r="185" spans="1:3" ht="13">
      <c r="A185" s="42"/>
      <c r="B185" s="42"/>
    </row>
    <row r="186" spans="1:3" ht="13">
      <c r="A186" s="42"/>
      <c r="B186" s="42"/>
    </row>
  </sheetData>
  <sortState ref="A4:F7">
    <sortCondition ref="D4:D7"/>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X475"/>
  <sheetViews>
    <sheetView topLeftCell="A293" workbookViewId="0">
      <selection activeCell="B209" sqref="B209"/>
    </sheetView>
  </sheetViews>
  <sheetFormatPr baseColWidth="10" defaultColWidth="11" defaultRowHeight="13"/>
  <cols>
    <col min="1" max="2" width="11" style="125"/>
    <col min="3" max="3" width="11" style="211"/>
    <col min="4" max="16384" width="11" style="70"/>
  </cols>
  <sheetData>
    <row r="1" spans="1:50" s="87" customFormat="1" ht="39">
      <c r="A1" s="100" t="s">
        <v>1869</v>
      </c>
      <c r="B1" s="100" t="s">
        <v>2173</v>
      </c>
      <c r="C1" s="100" t="s">
        <v>1175</v>
      </c>
      <c r="D1" s="82" t="s">
        <v>2174</v>
      </c>
      <c r="E1" s="82" t="s">
        <v>2022</v>
      </c>
      <c r="F1" s="82" t="s">
        <v>2023</v>
      </c>
      <c r="G1" s="82" t="s">
        <v>4129</v>
      </c>
      <c r="H1" s="90" t="s">
        <v>1631</v>
      </c>
      <c r="I1" s="91" t="s">
        <v>1632</v>
      </c>
      <c r="J1" s="92" t="s">
        <v>1797</v>
      </c>
      <c r="K1" s="92" t="s">
        <v>1689</v>
      </c>
      <c r="L1" s="92" t="s">
        <v>1633</v>
      </c>
      <c r="M1" s="92" t="s">
        <v>1827</v>
      </c>
      <c r="N1" s="92" t="s">
        <v>1828</v>
      </c>
      <c r="O1" s="92" t="s">
        <v>1692</v>
      </c>
      <c r="P1" s="92" t="s">
        <v>1793</v>
      </c>
      <c r="Q1" s="92" t="s">
        <v>1638</v>
      </c>
      <c r="R1" s="92" t="s">
        <v>1801</v>
      </c>
      <c r="S1" s="92" t="s">
        <v>1700</v>
      </c>
      <c r="T1" s="93" t="s">
        <v>1683</v>
      </c>
      <c r="U1" s="94" t="s">
        <v>1684</v>
      </c>
      <c r="V1" s="94" t="s">
        <v>1900</v>
      </c>
      <c r="W1" s="94" t="s">
        <v>1901</v>
      </c>
      <c r="X1" s="94" t="s">
        <v>1685</v>
      </c>
      <c r="Y1" s="94" t="s">
        <v>1686</v>
      </c>
      <c r="Z1" s="95" t="s">
        <v>1687</v>
      </c>
      <c r="AA1" s="96" t="s">
        <v>1688</v>
      </c>
      <c r="AB1" s="97" t="s">
        <v>1810</v>
      </c>
      <c r="AC1" s="97" t="s">
        <v>1728</v>
      </c>
      <c r="AD1" s="97" t="s">
        <v>1763</v>
      </c>
      <c r="AE1" s="97" t="s">
        <v>1764</v>
      </c>
      <c r="AF1" s="97" t="s">
        <v>1860</v>
      </c>
      <c r="AG1" s="97" t="s">
        <v>1861</v>
      </c>
      <c r="AH1" s="97" t="s">
        <v>1693</v>
      </c>
      <c r="AI1" s="93" t="s">
        <v>1694</v>
      </c>
      <c r="AJ1" s="94" t="s">
        <v>1862</v>
      </c>
      <c r="AK1" s="94" t="s">
        <v>1744</v>
      </c>
      <c r="AL1" s="95" t="s">
        <v>1758</v>
      </c>
      <c r="AM1" s="95" t="s">
        <v>1921</v>
      </c>
      <c r="AN1" s="95" t="s">
        <v>1835</v>
      </c>
      <c r="AO1" s="95" t="s">
        <v>1836</v>
      </c>
      <c r="AP1" s="95" t="s">
        <v>1893</v>
      </c>
      <c r="AQ1" s="95" t="s">
        <v>1894</v>
      </c>
      <c r="AR1" s="98" t="s">
        <v>1895</v>
      </c>
      <c r="AS1" s="98" t="s">
        <v>1745</v>
      </c>
      <c r="AT1" s="98" t="s">
        <v>2193</v>
      </c>
      <c r="AU1" s="99" t="s">
        <v>1746</v>
      </c>
      <c r="AV1" s="82" t="s">
        <v>1899</v>
      </c>
      <c r="AW1" s="82" t="s">
        <v>2194</v>
      </c>
      <c r="AX1" s="82" t="s">
        <v>2195</v>
      </c>
    </row>
    <row r="2" spans="1:50" s="102" customFormat="1">
      <c r="A2" s="212" t="s">
        <v>2250</v>
      </c>
      <c r="B2" s="100"/>
      <c r="C2" s="100"/>
      <c r="D2" s="100"/>
      <c r="E2" s="100"/>
      <c r="F2" s="100"/>
      <c r="G2" s="100"/>
      <c r="H2" s="101"/>
      <c r="I2" s="101"/>
      <c r="J2" s="100"/>
      <c r="K2" s="100"/>
      <c r="L2" s="100"/>
      <c r="M2" s="100"/>
      <c r="N2" s="100"/>
      <c r="O2" s="100"/>
      <c r="P2" s="100"/>
      <c r="Q2" s="100"/>
      <c r="R2" s="100"/>
      <c r="S2" s="100"/>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0"/>
      <c r="AS2" s="100"/>
      <c r="AT2" s="100"/>
      <c r="AU2" s="101"/>
      <c r="AV2" s="100"/>
      <c r="AW2" s="100"/>
      <c r="AX2" s="100"/>
    </row>
    <row r="3" spans="1:50" s="102" customFormat="1">
      <c r="A3" s="212"/>
      <c r="B3" s="100"/>
      <c r="C3" s="100"/>
      <c r="D3" s="100"/>
      <c r="E3" s="100"/>
      <c r="F3" s="100"/>
      <c r="G3" s="100"/>
      <c r="H3" s="101"/>
      <c r="I3" s="101"/>
      <c r="J3" s="100"/>
      <c r="K3" s="100"/>
      <c r="L3" s="100"/>
      <c r="M3" s="100"/>
      <c r="N3" s="100"/>
      <c r="O3" s="100"/>
      <c r="P3" s="100"/>
      <c r="Q3" s="100"/>
      <c r="R3" s="100"/>
      <c r="S3" s="100"/>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0"/>
      <c r="AS3" s="100"/>
      <c r="AT3" s="100"/>
      <c r="AU3" s="101"/>
      <c r="AV3" s="100"/>
      <c r="AW3" s="100"/>
      <c r="AX3" s="100"/>
    </row>
    <row r="4" spans="1:50" s="102" customFormat="1">
      <c r="A4" s="212" t="s">
        <v>914</v>
      </c>
      <c r="B4" s="100"/>
      <c r="C4" s="100"/>
      <c r="D4" s="100"/>
      <c r="E4" s="100"/>
      <c r="F4" s="100"/>
      <c r="G4" s="100"/>
      <c r="H4" s="101"/>
      <c r="I4" s="101"/>
      <c r="J4" s="100"/>
      <c r="K4" s="100"/>
      <c r="L4" s="100"/>
      <c r="M4" s="100"/>
      <c r="N4" s="100"/>
      <c r="O4" s="100"/>
      <c r="P4" s="100"/>
      <c r="Q4" s="100"/>
      <c r="R4" s="100"/>
      <c r="S4" s="100"/>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0"/>
      <c r="AS4" s="100"/>
      <c r="AT4" s="100"/>
      <c r="AU4" s="101"/>
      <c r="AV4" s="100"/>
      <c r="AW4" s="100"/>
      <c r="AX4" s="100"/>
    </row>
    <row r="5" spans="1:50">
      <c r="A5" s="234" t="s">
        <v>225</v>
      </c>
      <c r="B5" s="234">
        <v>1962059</v>
      </c>
      <c r="C5" s="235" t="s">
        <v>1176</v>
      </c>
      <c r="D5" s="104">
        <v>7914</v>
      </c>
      <c r="E5" s="104">
        <v>11113</v>
      </c>
      <c r="F5" s="105" t="s">
        <v>2343</v>
      </c>
      <c r="G5" s="105">
        <v>1</v>
      </c>
    </row>
    <row r="6" spans="1:50">
      <c r="A6" s="234" t="s">
        <v>225</v>
      </c>
      <c r="B6" s="234">
        <v>1964907</v>
      </c>
      <c r="C6" s="235" t="s">
        <v>1176</v>
      </c>
      <c r="D6" s="104">
        <v>8474</v>
      </c>
      <c r="E6" s="104">
        <v>11141</v>
      </c>
      <c r="F6" s="105" t="s">
        <v>2343</v>
      </c>
      <c r="G6" s="105">
        <v>1</v>
      </c>
    </row>
    <row r="7" spans="1:50">
      <c r="A7" s="234" t="s">
        <v>225</v>
      </c>
      <c r="B7" s="234">
        <v>1869308</v>
      </c>
      <c r="C7" s="235" t="s">
        <v>1176</v>
      </c>
      <c r="D7" s="104">
        <v>8627</v>
      </c>
      <c r="E7" s="104">
        <v>10434</v>
      </c>
      <c r="F7" s="70" t="s">
        <v>2190</v>
      </c>
      <c r="G7" s="105">
        <v>1</v>
      </c>
    </row>
    <row r="8" spans="1:50">
      <c r="A8" s="234" t="s">
        <v>225</v>
      </c>
      <c r="B8" s="234">
        <v>2133398</v>
      </c>
      <c r="C8" s="235" t="s">
        <v>1176</v>
      </c>
      <c r="D8" s="103">
        <v>9246</v>
      </c>
      <c r="E8" s="103">
        <v>12709</v>
      </c>
      <c r="F8" s="105" t="s">
        <v>2339</v>
      </c>
      <c r="G8" s="105">
        <v>1</v>
      </c>
    </row>
    <row r="9" spans="1:50">
      <c r="A9" s="234" t="s">
        <v>225</v>
      </c>
      <c r="B9" s="234">
        <v>2133399</v>
      </c>
      <c r="C9" s="235" t="s">
        <v>1176</v>
      </c>
      <c r="D9" s="103">
        <v>9246</v>
      </c>
      <c r="E9" s="103">
        <v>12709</v>
      </c>
      <c r="F9" s="105" t="s">
        <v>2339</v>
      </c>
      <c r="G9" s="105">
        <v>1</v>
      </c>
    </row>
    <row r="10" spans="1:50">
      <c r="A10" s="234" t="s">
        <v>225</v>
      </c>
      <c r="B10" s="234">
        <v>2081880</v>
      </c>
      <c r="C10" s="235" t="s">
        <v>1176</v>
      </c>
      <c r="D10" s="104">
        <v>9273</v>
      </c>
      <c r="E10" s="104">
        <v>12198</v>
      </c>
      <c r="F10" s="105" t="s">
        <v>2343</v>
      </c>
      <c r="G10" s="105">
        <v>1</v>
      </c>
    </row>
    <row r="11" spans="1:50">
      <c r="A11" s="234" t="s">
        <v>225</v>
      </c>
      <c r="B11" s="234">
        <v>2133382</v>
      </c>
      <c r="C11" s="235" t="s">
        <v>1176</v>
      </c>
      <c r="D11" s="103">
        <v>9273</v>
      </c>
      <c r="E11" s="103">
        <v>12709</v>
      </c>
      <c r="F11" s="105" t="s">
        <v>2343</v>
      </c>
      <c r="G11" s="105">
        <v>1</v>
      </c>
    </row>
    <row r="12" spans="1:50">
      <c r="A12" s="234" t="s">
        <v>225</v>
      </c>
      <c r="B12" s="234">
        <v>1883648</v>
      </c>
      <c r="C12" s="235" t="s">
        <v>1176</v>
      </c>
      <c r="D12" s="104">
        <v>9324</v>
      </c>
      <c r="E12" s="104">
        <v>10518</v>
      </c>
      <c r="F12" s="70" t="s">
        <v>2190</v>
      </c>
      <c r="G12" s="105">
        <v>1</v>
      </c>
    </row>
    <row r="13" spans="1:50">
      <c r="A13" s="234" t="s">
        <v>225</v>
      </c>
      <c r="B13" s="234">
        <v>1895983</v>
      </c>
      <c r="C13" s="235" t="s">
        <v>1176</v>
      </c>
      <c r="D13" s="104">
        <v>9391</v>
      </c>
      <c r="E13" s="104">
        <v>10623</v>
      </c>
      <c r="F13" s="105" t="s">
        <v>2190</v>
      </c>
      <c r="G13" s="105">
        <v>1</v>
      </c>
    </row>
    <row r="14" spans="1:50">
      <c r="A14" s="234" t="s">
        <v>225</v>
      </c>
      <c r="B14" s="234">
        <v>1900600</v>
      </c>
      <c r="C14" s="235" t="s">
        <v>1176</v>
      </c>
      <c r="D14" s="104">
        <v>9391</v>
      </c>
      <c r="E14" s="104">
        <v>10658</v>
      </c>
      <c r="F14" s="105" t="s">
        <v>2190</v>
      </c>
      <c r="G14" s="105">
        <v>1</v>
      </c>
    </row>
    <row r="15" spans="1:50">
      <c r="A15" s="234" t="s">
        <v>225</v>
      </c>
      <c r="B15" s="234">
        <v>1947929</v>
      </c>
      <c r="C15" s="235" t="s">
        <v>1176</v>
      </c>
      <c r="D15" s="104">
        <v>9391</v>
      </c>
      <c r="E15" s="104">
        <v>11008</v>
      </c>
      <c r="F15" s="105" t="s">
        <v>2343</v>
      </c>
      <c r="G15" s="105">
        <v>1</v>
      </c>
    </row>
    <row r="16" spans="1:50">
      <c r="A16" s="234" t="s">
        <v>225</v>
      </c>
      <c r="B16" s="234">
        <v>1957995</v>
      </c>
      <c r="C16" s="235" t="s">
        <v>1176</v>
      </c>
      <c r="D16" s="104">
        <v>9391</v>
      </c>
      <c r="E16" s="104">
        <v>11085</v>
      </c>
      <c r="F16" s="105" t="s">
        <v>2343</v>
      </c>
      <c r="G16" s="105">
        <v>1</v>
      </c>
    </row>
    <row r="17" spans="1:7">
      <c r="A17" s="234" t="s">
        <v>225</v>
      </c>
      <c r="B17" s="234">
        <v>1906636</v>
      </c>
      <c r="C17" s="235" t="s">
        <v>1176</v>
      </c>
      <c r="D17" s="104">
        <v>9411</v>
      </c>
      <c r="E17" s="104">
        <v>10714</v>
      </c>
      <c r="F17" s="105" t="s">
        <v>2342</v>
      </c>
      <c r="G17" s="105">
        <v>1</v>
      </c>
    </row>
    <row r="18" spans="1:7">
      <c r="A18" s="234" t="s">
        <v>225</v>
      </c>
      <c r="B18" s="234">
        <v>1895982</v>
      </c>
      <c r="C18" s="235" t="s">
        <v>1176</v>
      </c>
      <c r="D18" s="104">
        <v>9541</v>
      </c>
      <c r="E18" s="104">
        <v>10623</v>
      </c>
      <c r="F18" s="105" t="s">
        <v>2190</v>
      </c>
      <c r="G18" s="105">
        <v>1</v>
      </c>
    </row>
    <row r="19" spans="1:7">
      <c r="A19" s="234" t="s">
        <v>225</v>
      </c>
      <c r="B19" s="234">
        <v>1875732</v>
      </c>
      <c r="C19" s="235" t="s">
        <v>1176</v>
      </c>
      <c r="D19" s="104">
        <v>9710</v>
      </c>
      <c r="E19" s="104">
        <v>10476</v>
      </c>
      <c r="F19" s="70" t="s">
        <v>2191</v>
      </c>
      <c r="G19" s="105">
        <v>1</v>
      </c>
    </row>
    <row r="20" spans="1:7">
      <c r="A20" s="234" t="s">
        <v>225</v>
      </c>
      <c r="B20" s="234">
        <v>1981535</v>
      </c>
      <c r="C20" s="235" t="s">
        <v>1176</v>
      </c>
      <c r="D20" s="104">
        <v>9716</v>
      </c>
      <c r="E20" s="104">
        <v>11281</v>
      </c>
      <c r="F20" s="105" t="s">
        <v>2203</v>
      </c>
      <c r="G20" s="105">
        <v>1</v>
      </c>
    </row>
    <row r="21" spans="1:7">
      <c r="A21" s="234" t="s">
        <v>225</v>
      </c>
      <c r="B21" s="234">
        <v>1979149</v>
      </c>
      <c r="C21" s="235" t="s">
        <v>1176</v>
      </c>
      <c r="D21" s="104">
        <v>9799</v>
      </c>
      <c r="E21" s="104">
        <v>11260</v>
      </c>
      <c r="F21" s="105" t="s">
        <v>2343</v>
      </c>
      <c r="G21" s="105">
        <v>1</v>
      </c>
    </row>
    <row r="22" spans="1:7">
      <c r="A22" s="234" t="s">
        <v>225</v>
      </c>
      <c r="B22" s="234">
        <v>2049835</v>
      </c>
      <c r="C22" s="235" t="s">
        <v>1176</v>
      </c>
      <c r="D22" s="104">
        <v>9799</v>
      </c>
      <c r="E22" s="104">
        <v>11904</v>
      </c>
      <c r="F22" s="105" t="s">
        <v>2343</v>
      </c>
      <c r="G22" s="105">
        <v>1</v>
      </c>
    </row>
    <row r="23" spans="1:7">
      <c r="A23" s="125" t="s">
        <v>225</v>
      </c>
      <c r="B23" s="125">
        <v>1933112</v>
      </c>
      <c r="C23" s="233" t="s">
        <v>1176</v>
      </c>
      <c r="D23" s="104">
        <v>9880</v>
      </c>
      <c r="E23" s="104">
        <v>10896</v>
      </c>
      <c r="F23" s="105" t="s">
        <v>2344</v>
      </c>
      <c r="G23" s="105">
        <v>1</v>
      </c>
    </row>
    <row r="24" spans="1:7">
      <c r="A24" s="125" t="s">
        <v>225</v>
      </c>
      <c r="B24" s="125">
        <v>1973111</v>
      </c>
      <c r="C24" s="233" t="s">
        <v>1176</v>
      </c>
      <c r="D24" s="104">
        <v>9917</v>
      </c>
      <c r="E24" s="104">
        <v>11211</v>
      </c>
      <c r="F24" s="105" t="s">
        <v>2342</v>
      </c>
      <c r="G24" s="105">
        <v>1</v>
      </c>
    </row>
    <row r="25" spans="1:7">
      <c r="A25" s="125" t="s">
        <v>225</v>
      </c>
      <c r="B25" s="125">
        <v>1999701</v>
      </c>
      <c r="C25" s="233" t="s">
        <v>1176</v>
      </c>
      <c r="D25" s="104">
        <v>9918</v>
      </c>
      <c r="E25" s="104">
        <v>11442</v>
      </c>
      <c r="F25" s="105" t="s">
        <v>2345</v>
      </c>
      <c r="G25" s="105">
        <v>1</v>
      </c>
    </row>
    <row r="26" spans="1:7">
      <c r="A26" s="125" t="s">
        <v>225</v>
      </c>
      <c r="B26" s="125">
        <v>1981536</v>
      </c>
      <c r="C26" s="233" t="s">
        <v>1176</v>
      </c>
      <c r="D26" s="104">
        <v>9945</v>
      </c>
      <c r="E26" s="104">
        <v>11281</v>
      </c>
      <c r="F26" s="105" t="s">
        <v>2203</v>
      </c>
      <c r="G26" s="105">
        <v>1</v>
      </c>
    </row>
    <row r="27" spans="1:7">
      <c r="A27" s="125" t="s">
        <v>225</v>
      </c>
      <c r="B27" s="125">
        <v>2011389</v>
      </c>
      <c r="C27" s="233" t="s">
        <v>1176</v>
      </c>
      <c r="D27" s="104">
        <v>9985</v>
      </c>
      <c r="E27" s="104">
        <v>11547</v>
      </c>
      <c r="F27" s="105" t="s">
        <v>2203</v>
      </c>
      <c r="G27" s="105">
        <v>1</v>
      </c>
    </row>
    <row r="28" spans="1:7">
      <c r="A28" s="125" t="s">
        <v>225</v>
      </c>
      <c r="B28" s="125">
        <v>1973068</v>
      </c>
      <c r="C28" s="233" t="s">
        <v>1176</v>
      </c>
      <c r="D28" s="104">
        <v>10006</v>
      </c>
      <c r="E28" s="104">
        <v>11211</v>
      </c>
      <c r="F28" s="105" t="s">
        <v>2344</v>
      </c>
      <c r="G28" s="105">
        <v>1</v>
      </c>
    </row>
    <row r="29" spans="1:7">
      <c r="A29" s="125" t="s">
        <v>225</v>
      </c>
      <c r="B29" s="125">
        <v>1956723</v>
      </c>
      <c r="C29" s="233" t="s">
        <v>1176</v>
      </c>
      <c r="D29" s="104">
        <v>10037</v>
      </c>
      <c r="E29" s="104">
        <v>11078</v>
      </c>
      <c r="F29" s="105" t="s">
        <v>2345</v>
      </c>
      <c r="G29" s="105">
        <v>1</v>
      </c>
    </row>
    <row r="30" spans="1:7">
      <c r="A30" s="125" t="s">
        <v>225</v>
      </c>
      <c r="B30" s="125">
        <v>1944637</v>
      </c>
      <c r="C30" s="233" t="s">
        <v>1176</v>
      </c>
      <c r="D30" s="104">
        <v>10064</v>
      </c>
      <c r="E30" s="104">
        <v>10980</v>
      </c>
      <c r="F30" s="105" t="s">
        <v>2343</v>
      </c>
      <c r="G30" s="105">
        <v>1</v>
      </c>
    </row>
    <row r="31" spans="1:7">
      <c r="A31" s="125" t="s">
        <v>225</v>
      </c>
      <c r="B31" s="125">
        <v>1933008</v>
      </c>
      <c r="C31" s="233" t="s">
        <v>1176</v>
      </c>
      <c r="D31" s="104">
        <v>10065</v>
      </c>
      <c r="E31" s="104">
        <v>10896</v>
      </c>
      <c r="F31" s="105" t="s">
        <v>2343</v>
      </c>
      <c r="G31" s="105">
        <v>1</v>
      </c>
    </row>
    <row r="32" spans="1:7">
      <c r="A32" s="125" t="s">
        <v>225</v>
      </c>
      <c r="B32" s="125">
        <v>1906600</v>
      </c>
      <c r="C32" s="233" t="s">
        <v>1176</v>
      </c>
      <c r="D32" s="104">
        <v>10109</v>
      </c>
      <c r="E32" s="104">
        <v>10714</v>
      </c>
      <c r="F32" s="105" t="s">
        <v>2192</v>
      </c>
      <c r="G32" s="105">
        <v>1</v>
      </c>
    </row>
    <row r="33" spans="1:7">
      <c r="A33" s="125" t="s">
        <v>225</v>
      </c>
      <c r="B33" s="125">
        <v>1979150</v>
      </c>
      <c r="C33" s="233" t="s">
        <v>1176</v>
      </c>
      <c r="D33" s="104">
        <v>10139</v>
      </c>
      <c r="E33" s="104">
        <v>11260</v>
      </c>
      <c r="F33" s="105" t="s">
        <v>2343</v>
      </c>
      <c r="G33" s="105">
        <v>1</v>
      </c>
    </row>
    <row r="34" spans="1:7">
      <c r="A34" s="125" t="s">
        <v>225</v>
      </c>
      <c r="B34" s="125">
        <v>2030943</v>
      </c>
      <c r="C34" s="233" t="s">
        <v>1176</v>
      </c>
      <c r="D34" s="104">
        <v>10163</v>
      </c>
      <c r="E34" s="104">
        <v>11736</v>
      </c>
      <c r="F34" s="105" t="s">
        <v>2279</v>
      </c>
      <c r="G34" s="105">
        <v>1</v>
      </c>
    </row>
    <row r="35" spans="1:7">
      <c r="A35" s="125" t="s">
        <v>225</v>
      </c>
      <c r="B35" s="125">
        <v>2006236</v>
      </c>
      <c r="C35" s="233" t="s">
        <v>1176</v>
      </c>
      <c r="D35" s="104">
        <v>10189</v>
      </c>
      <c r="E35" s="104">
        <v>11498</v>
      </c>
      <c r="F35" s="105" t="s">
        <v>2343</v>
      </c>
      <c r="G35" s="105">
        <v>1</v>
      </c>
    </row>
    <row r="36" spans="1:7">
      <c r="A36" s="125" t="s">
        <v>225</v>
      </c>
      <c r="B36" s="125">
        <v>2040204</v>
      </c>
      <c r="C36" s="233" t="s">
        <v>1176</v>
      </c>
      <c r="D36" s="104">
        <v>10329</v>
      </c>
      <c r="E36" s="104">
        <v>11820</v>
      </c>
      <c r="F36" s="105" t="s">
        <v>2343</v>
      </c>
      <c r="G36" s="105">
        <v>1</v>
      </c>
    </row>
    <row r="37" spans="1:7">
      <c r="A37" s="125" t="s">
        <v>225</v>
      </c>
      <c r="B37" s="125">
        <v>2039587</v>
      </c>
      <c r="C37" s="233" t="s">
        <v>1176</v>
      </c>
      <c r="D37" s="104">
        <v>10883</v>
      </c>
      <c r="E37" s="104">
        <v>11813</v>
      </c>
      <c r="F37" s="105" t="s">
        <v>2343</v>
      </c>
      <c r="G37" s="105">
        <v>1</v>
      </c>
    </row>
    <row r="38" spans="1:7">
      <c r="A38" s="125" t="s">
        <v>225</v>
      </c>
      <c r="B38" s="125">
        <v>2043033</v>
      </c>
      <c r="C38" s="233" t="s">
        <v>1176</v>
      </c>
      <c r="D38" s="104">
        <v>11184</v>
      </c>
      <c r="E38" s="104">
        <v>11841</v>
      </c>
      <c r="F38" s="105" t="s">
        <v>2280</v>
      </c>
      <c r="G38" s="105">
        <v>1</v>
      </c>
    </row>
    <row r="39" spans="1:7">
      <c r="A39" s="125" t="s">
        <v>225</v>
      </c>
      <c r="B39" s="125">
        <v>2115574</v>
      </c>
      <c r="C39" s="233" t="s">
        <v>1176</v>
      </c>
      <c r="D39" s="103">
        <v>11207</v>
      </c>
      <c r="E39" s="103">
        <v>12534</v>
      </c>
      <c r="F39" s="105" t="s">
        <v>2337</v>
      </c>
      <c r="G39" s="105">
        <v>1</v>
      </c>
    </row>
    <row r="40" spans="1:7">
      <c r="A40" s="125" t="s">
        <v>225</v>
      </c>
      <c r="B40" s="125">
        <v>2082649</v>
      </c>
      <c r="C40" s="233" t="s">
        <v>1176</v>
      </c>
      <c r="D40" s="103">
        <v>11211</v>
      </c>
      <c r="E40" s="103">
        <v>12205</v>
      </c>
      <c r="F40" s="105" t="s">
        <v>2260</v>
      </c>
      <c r="G40" s="105">
        <v>1</v>
      </c>
    </row>
    <row r="41" spans="1:7">
      <c r="A41" s="125" t="s">
        <v>225</v>
      </c>
      <c r="B41" s="125">
        <v>2064650</v>
      </c>
      <c r="C41" s="233" t="s">
        <v>1176</v>
      </c>
      <c r="D41" s="104">
        <v>11253</v>
      </c>
      <c r="E41" s="104">
        <v>12037</v>
      </c>
      <c r="F41" s="105" t="s">
        <v>2343</v>
      </c>
      <c r="G41" s="105">
        <v>1</v>
      </c>
    </row>
    <row r="42" spans="1:7">
      <c r="A42" s="125" t="s">
        <v>225</v>
      </c>
      <c r="B42" s="125">
        <v>2132259</v>
      </c>
      <c r="C42" s="233" t="s">
        <v>1176</v>
      </c>
      <c r="D42" s="103">
        <v>11473</v>
      </c>
      <c r="E42" s="103">
        <v>12695</v>
      </c>
      <c r="F42" s="105" t="s">
        <v>2343</v>
      </c>
      <c r="G42" s="105">
        <v>1</v>
      </c>
    </row>
    <row r="43" spans="1:7">
      <c r="A43" s="125" t="s">
        <v>225</v>
      </c>
      <c r="B43" s="125">
        <v>2072742</v>
      </c>
      <c r="C43" s="233" t="s">
        <v>1176</v>
      </c>
      <c r="D43" s="104">
        <v>11628</v>
      </c>
      <c r="E43" s="104">
        <v>12114</v>
      </c>
      <c r="F43" s="105" t="s">
        <v>2343</v>
      </c>
      <c r="G43" s="105">
        <v>1</v>
      </c>
    </row>
    <row r="44" spans="1:7">
      <c r="A44" s="125" t="s">
        <v>225</v>
      </c>
      <c r="B44" s="125">
        <v>2122281</v>
      </c>
      <c r="C44" s="233" t="s">
        <v>1176</v>
      </c>
      <c r="D44" s="103">
        <v>11682</v>
      </c>
      <c r="E44" s="103">
        <v>12597</v>
      </c>
      <c r="F44" s="105" t="s">
        <v>2343</v>
      </c>
      <c r="G44" s="105">
        <v>1</v>
      </c>
    </row>
    <row r="45" spans="1:7">
      <c r="A45" s="125" t="s">
        <v>225</v>
      </c>
      <c r="B45" s="125">
        <v>2133129</v>
      </c>
      <c r="C45" s="233" t="s">
        <v>1176</v>
      </c>
      <c r="D45" s="103">
        <v>11921</v>
      </c>
      <c r="E45" s="103">
        <v>12702</v>
      </c>
      <c r="F45" s="105" t="s">
        <v>2338</v>
      </c>
      <c r="G45" s="105">
        <v>1</v>
      </c>
    </row>
    <row r="46" spans="1:7">
      <c r="A46" s="125" t="s">
        <v>225</v>
      </c>
      <c r="B46" s="125">
        <v>2261265</v>
      </c>
      <c r="C46" s="233" t="s">
        <v>1176</v>
      </c>
      <c r="D46" s="103">
        <v>12377</v>
      </c>
      <c r="E46" s="103">
        <v>13822</v>
      </c>
      <c r="F46" s="105" t="s">
        <v>2340</v>
      </c>
      <c r="G46" s="105">
        <v>1</v>
      </c>
    </row>
    <row r="47" spans="1:7">
      <c r="A47" s="125" t="s">
        <v>225</v>
      </c>
      <c r="B47" s="125">
        <v>2120889</v>
      </c>
      <c r="C47" s="233" t="s">
        <v>1176</v>
      </c>
      <c r="D47" s="103">
        <v>12466</v>
      </c>
      <c r="E47" s="103">
        <v>12583</v>
      </c>
      <c r="F47" s="105" t="s">
        <v>2343</v>
      </c>
      <c r="G47" s="105">
        <v>1</v>
      </c>
    </row>
    <row r="48" spans="1:7">
      <c r="A48" s="125" t="s">
        <v>225</v>
      </c>
      <c r="B48" s="125">
        <v>2268704</v>
      </c>
      <c r="C48" s="233" t="s">
        <v>1176</v>
      </c>
      <c r="D48" s="103">
        <v>12821</v>
      </c>
      <c r="E48" s="103">
        <v>13885</v>
      </c>
      <c r="F48" s="105" t="s">
        <v>2343</v>
      </c>
      <c r="G48" s="105">
        <v>1</v>
      </c>
    </row>
    <row r="49" spans="1:7">
      <c r="A49" s="125" t="s">
        <v>225</v>
      </c>
      <c r="B49" s="125">
        <v>2244392</v>
      </c>
      <c r="C49" s="233" t="s">
        <v>1176</v>
      </c>
      <c r="D49" s="103">
        <v>12899</v>
      </c>
      <c r="E49" s="103">
        <v>13668</v>
      </c>
      <c r="F49" s="105" t="s">
        <v>2343</v>
      </c>
      <c r="G49" s="105">
        <v>1</v>
      </c>
    </row>
    <row r="50" spans="1:7">
      <c r="C50" s="233"/>
      <c r="D50" s="103"/>
      <c r="E50" s="103"/>
      <c r="F50" s="105"/>
      <c r="G50" s="105"/>
    </row>
    <row r="51" spans="1:7">
      <c r="A51" s="125" t="s">
        <v>2118</v>
      </c>
      <c r="C51" s="233"/>
    </row>
    <row r="52" spans="1:7">
      <c r="A52" s="234" t="s">
        <v>225</v>
      </c>
      <c r="B52" s="234">
        <v>2071102</v>
      </c>
      <c r="C52" s="235" t="s">
        <v>1176</v>
      </c>
      <c r="D52" s="103">
        <v>7109</v>
      </c>
      <c r="E52" s="103">
        <v>12100</v>
      </c>
      <c r="F52" s="70" t="s">
        <v>2231</v>
      </c>
      <c r="G52" s="70">
        <v>2</v>
      </c>
    </row>
    <row r="53" spans="1:7">
      <c r="A53" s="234" t="s">
        <v>225</v>
      </c>
      <c r="B53" s="234">
        <v>1920903</v>
      </c>
      <c r="C53" s="235" t="s">
        <v>1176</v>
      </c>
      <c r="D53" s="103">
        <v>7858</v>
      </c>
      <c r="E53" s="103">
        <v>10805</v>
      </c>
      <c r="F53" s="70" t="s">
        <v>2105</v>
      </c>
      <c r="G53" s="70">
        <v>2</v>
      </c>
    </row>
    <row r="54" spans="1:7">
      <c r="A54" s="234" t="s">
        <v>225</v>
      </c>
      <c r="B54" s="234">
        <v>1836570</v>
      </c>
      <c r="C54" s="235" t="s">
        <v>1176</v>
      </c>
      <c r="D54" s="103">
        <v>7862</v>
      </c>
      <c r="E54" s="103">
        <v>10210</v>
      </c>
      <c r="F54" s="70" t="s">
        <v>2240</v>
      </c>
      <c r="G54" s="70">
        <v>2</v>
      </c>
    </row>
    <row r="55" spans="1:7">
      <c r="A55" s="234" t="s">
        <v>225</v>
      </c>
      <c r="B55" s="234">
        <v>1837375</v>
      </c>
      <c r="C55" s="235" t="s">
        <v>1176</v>
      </c>
      <c r="D55" s="103">
        <v>7943</v>
      </c>
      <c r="E55" s="103">
        <v>10217</v>
      </c>
      <c r="F55" s="70" t="s">
        <v>2241</v>
      </c>
      <c r="G55" s="70">
        <v>2</v>
      </c>
    </row>
    <row r="56" spans="1:7">
      <c r="A56" s="234" t="s">
        <v>225</v>
      </c>
      <c r="B56" s="234">
        <v>1878169</v>
      </c>
      <c r="C56" s="235" t="s">
        <v>1176</v>
      </c>
      <c r="D56" s="103">
        <v>8135</v>
      </c>
      <c r="E56" s="103">
        <v>10490</v>
      </c>
      <c r="F56" s="70" t="s">
        <v>2243</v>
      </c>
      <c r="G56" s="70">
        <v>2</v>
      </c>
    </row>
    <row r="57" spans="1:7">
      <c r="A57" s="234" t="s">
        <v>225</v>
      </c>
      <c r="B57" s="234">
        <v>1868962</v>
      </c>
      <c r="C57" s="235" t="s">
        <v>1176</v>
      </c>
      <c r="D57" s="103">
        <v>8217</v>
      </c>
      <c r="E57" s="103">
        <v>10434</v>
      </c>
      <c r="F57" s="70" t="s">
        <v>2112</v>
      </c>
      <c r="G57" s="70">
        <v>2</v>
      </c>
    </row>
    <row r="58" spans="1:7">
      <c r="A58" s="234" t="s">
        <v>225</v>
      </c>
      <c r="B58" s="234">
        <v>1878094</v>
      </c>
      <c r="C58" s="235" t="s">
        <v>1176</v>
      </c>
      <c r="D58" s="103">
        <v>8386</v>
      </c>
      <c r="E58" s="103">
        <v>10490</v>
      </c>
      <c r="F58" s="70" t="s">
        <v>2112</v>
      </c>
      <c r="G58" s="70">
        <v>2</v>
      </c>
    </row>
    <row r="59" spans="1:7">
      <c r="A59" s="234" t="s">
        <v>225</v>
      </c>
      <c r="B59" s="234">
        <v>1929509</v>
      </c>
      <c r="C59" s="235" t="s">
        <v>1176</v>
      </c>
      <c r="D59" s="103">
        <v>8653</v>
      </c>
      <c r="E59" s="103">
        <v>10875</v>
      </c>
      <c r="F59" s="70" t="s">
        <v>2106</v>
      </c>
      <c r="G59" s="70">
        <v>2</v>
      </c>
    </row>
    <row r="60" spans="1:7">
      <c r="A60" s="234" t="s">
        <v>225</v>
      </c>
      <c r="B60" s="234">
        <v>2068624</v>
      </c>
      <c r="C60" s="235" t="s">
        <v>1176</v>
      </c>
      <c r="D60" s="103">
        <v>8837</v>
      </c>
      <c r="E60" s="103">
        <v>12072</v>
      </c>
      <c r="F60" s="70" t="s">
        <v>2116</v>
      </c>
      <c r="G60" s="70">
        <v>2</v>
      </c>
    </row>
    <row r="61" spans="1:7">
      <c r="A61" s="234" t="s">
        <v>225</v>
      </c>
      <c r="B61" s="234">
        <v>1948964</v>
      </c>
      <c r="C61" s="235" t="s">
        <v>1176</v>
      </c>
      <c r="D61" s="103">
        <v>8897</v>
      </c>
      <c r="E61" s="103">
        <v>11015</v>
      </c>
      <c r="F61" s="70" t="s">
        <v>2113</v>
      </c>
      <c r="G61" s="70">
        <v>2</v>
      </c>
    </row>
    <row r="62" spans="1:7">
      <c r="A62" s="234" t="s">
        <v>225</v>
      </c>
      <c r="B62" s="234">
        <v>1971626</v>
      </c>
      <c r="C62" s="235" t="s">
        <v>1176</v>
      </c>
      <c r="D62" s="103">
        <v>9055</v>
      </c>
      <c r="E62" s="103">
        <v>11197</v>
      </c>
      <c r="F62" s="70" t="s">
        <v>2115</v>
      </c>
      <c r="G62" s="70">
        <v>2</v>
      </c>
    </row>
    <row r="63" spans="1:7">
      <c r="A63" s="234" t="s">
        <v>225</v>
      </c>
      <c r="B63" s="234">
        <v>1965540</v>
      </c>
      <c r="C63" s="235" t="s">
        <v>1176</v>
      </c>
      <c r="D63" s="103">
        <v>9135</v>
      </c>
      <c r="E63" s="103">
        <v>11141</v>
      </c>
      <c r="F63" s="70" t="s">
        <v>2112</v>
      </c>
      <c r="G63" s="70">
        <v>2</v>
      </c>
    </row>
    <row r="64" spans="1:7">
      <c r="A64" s="234" t="s">
        <v>225</v>
      </c>
      <c r="B64" s="234">
        <v>2163783</v>
      </c>
      <c r="C64" s="235" t="s">
        <v>1176</v>
      </c>
      <c r="D64" s="103">
        <v>9135</v>
      </c>
      <c r="E64" s="103">
        <v>12961</v>
      </c>
      <c r="F64" s="70" t="s">
        <v>2134</v>
      </c>
      <c r="G64" s="70">
        <v>2</v>
      </c>
    </row>
    <row r="65" spans="1:7">
      <c r="A65" s="234" t="s">
        <v>225</v>
      </c>
      <c r="B65" s="234">
        <v>1884311</v>
      </c>
      <c r="C65" s="235" t="s">
        <v>1176</v>
      </c>
      <c r="D65" s="103">
        <v>9171</v>
      </c>
      <c r="E65" s="103">
        <v>10525</v>
      </c>
      <c r="F65" s="70" t="s">
        <v>2104</v>
      </c>
      <c r="G65" s="70">
        <v>2</v>
      </c>
    </row>
    <row r="66" spans="1:7">
      <c r="A66" s="234" t="s">
        <v>225</v>
      </c>
      <c r="B66" s="234">
        <v>2016004</v>
      </c>
      <c r="C66" s="235" t="s">
        <v>1176</v>
      </c>
      <c r="D66" s="103">
        <v>9345</v>
      </c>
      <c r="E66" s="103">
        <v>11596</v>
      </c>
      <c r="F66" s="70" t="s">
        <v>2117</v>
      </c>
      <c r="G66" s="70">
        <v>2</v>
      </c>
    </row>
    <row r="67" spans="1:7">
      <c r="A67" s="234" t="s">
        <v>225</v>
      </c>
      <c r="B67" s="234">
        <v>2010530</v>
      </c>
      <c r="C67" s="235" t="s">
        <v>1176</v>
      </c>
      <c r="D67" s="103">
        <v>9624</v>
      </c>
      <c r="E67" s="103">
        <v>11540</v>
      </c>
      <c r="F67" s="70" t="s">
        <v>2116</v>
      </c>
      <c r="G67" s="70">
        <v>2</v>
      </c>
    </row>
    <row r="68" spans="1:7">
      <c r="A68" s="234" t="s">
        <v>225</v>
      </c>
      <c r="B68" s="234">
        <v>2016247</v>
      </c>
      <c r="C68" s="235" t="s">
        <v>1176</v>
      </c>
      <c r="D68" s="103">
        <v>9646</v>
      </c>
      <c r="E68" s="103">
        <v>11596</v>
      </c>
      <c r="F68" s="70" t="s">
        <v>2393</v>
      </c>
      <c r="G68" s="70">
        <v>2</v>
      </c>
    </row>
    <row r="69" spans="1:7">
      <c r="A69" s="234" t="s">
        <v>225</v>
      </c>
      <c r="B69" s="234">
        <v>2050990</v>
      </c>
      <c r="C69" s="235" t="s">
        <v>1176</v>
      </c>
      <c r="D69" s="103">
        <v>9661</v>
      </c>
      <c r="E69" s="103">
        <v>11911</v>
      </c>
      <c r="F69" s="70" t="s">
        <v>2116</v>
      </c>
      <c r="G69" s="70">
        <v>2</v>
      </c>
    </row>
    <row r="70" spans="1:7">
      <c r="A70" s="234" t="s">
        <v>225</v>
      </c>
      <c r="B70" s="234">
        <v>2050991</v>
      </c>
      <c r="C70" s="235" t="s">
        <v>1176</v>
      </c>
      <c r="D70" s="103">
        <v>9661</v>
      </c>
      <c r="E70" s="103">
        <v>11911</v>
      </c>
      <c r="F70" s="70" t="s">
        <v>2116</v>
      </c>
      <c r="G70" s="70">
        <v>2</v>
      </c>
    </row>
    <row r="71" spans="1:7">
      <c r="A71" s="234" t="s">
        <v>225</v>
      </c>
      <c r="B71" s="234">
        <v>2025670</v>
      </c>
      <c r="C71" s="235" t="s">
        <v>1176</v>
      </c>
      <c r="D71" s="103">
        <v>9745</v>
      </c>
      <c r="E71" s="103">
        <v>11680</v>
      </c>
      <c r="F71" s="70" t="s">
        <v>2223</v>
      </c>
      <c r="G71" s="70">
        <v>2</v>
      </c>
    </row>
    <row r="72" spans="1:7">
      <c r="A72" s="125" t="s">
        <v>225</v>
      </c>
      <c r="B72" s="125">
        <v>2060745</v>
      </c>
      <c r="C72" s="233" t="s">
        <v>1176</v>
      </c>
      <c r="D72" s="103">
        <v>10100</v>
      </c>
      <c r="E72" s="103">
        <v>12002</v>
      </c>
      <c r="F72" s="70" t="s">
        <v>2223</v>
      </c>
      <c r="G72" s="70">
        <v>2</v>
      </c>
    </row>
    <row r="73" spans="1:7">
      <c r="A73" s="125" t="s">
        <v>225</v>
      </c>
      <c r="B73" s="125">
        <v>2250239</v>
      </c>
      <c r="C73" s="233" t="s">
        <v>1176</v>
      </c>
      <c r="D73" s="103">
        <v>10205</v>
      </c>
      <c r="E73" s="103">
        <v>13717</v>
      </c>
      <c r="F73" s="70" t="s">
        <v>2135</v>
      </c>
      <c r="G73" s="70">
        <v>2</v>
      </c>
    </row>
    <row r="74" spans="1:7">
      <c r="A74" s="125" t="s">
        <v>225</v>
      </c>
      <c r="B74" s="125">
        <v>1958984</v>
      </c>
      <c r="C74" s="233" t="s">
        <v>1176</v>
      </c>
      <c r="D74" s="103">
        <v>10282</v>
      </c>
      <c r="E74" s="103">
        <v>11092</v>
      </c>
      <c r="F74" s="70" t="s">
        <v>2114</v>
      </c>
      <c r="G74" s="70">
        <v>2</v>
      </c>
    </row>
    <row r="75" spans="1:7">
      <c r="A75" s="125" t="s">
        <v>225</v>
      </c>
      <c r="B75" s="125">
        <v>2019297</v>
      </c>
      <c r="C75" s="233" t="s">
        <v>1176</v>
      </c>
      <c r="D75" s="103">
        <v>10406</v>
      </c>
      <c r="E75" s="103">
        <v>11624</v>
      </c>
      <c r="F75" s="70" t="s">
        <v>2394</v>
      </c>
      <c r="G75" s="70">
        <v>2</v>
      </c>
    </row>
    <row r="76" spans="1:7">
      <c r="A76" s="125" t="s">
        <v>225</v>
      </c>
      <c r="B76" s="125">
        <v>2147402</v>
      </c>
      <c r="C76" s="233" t="s">
        <v>1176</v>
      </c>
      <c r="D76" s="103">
        <v>10553</v>
      </c>
      <c r="E76" s="103">
        <v>12828</v>
      </c>
      <c r="F76" s="70" t="s">
        <v>2133</v>
      </c>
      <c r="G76" s="70">
        <v>2</v>
      </c>
    </row>
    <row r="77" spans="1:7">
      <c r="A77" s="125" t="s">
        <v>225</v>
      </c>
      <c r="B77" s="125">
        <v>2075019</v>
      </c>
      <c r="C77" s="233" t="s">
        <v>1176</v>
      </c>
      <c r="D77" s="103">
        <v>10563</v>
      </c>
      <c r="E77" s="103">
        <v>12142</v>
      </c>
      <c r="F77" s="70" t="s">
        <v>2232</v>
      </c>
      <c r="G77" s="70">
        <v>2</v>
      </c>
    </row>
    <row r="78" spans="1:7">
      <c r="A78" s="125" t="s">
        <v>225</v>
      </c>
      <c r="B78" s="125">
        <v>2067169</v>
      </c>
      <c r="C78" s="233" t="s">
        <v>1176</v>
      </c>
      <c r="D78" s="103">
        <v>10619</v>
      </c>
      <c r="E78" s="103">
        <v>12065</v>
      </c>
      <c r="F78" s="70" t="s">
        <v>2114</v>
      </c>
      <c r="G78" s="70">
        <v>2</v>
      </c>
    </row>
    <row r="79" spans="1:7">
      <c r="A79" s="125" t="s">
        <v>225</v>
      </c>
      <c r="B79" s="125">
        <v>1943087</v>
      </c>
      <c r="C79" s="233" t="s">
        <v>1176</v>
      </c>
      <c r="D79" s="103">
        <v>10737</v>
      </c>
      <c r="E79" s="103">
        <v>10966</v>
      </c>
      <c r="F79" s="70" t="s">
        <v>2108</v>
      </c>
      <c r="G79" s="70">
        <v>2</v>
      </c>
    </row>
    <row r="80" spans="1:7">
      <c r="A80" s="125" t="s">
        <v>225</v>
      </c>
      <c r="B80" s="125">
        <v>2125869</v>
      </c>
      <c r="C80" s="233" t="s">
        <v>1176</v>
      </c>
      <c r="D80" s="103">
        <v>10791</v>
      </c>
      <c r="E80" s="103">
        <v>12639</v>
      </c>
      <c r="F80" s="70" t="s">
        <v>2116</v>
      </c>
      <c r="G80" s="70">
        <v>2</v>
      </c>
    </row>
    <row r="81" spans="1:8">
      <c r="A81" s="125" t="s">
        <v>225</v>
      </c>
      <c r="B81" s="125">
        <v>2098922</v>
      </c>
      <c r="C81" s="233" t="s">
        <v>1176</v>
      </c>
      <c r="D81" s="103">
        <v>10965</v>
      </c>
      <c r="E81" s="103">
        <v>12366</v>
      </c>
      <c r="F81" s="70" t="s">
        <v>2107</v>
      </c>
      <c r="G81" s="70">
        <v>2</v>
      </c>
    </row>
    <row r="82" spans="1:8">
      <c r="A82" s="125" t="s">
        <v>225</v>
      </c>
      <c r="B82" s="125">
        <v>1943086</v>
      </c>
      <c r="C82" s="233" t="s">
        <v>1176</v>
      </c>
      <c r="D82" s="103">
        <v>10966</v>
      </c>
      <c r="E82" s="103">
        <v>10966</v>
      </c>
      <c r="F82" s="70" t="s">
        <v>2107</v>
      </c>
      <c r="G82" s="70">
        <v>2</v>
      </c>
    </row>
    <row r="83" spans="1:8">
      <c r="A83" s="125" t="s">
        <v>225</v>
      </c>
      <c r="B83" s="125">
        <v>2042421</v>
      </c>
      <c r="C83" s="233" t="s">
        <v>1176</v>
      </c>
      <c r="D83" s="103">
        <v>11303</v>
      </c>
      <c r="E83" s="103">
        <v>11834</v>
      </c>
      <c r="F83" s="70" t="s">
        <v>2116</v>
      </c>
      <c r="G83" s="70">
        <v>2</v>
      </c>
    </row>
    <row r="84" spans="1:8">
      <c r="A84" s="125" t="s">
        <v>225</v>
      </c>
      <c r="B84" s="125">
        <v>2118546</v>
      </c>
      <c r="C84" s="233" t="s">
        <v>1176</v>
      </c>
      <c r="D84" s="103">
        <v>11509</v>
      </c>
      <c r="E84" s="103">
        <v>12562</v>
      </c>
      <c r="F84" s="70" t="s">
        <v>2132</v>
      </c>
      <c r="G84" s="70">
        <v>2</v>
      </c>
    </row>
    <row r="85" spans="1:8">
      <c r="A85" s="125" t="s">
        <v>225</v>
      </c>
      <c r="B85" s="125">
        <v>2093114</v>
      </c>
      <c r="C85" s="233" t="s">
        <v>1176</v>
      </c>
      <c r="D85" s="103">
        <v>11565</v>
      </c>
      <c r="E85" s="103">
        <v>12310</v>
      </c>
      <c r="F85" s="70" t="s">
        <v>2131</v>
      </c>
      <c r="G85" s="70">
        <v>2</v>
      </c>
    </row>
    <row r="86" spans="1:8">
      <c r="A86" s="125" t="s">
        <v>225</v>
      </c>
      <c r="B86" s="125">
        <v>2240745</v>
      </c>
      <c r="C86" s="233" t="s">
        <v>1176</v>
      </c>
      <c r="D86" s="103">
        <v>11908</v>
      </c>
      <c r="E86" s="103">
        <v>13640</v>
      </c>
      <c r="F86" s="70" t="s">
        <v>2116</v>
      </c>
      <c r="G86" s="70">
        <v>2</v>
      </c>
    </row>
    <row r="87" spans="1:8">
      <c r="A87" s="125" t="s">
        <v>225</v>
      </c>
      <c r="B87" s="125">
        <v>2254958</v>
      </c>
      <c r="C87" s="233" t="s">
        <v>1176</v>
      </c>
      <c r="D87" s="103">
        <v>12477</v>
      </c>
      <c r="E87" s="103">
        <v>13759</v>
      </c>
      <c r="F87" s="70" t="s">
        <v>2114</v>
      </c>
      <c r="G87" s="70">
        <v>2</v>
      </c>
    </row>
    <row r="88" spans="1:8">
      <c r="A88" s="125" t="s">
        <v>225</v>
      </c>
      <c r="B88" s="125">
        <v>2197544</v>
      </c>
      <c r="C88" s="233" t="s">
        <v>1176</v>
      </c>
      <c r="D88" s="103">
        <v>12635</v>
      </c>
      <c r="E88" s="103">
        <v>13255</v>
      </c>
      <c r="F88" s="70" t="s">
        <v>2116</v>
      </c>
      <c r="G88" s="70">
        <v>2</v>
      </c>
    </row>
    <row r="89" spans="1:8">
      <c r="A89" s="125" t="s">
        <v>225</v>
      </c>
      <c r="B89" s="125">
        <v>2237402</v>
      </c>
      <c r="C89" s="233" t="s">
        <v>1176</v>
      </c>
      <c r="D89" s="103">
        <v>12880</v>
      </c>
      <c r="E89" s="103">
        <v>13612</v>
      </c>
      <c r="F89" s="70" t="s">
        <v>2114</v>
      </c>
      <c r="G89" s="70">
        <v>2</v>
      </c>
    </row>
    <row r="90" spans="1:8">
      <c r="A90" s="125" t="s">
        <v>225</v>
      </c>
      <c r="B90" s="125">
        <v>2208832</v>
      </c>
      <c r="C90" s="233" t="s">
        <v>1176</v>
      </c>
      <c r="D90" s="103">
        <v>12905</v>
      </c>
      <c r="E90" s="103">
        <v>13353</v>
      </c>
      <c r="F90" s="70" t="s">
        <v>2114</v>
      </c>
      <c r="G90" s="70">
        <v>2</v>
      </c>
    </row>
    <row r="91" spans="1:8">
      <c r="A91" s="125" t="s">
        <v>225</v>
      </c>
      <c r="B91" s="125">
        <v>2310201</v>
      </c>
      <c r="C91" s="233" t="s">
        <v>1176</v>
      </c>
      <c r="D91" s="103">
        <v>13049</v>
      </c>
      <c r="E91" s="103">
        <v>14284</v>
      </c>
      <c r="F91" s="70" t="s">
        <v>2136</v>
      </c>
      <c r="G91" s="70">
        <v>2</v>
      </c>
    </row>
    <row r="92" spans="1:8">
      <c r="A92" s="125" t="s">
        <v>225</v>
      </c>
      <c r="B92" s="125">
        <v>2665328</v>
      </c>
      <c r="C92" s="233" t="s">
        <v>1176</v>
      </c>
      <c r="D92" s="103">
        <v>15909</v>
      </c>
      <c r="E92" s="103">
        <v>18267</v>
      </c>
      <c r="F92" s="70" t="s">
        <v>1008</v>
      </c>
      <c r="G92" s="70">
        <v>2</v>
      </c>
      <c r="H92" s="70" t="s">
        <v>915</v>
      </c>
    </row>
    <row r="93" spans="1:8">
      <c r="A93" s="125" t="s">
        <v>225</v>
      </c>
      <c r="B93" s="125">
        <v>2678863</v>
      </c>
      <c r="C93" s="233" t="s">
        <v>1176</v>
      </c>
      <c r="D93" s="103">
        <v>15909</v>
      </c>
      <c r="E93" s="103">
        <v>18400</v>
      </c>
      <c r="F93" s="70" t="s">
        <v>2116</v>
      </c>
      <c r="G93" s="70">
        <v>2</v>
      </c>
      <c r="H93" s="70" t="s">
        <v>985</v>
      </c>
    </row>
    <row r="94" spans="1:8">
      <c r="A94" s="125" t="s">
        <v>225</v>
      </c>
      <c r="B94" s="125">
        <v>2615074</v>
      </c>
      <c r="C94" s="233" t="s">
        <v>1176</v>
      </c>
      <c r="D94" s="103">
        <v>15919</v>
      </c>
      <c r="E94" s="103">
        <v>17826</v>
      </c>
      <c r="F94" s="70" t="s">
        <v>2137</v>
      </c>
      <c r="G94" s="70">
        <v>2</v>
      </c>
      <c r="H94" s="70" t="s">
        <v>1009</v>
      </c>
    </row>
    <row r="95" spans="1:8">
      <c r="C95" s="233"/>
      <c r="D95" s="103"/>
      <c r="E95" s="103"/>
    </row>
    <row r="96" spans="1:8">
      <c r="A96" s="125" t="s">
        <v>2128</v>
      </c>
      <c r="C96" s="233"/>
    </row>
    <row r="97" spans="1:7">
      <c r="A97" s="234" t="s">
        <v>225</v>
      </c>
      <c r="B97" s="234">
        <v>2093305</v>
      </c>
      <c r="C97" s="235" t="s">
        <v>1176</v>
      </c>
      <c r="D97" s="103">
        <v>7255</v>
      </c>
      <c r="E97" s="103">
        <v>12310</v>
      </c>
      <c r="F97" s="70" t="s">
        <v>2438</v>
      </c>
      <c r="G97" s="70">
        <v>3</v>
      </c>
    </row>
    <row r="98" spans="1:7">
      <c r="A98" s="234" t="s">
        <v>225</v>
      </c>
      <c r="B98" s="234">
        <v>1819881</v>
      </c>
      <c r="C98" s="235" t="s">
        <v>1176</v>
      </c>
      <c r="D98" s="103">
        <v>8422</v>
      </c>
      <c r="E98" s="103">
        <v>10091</v>
      </c>
      <c r="F98" s="70" t="s">
        <v>2138</v>
      </c>
      <c r="G98" s="70">
        <v>3</v>
      </c>
    </row>
    <row r="99" spans="1:7">
      <c r="A99" s="234" t="s">
        <v>225</v>
      </c>
      <c r="B99" s="234">
        <v>1905691</v>
      </c>
      <c r="C99" s="235" t="s">
        <v>1176</v>
      </c>
      <c r="D99" s="103">
        <v>8440</v>
      </c>
      <c r="E99" s="103">
        <v>10707</v>
      </c>
      <c r="F99" s="70" t="s">
        <v>2138</v>
      </c>
      <c r="G99" s="70">
        <v>3</v>
      </c>
    </row>
    <row r="100" spans="1:7">
      <c r="A100" s="234" t="s">
        <v>225</v>
      </c>
      <c r="B100" s="234">
        <v>1819882</v>
      </c>
      <c r="C100" s="235" t="s">
        <v>1176</v>
      </c>
      <c r="D100" s="103">
        <v>8630</v>
      </c>
      <c r="E100" s="103">
        <v>10091</v>
      </c>
      <c r="F100" s="70" t="s">
        <v>2138</v>
      </c>
      <c r="G100" s="70">
        <v>3</v>
      </c>
    </row>
    <row r="101" spans="1:7">
      <c r="A101" s="234" t="s">
        <v>225</v>
      </c>
      <c r="B101" s="234">
        <v>1853882</v>
      </c>
      <c r="C101" s="235" t="s">
        <v>1176</v>
      </c>
      <c r="D101" s="103">
        <v>8771</v>
      </c>
      <c r="E101" s="103">
        <v>10329</v>
      </c>
      <c r="F101" s="70" t="s">
        <v>2264</v>
      </c>
      <c r="G101" s="70">
        <v>3</v>
      </c>
    </row>
    <row r="102" spans="1:7">
      <c r="A102" s="234" t="s">
        <v>225</v>
      </c>
      <c r="B102" s="234">
        <v>1853883</v>
      </c>
      <c r="C102" s="235" t="s">
        <v>1176</v>
      </c>
      <c r="D102" s="103">
        <v>8771</v>
      </c>
      <c r="E102" s="103">
        <v>10329</v>
      </c>
      <c r="F102" s="70" t="s">
        <v>2264</v>
      </c>
      <c r="G102" s="70">
        <v>3</v>
      </c>
    </row>
    <row r="103" spans="1:7">
      <c r="A103" s="234" t="s">
        <v>225</v>
      </c>
      <c r="B103" s="234">
        <v>1833798</v>
      </c>
      <c r="C103" s="235" t="s">
        <v>1176</v>
      </c>
      <c r="D103" s="103">
        <v>8904</v>
      </c>
      <c r="E103" s="103">
        <v>10189</v>
      </c>
      <c r="F103" s="70" t="s">
        <v>2261</v>
      </c>
      <c r="G103" s="70">
        <v>3</v>
      </c>
    </row>
    <row r="104" spans="1:7">
      <c r="A104" s="234" t="s">
        <v>225</v>
      </c>
      <c r="B104" s="234">
        <v>1933312</v>
      </c>
      <c r="C104" s="235" t="s">
        <v>1176</v>
      </c>
      <c r="D104" s="103">
        <v>8943</v>
      </c>
      <c r="E104" s="103">
        <v>10896</v>
      </c>
      <c r="F104" s="70" t="s">
        <v>2201</v>
      </c>
      <c r="G104" s="70">
        <v>3</v>
      </c>
    </row>
    <row r="105" spans="1:7">
      <c r="A105" s="234" t="s">
        <v>225</v>
      </c>
      <c r="B105" s="234">
        <v>1902487</v>
      </c>
      <c r="C105" s="235" t="s">
        <v>1176</v>
      </c>
      <c r="D105" s="103">
        <v>8972</v>
      </c>
      <c r="E105" s="103">
        <v>10672</v>
      </c>
      <c r="F105" s="70" t="s">
        <v>2199</v>
      </c>
      <c r="G105" s="70">
        <v>3</v>
      </c>
    </row>
    <row r="106" spans="1:7">
      <c r="A106" s="234" t="s">
        <v>225</v>
      </c>
      <c r="B106" s="234">
        <v>1896841</v>
      </c>
      <c r="C106" s="235" t="s">
        <v>1176</v>
      </c>
      <c r="D106" s="103">
        <v>8986</v>
      </c>
      <c r="E106" s="103">
        <v>10630</v>
      </c>
      <c r="F106" s="70" t="s">
        <v>2138</v>
      </c>
      <c r="G106" s="70">
        <v>3</v>
      </c>
    </row>
    <row r="107" spans="1:7">
      <c r="A107" s="234" t="s">
        <v>225</v>
      </c>
      <c r="B107" s="234">
        <v>1933313</v>
      </c>
      <c r="C107" s="235" t="s">
        <v>1176</v>
      </c>
      <c r="D107" s="103">
        <v>9000</v>
      </c>
      <c r="E107" s="103">
        <v>10896</v>
      </c>
      <c r="F107" s="70" t="s">
        <v>2201</v>
      </c>
      <c r="G107" s="70">
        <v>3</v>
      </c>
    </row>
    <row r="108" spans="1:7">
      <c r="A108" s="234" t="s">
        <v>225</v>
      </c>
      <c r="B108" s="234">
        <v>1933347</v>
      </c>
      <c r="C108" s="235" t="s">
        <v>1176</v>
      </c>
      <c r="D108" s="103">
        <v>9043</v>
      </c>
      <c r="E108" s="103">
        <v>10896</v>
      </c>
      <c r="F108" s="70" t="s">
        <v>2261</v>
      </c>
      <c r="G108" s="70">
        <v>3</v>
      </c>
    </row>
    <row r="109" spans="1:7">
      <c r="A109" s="234" t="s">
        <v>225</v>
      </c>
      <c r="B109" s="234">
        <v>1978233</v>
      </c>
      <c r="C109" s="235" t="s">
        <v>1176</v>
      </c>
      <c r="D109" s="103">
        <v>9043</v>
      </c>
      <c r="E109" s="103">
        <v>11253</v>
      </c>
      <c r="F109" s="70" t="s">
        <v>2261</v>
      </c>
      <c r="G109" s="70">
        <v>3</v>
      </c>
    </row>
    <row r="110" spans="1:7">
      <c r="A110" s="234" t="s">
        <v>225</v>
      </c>
      <c r="B110" s="234">
        <v>2089052</v>
      </c>
      <c r="C110" s="235" t="s">
        <v>1176</v>
      </c>
      <c r="D110" s="103">
        <v>9147</v>
      </c>
      <c r="E110" s="103">
        <v>12268</v>
      </c>
      <c r="F110" s="70" t="s">
        <v>2199</v>
      </c>
      <c r="G110" s="70">
        <v>3</v>
      </c>
    </row>
    <row r="111" spans="1:7">
      <c r="A111" s="234" t="s">
        <v>225</v>
      </c>
      <c r="B111" s="234">
        <v>2133405</v>
      </c>
      <c r="C111" s="235" t="s">
        <v>1176</v>
      </c>
      <c r="D111" s="103">
        <v>9147</v>
      </c>
      <c r="E111" s="103">
        <v>12709</v>
      </c>
      <c r="F111" s="70" t="s">
        <v>2441</v>
      </c>
      <c r="G111" s="70">
        <v>3</v>
      </c>
    </row>
    <row r="112" spans="1:7">
      <c r="A112" s="234" t="s">
        <v>225</v>
      </c>
      <c r="B112" s="234">
        <v>1835922</v>
      </c>
      <c r="C112" s="235" t="s">
        <v>1176</v>
      </c>
      <c r="D112" s="103">
        <v>9204</v>
      </c>
      <c r="E112" s="103">
        <v>10203</v>
      </c>
      <c r="F112" s="70" t="s">
        <v>2263</v>
      </c>
      <c r="G112" s="70">
        <v>3</v>
      </c>
    </row>
    <row r="113" spans="1:7">
      <c r="A113" s="234" t="s">
        <v>225</v>
      </c>
      <c r="B113" s="234">
        <v>1823731</v>
      </c>
      <c r="C113" s="235" t="s">
        <v>1176</v>
      </c>
      <c r="D113" s="103">
        <v>9343</v>
      </c>
      <c r="E113" s="103">
        <v>10119</v>
      </c>
      <c r="F113" s="70" t="s">
        <v>2138</v>
      </c>
      <c r="G113" s="70">
        <v>3</v>
      </c>
    </row>
    <row r="114" spans="1:7">
      <c r="A114" s="234" t="s">
        <v>225</v>
      </c>
      <c r="B114" s="234">
        <v>2004769</v>
      </c>
      <c r="C114" s="235" t="s">
        <v>1176</v>
      </c>
      <c r="D114" s="103">
        <v>9380</v>
      </c>
      <c r="E114" s="103">
        <v>11484</v>
      </c>
      <c r="F114" s="70" t="s">
        <v>2261</v>
      </c>
      <c r="G114" s="70">
        <v>3</v>
      </c>
    </row>
    <row r="115" spans="1:7">
      <c r="A115" s="234" t="s">
        <v>225</v>
      </c>
      <c r="B115" s="234">
        <v>1895396</v>
      </c>
      <c r="C115" s="235" t="s">
        <v>1176</v>
      </c>
      <c r="D115" s="103">
        <v>9418</v>
      </c>
      <c r="E115" s="103">
        <v>10616</v>
      </c>
      <c r="F115" s="70" t="s">
        <v>2066</v>
      </c>
      <c r="G115" s="70">
        <v>3</v>
      </c>
    </row>
    <row r="116" spans="1:7">
      <c r="A116" s="234" t="s">
        <v>225</v>
      </c>
      <c r="B116" s="234">
        <v>1892551</v>
      </c>
      <c r="C116" s="235" t="s">
        <v>1176</v>
      </c>
      <c r="D116" s="103">
        <v>9457</v>
      </c>
      <c r="E116" s="103">
        <v>10588</v>
      </c>
      <c r="F116" s="70" t="s">
        <v>2265</v>
      </c>
      <c r="G116" s="70">
        <v>3</v>
      </c>
    </row>
    <row r="117" spans="1:7">
      <c r="A117" s="234" t="s">
        <v>225</v>
      </c>
      <c r="B117" s="234">
        <v>1970393</v>
      </c>
      <c r="C117" s="235" t="s">
        <v>1176</v>
      </c>
      <c r="D117" s="103">
        <v>9457</v>
      </c>
      <c r="E117" s="103">
        <v>11183</v>
      </c>
      <c r="F117" s="70" t="s">
        <v>2266</v>
      </c>
      <c r="G117" s="70">
        <v>3</v>
      </c>
    </row>
    <row r="118" spans="1:7">
      <c r="A118" s="234" t="s">
        <v>225</v>
      </c>
      <c r="B118" s="234">
        <v>2048516</v>
      </c>
      <c r="C118" s="235" t="s">
        <v>1176</v>
      </c>
      <c r="D118" s="103">
        <v>9457</v>
      </c>
      <c r="E118" s="103">
        <v>11890</v>
      </c>
      <c r="F118" s="70" t="s">
        <v>2266</v>
      </c>
      <c r="G118" s="70">
        <v>3</v>
      </c>
    </row>
    <row r="119" spans="1:7">
      <c r="A119" s="234" t="s">
        <v>225</v>
      </c>
      <c r="B119" s="234">
        <v>1822737</v>
      </c>
      <c r="C119" s="235" t="s">
        <v>1176</v>
      </c>
      <c r="D119" s="103">
        <v>9472</v>
      </c>
      <c r="E119" s="103">
        <v>10112</v>
      </c>
      <c r="F119" s="70" t="s">
        <v>2139</v>
      </c>
      <c r="G119" s="70">
        <v>3</v>
      </c>
    </row>
    <row r="120" spans="1:7">
      <c r="A120" s="234" t="s">
        <v>225</v>
      </c>
      <c r="B120" s="234">
        <v>1822738</v>
      </c>
      <c r="C120" s="235" t="s">
        <v>1176</v>
      </c>
      <c r="D120" s="103">
        <v>9472</v>
      </c>
      <c r="E120" s="103">
        <v>10112</v>
      </c>
      <c r="F120" s="70" t="s">
        <v>2139</v>
      </c>
      <c r="G120" s="70">
        <v>3</v>
      </c>
    </row>
    <row r="121" spans="1:7">
      <c r="A121" s="234" t="s">
        <v>225</v>
      </c>
      <c r="B121" s="234">
        <v>1888075</v>
      </c>
      <c r="C121" s="235" t="s">
        <v>1176</v>
      </c>
      <c r="D121" s="103">
        <v>9544</v>
      </c>
      <c r="E121" s="103">
        <v>10546</v>
      </c>
      <c r="F121" s="70" t="s">
        <v>2138</v>
      </c>
      <c r="G121" s="70">
        <v>3</v>
      </c>
    </row>
    <row r="122" spans="1:7">
      <c r="A122" s="234" t="s">
        <v>225</v>
      </c>
      <c r="B122" s="234">
        <v>2053163</v>
      </c>
      <c r="C122" s="235" t="s">
        <v>1176</v>
      </c>
      <c r="D122" s="103">
        <v>9726</v>
      </c>
      <c r="E122" s="103">
        <v>11932</v>
      </c>
      <c r="F122" s="70" t="s">
        <v>2262</v>
      </c>
      <c r="G122" s="70">
        <v>3</v>
      </c>
    </row>
    <row r="123" spans="1:7">
      <c r="A123" s="234" t="s">
        <v>225</v>
      </c>
      <c r="B123" s="234">
        <v>1899591</v>
      </c>
      <c r="C123" s="235" t="s">
        <v>1176</v>
      </c>
      <c r="D123" s="103">
        <v>9747</v>
      </c>
      <c r="E123" s="103">
        <v>10651</v>
      </c>
      <c r="F123" s="70" t="s">
        <v>2067</v>
      </c>
      <c r="G123" s="70">
        <v>3</v>
      </c>
    </row>
    <row r="124" spans="1:7">
      <c r="A124" s="234" t="s">
        <v>225</v>
      </c>
      <c r="B124" s="234">
        <v>1830533</v>
      </c>
      <c r="C124" s="235" t="s">
        <v>1176</v>
      </c>
      <c r="D124" s="103">
        <v>9821</v>
      </c>
      <c r="E124" s="103">
        <v>10168</v>
      </c>
      <c r="F124" s="70" t="s">
        <v>2138</v>
      </c>
      <c r="G124" s="70">
        <v>3</v>
      </c>
    </row>
    <row r="125" spans="1:7">
      <c r="A125" s="234" t="s">
        <v>225</v>
      </c>
      <c r="B125" s="234">
        <v>1834864</v>
      </c>
      <c r="C125" s="235" t="s">
        <v>1176</v>
      </c>
      <c r="D125" s="103">
        <v>9824</v>
      </c>
      <c r="E125" s="103">
        <v>10196</v>
      </c>
      <c r="F125" s="70" t="s">
        <v>2262</v>
      </c>
      <c r="G125" s="70">
        <v>3</v>
      </c>
    </row>
    <row r="126" spans="1:7">
      <c r="A126" s="234" t="s">
        <v>225</v>
      </c>
      <c r="B126" s="234">
        <v>1933348</v>
      </c>
      <c r="C126" s="235" t="s">
        <v>1176</v>
      </c>
      <c r="D126" s="103">
        <v>9860</v>
      </c>
      <c r="E126" s="103">
        <v>10896</v>
      </c>
      <c r="F126" s="70" t="s">
        <v>2261</v>
      </c>
      <c r="G126" s="70">
        <v>3</v>
      </c>
    </row>
    <row r="127" spans="1:7">
      <c r="A127" s="125" t="s">
        <v>225</v>
      </c>
      <c r="B127" s="125">
        <v>1893376</v>
      </c>
      <c r="C127" s="233" t="s">
        <v>1176</v>
      </c>
      <c r="D127" s="103">
        <v>9875</v>
      </c>
      <c r="E127" s="103">
        <v>10595</v>
      </c>
      <c r="F127" s="70" t="s">
        <v>2266</v>
      </c>
      <c r="G127" s="70">
        <v>3</v>
      </c>
    </row>
    <row r="128" spans="1:7">
      <c r="A128" s="125" t="s">
        <v>225</v>
      </c>
      <c r="B128" s="125">
        <v>1931373</v>
      </c>
      <c r="C128" s="233" t="s">
        <v>1176</v>
      </c>
      <c r="D128" s="103">
        <v>9953</v>
      </c>
      <c r="E128" s="103">
        <v>10882</v>
      </c>
      <c r="F128" s="70" t="s">
        <v>2201</v>
      </c>
      <c r="G128" s="70">
        <v>3</v>
      </c>
    </row>
    <row r="129" spans="1:7">
      <c r="A129" s="125" t="s">
        <v>225</v>
      </c>
      <c r="B129" s="125">
        <v>1931455</v>
      </c>
      <c r="C129" s="233" t="s">
        <v>1176</v>
      </c>
      <c r="D129" s="103">
        <v>9953</v>
      </c>
      <c r="E129" s="103">
        <v>10882</v>
      </c>
      <c r="F129" s="70" t="s">
        <v>2201</v>
      </c>
      <c r="G129" s="70">
        <v>3</v>
      </c>
    </row>
    <row r="130" spans="1:7">
      <c r="A130" s="125" t="s">
        <v>225</v>
      </c>
      <c r="B130" s="125">
        <v>1964684</v>
      </c>
      <c r="C130" s="233" t="s">
        <v>1176</v>
      </c>
      <c r="D130" s="103">
        <v>9953</v>
      </c>
      <c r="E130" s="103">
        <v>11134</v>
      </c>
      <c r="F130" s="70" t="s">
        <v>2201</v>
      </c>
      <c r="G130" s="70">
        <v>3</v>
      </c>
    </row>
    <row r="131" spans="1:7">
      <c r="A131" s="125" t="s">
        <v>225</v>
      </c>
      <c r="B131" s="125">
        <v>1872818</v>
      </c>
      <c r="C131" s="233" t="s">
        <v>1176</v>
      </c>
      <c r="D131" s="103">
        <v>10013</v>
      </c>
      <c r="E131" s="103">
        <v>10462</v>
      </c>
      <c r="F131" s="70" t="s">
        <v>2264</v>
      </c>
      <c r="G131" s="70">
        <v>3</v>
      </c>
    </row>
    <row r="132" spans="1:7">
      <c r="A132" s="125" t="s">
        <v>225</v>
      </c>
      <c r="B132" s="125">
        <v>1936470</v>
      </c>
      <c r="C132" s="233" t="s">
        <v>1176</v>
      </c>
      <c r="D132" s="103">
        <v>10034</v>
      </c>
      <c r="E132" s="103">
        <v>10917</v>
      </c>
      <c r="F132" s="70" t="s">
        <v>2202</v>
      </c>
      <c r="G132" s="70">
        <v>3</v>
      </c>
    </row>
    <row r="133" spans="1:7">
      <c r="A133" s="125" t="s">
        <v>225</v>
      </c>
      <c r="B133" s="125">
        <v>1995884</v>
      </c>
      <c r="C133" s="233" t="s">
        <v>1176</v>
      </c>
      <c r="D133" s="103">
        <v>10156</v>
      </c>
      <c r="E133" s="103">
        <v>11407</v>
      </c>
      <c r="F133" s="70" t="s">
        <v>2138</v>
      </c>
      <c r="G133" s="70">
        <v>3</v>
      </c>
    </row>
    <row r="134" spans="1:7">
      <c r="A134" s="125" t="s">
        <v>225</v>
      </c>
      <c r="B134" s="125">
        <v>1904423</v>
      </c>
      <c r="C134" s="233" t="s">
        <v>1176</v>
      </c>
      <c r="D134" s="103">
        <v>10160</v>
      </c>
      <c r="E134" s="103">
        <v>10700</v>
      </c>
      <c r="F134" s="70" t="s">
        <v>2138</v>
      </c>
      <c r="G134" s="70">
        <v>3</v>
      </c>
    </row>
    <row r="135" spans="1:7">
      <c r="A135" s="125" t="s">
        <v>225</v>
      </c>
      <c r="B135" s="125">
        <v>1917129</v>
      </c>
      <c r="C135" s="233" t="s">
        <v>1176</v>
      </c>
      <c r="D135" s="103">
        <v>10216</v>
      </c>
      <c r="E135" s="103">
        <v>10777</v>
      </c>
      <c r="F135" s="70" t="s">
        <v>2200</v>
      </c>
      <c r="G135" s="70">
        <v>3</v>
      </c>
    </row>
    <row r="136" spans="1:7">
      <c r="A136" s="125" t="s">
        <v>225</v>
      </c>
      <c r="B136" s="125">
        <v>2013537</v>
      </c>
      <c r="C136" s="233" t="s">
        <v>1176</v>
      </c>
      <c r="D136" s="103">
        <v>10241</v>
      </c>
      <c r="E136" s="103">
        <v>11568</v>
      </c>
      <c r="F136" s="70" t="s">
        <v>2138</v>
      </c>
      <c r="G136" s="70">
        <v>3</v>
      </c>
    </row>
    <row r="137" spans="1:7">
      <c r="A137" s="125" t="s">
        <v>225</v>
      </c>
      <c r="B137" s="125">
        <v>1979148</v>
      </c>
      <c r="C137" s="233" t="s">
        <v>1176</v>
      </c>
      <c r="D137" s="103">
        <v>10245</v>
      </c>
      <c r="E137" s="103">
        <v>11260</v>
      </c>
      <c r="F137" s="70" t="s">
        <v>2138</v>
      </c>
      <c r="G137" s="70">
        <v>3</v>
      </c>
    </row>
    <row r="138" spans="1:7">
      <c r="A138" s="125" t="s">
        <v>225</v>
      </c>
      <c r="B138" s="125">
        <v>2015542</v>
      </c>
      <c r="C138" s="233" t="s">
        <v>1176</v>
      </c>
      <c r="D138" s="103">
        <v>10302</v>
      </c>
      <c r="E138" s="103">
        <v>11589</v>
      </c>
      <c r="F138" s="70" t="s">
        <v>2263</v>
      </c>
      <c r="G138" s="70">
        <v>3</v>
      </c>
    </row>
    <row r="139" spans="1:7">
      <c r="A139" s="125" t="s">
        <v>225</v>
      </c>
      <c r="B139" s="125">
        <v>2019342</v>
      </c>
      <c r="C139" s="233" t="s">
        <v>1176</v>
      </c>
      <c r="D139" s="103">
        <v>10330</v>
      </c>
      <c r="E139" s="103">
        <v>11624</v>
      </c>
      <c r="F139" s="70" t="s">
        <v>2138</v>
      </c>
      <c r="G139" s="70">
        <v>3</v>
      </c>
    </row>
    <row r="140" spans="1:7">
      <c r="A140" s="125" t="s">
        <v>225</v>
      </c>
      <c r="B140" s="125">
        <v>1919935</v>
      </c>
      <c r="C140" s="233" t="s">
        <v>1176</v>
      </c>
      <c r="D140" s="103">
        <v>10344</v>
      </c>
      <c r="E140" s="103">
        <v>10798</v>
      </c>
      <c r="F140" s="70" t="s">
        <v>2138</v>
      </c>
      <c r="G140" s="70">
        <v>3</v>
      </c>
    </row>
    <row r="141" spans="1:7">
      <c r="A141" s="125" t="s">
        <v>225</v>
      </c>
      <c r="B141" s="125">
        <v>1952097</v>
      </c>
      <c r="C141" s="233" t="s">
        <v>1176</v>
      </c>
      <c r="D141" s="103">
        <v>10367</v>
      </c>
      <c r="E141" s="103">
        <v>11043</v>
      </c>
      <c r="F141" s="70" t="s">
        <v>2261</v>
      </c>
      <c r="G141" s="70">
        <v>3</v>
      </c>
    </row>
    <row r="142" spans="1:7">
      <c r="A142" s="125" t="s">
        <v>225</v>
      </c>
      <c r="B142" s="125">
        <v>1944730</v>
      </c>
      <c r="C142" s="233" t="s">
        <v>1176</v>
      </c>
      <c r="D142" s="103">
        <v>10375</v>
      </c>
      <c r="E142" s="103">
        <v>10980</v>
      </c>
      <c r="F142" s="70" t="s">
        <v>2201</v>
      </c>
      <c r="G142" s="70">
        <v>3</v>
      </c>
    </row>
    <row r="143" spans="1:7">
      <c r="A143" s="125" t="s">
        <v>225</v>
      </c>
      <c r="B143" s="125">
        <v>2050873</v>
      </c>
      <c r="C143" s="233" t="s">
        <v>1176</v>
      </c>
      <c r="D143" s="103">
        <v>10465</v>
      </c>
      <c r="E143" s="103">
        <v>11911</v>
      </c>
      <c r="F143" s="70" t="s">
        <v>2307</v>
      </c>
      <c r="G143" s="70">
        <v>3</v>
      </c>
    </row>
    <row r="144" spans="1:7">
      <c r="A144" s="125" t="s">
        <v>225</v>
      </c>
      <c r="B144" s="125">
        <v>1950182</v>
      </c>
      <c r="C144" s="233" t="s">
        <v>1176</v>
      </c>
      <c r="D144" s="103">
        <v>10574</v>
      </c>
      <c r="E144" s="103">
        <v>11022</v>
      </c>
      <c r="F144" s="70" t="s">
        <v>2200</v>
      </c>
      <c r="G144" s="70">
        <v>3</v>
      </c>
    </row>
    <row r="145" spans="1:7">
      <c r="A145" s="125" t="s">
        <v>225</v>
      </c>
      <c r="B145" s="125">
        <v>2050888</v>
      </c>
      <c r="C145" s="233" t="s">
        <v>1176</v>
      </c>
      <c r="D145" s="103">
        <v>10575</v>
      </c>
      <c r="E145" s="103">
        <v>11911</v>
      </c>
      <c r="F145" s="70" t="s">
        <v>2200</v>
      </c>
      <c r="G145" s="70">
        <v>3</v>
      </c>
    </row>
    <row r="146" spans="1:7">
      <c r="A146" s="125" t="s">
        <v>225</v>
      </c>
      <c r="B146" s="125">
        <v>1977325</v>
      </c>
      <c r="C146" s="233" t="s">
        <v>1176</v>
      </c>
      <c r="D146" s="103">
        <v>10585</v>
      </c>
      <c r="E146" s="103">
        <v>11246</v>
      </c>
      <c r="F146" s="70" t="s">
        <v>2066</v>
      </c>
      <c r="G146" s="70">
        <v>3</v>
      </c>
    </row>
    <row r="147" spans="1:7">
      <c r="A147" s="125" t="s">
        <v>225</v>
      </c>
      <c r="B147" s="125">
        <v>1935595</v>
      </c>
      <c r="C147" s="233" t="s">
        <v>1176</v>
      </c>
      <c r="D147" s="103">
        <v>10631</v>
      </c>
      <c r="E147" s="103">
        <v>10910</v>
      </c>
      <c r="F147" s="70" t="s">
        <v>2201</v>
      </c>
      <c r="G147" s="70">
        <v>3</v>
      </c>
    </row>
    <row r="148" spans="1:7">
      <c r="A148" s="125" t="s">
        <v>225</v>
      </c>
      <c r="B148" s="125">
        <v>1988279</v>
      </c>
      <c r="C148" s="233" t="s">
        <v>1176</v>
      </c>
      <c r="D148" s="103">
        <v>10644</v>
      </c>
      <c r="E148" s="103">
        <v>11337</v>
      </c>
      <c r="F148" s="70" t="s">
        <v>2200</v>
      </c>
      <c r="G148" s="70">
        <v>3</v>
      </c>
    </row>
    <row r="149" spans="1:7">
      <c r="A149" s="125" t="s">
        <v>225</v>
      </c>
      <c r="B149" s="125">
        <v>2056017</v>
      </c>
      <c r="C149" s="233" t="s">
        <v>1176</v>
      </c>
      <c r="D149" s="103">
        <v>10669</v>
      </c>
      <c r="E149" s="103">
        <v>11960</v>
      </c>
      <c r="F149" s="70" t="s">
        <v>2266</v>
      </c>
      <c r="G149" s="70">
        <v>3</v>
      </c>
    </row>
    <row r="150" spans="1:7">
      <c r="A150" s="125" t="s">
        <v>225</v>
      </c>
      <c r="B150" s="125">
        <v>1999004</v>
      </c>
      <c r="C150" s="233" t="s">
        <v>1176</v>
      </c>
      <c r="D150" s="103">
        <v>10760</v>
      </c>
      <c r="E150" s="103">
        <v>11435</v>
      </c>
      <c r="F150" s="70" t="s">
        <v>2201</v>
      </c>
      <c r="G150" s="70">
        <v>3</v>
      </c>
    </row>
    <row r="151" spans="1:7">
      <c r="A151" s="125" t="s">
        <v>225</v>
      </c>
      <c r="B151" s="125">
        <v>1991230</v>
      </c>
      <c r="C151" s="233" t="s">
        <v>1176</v>
      </c>
      <c r="D151" s="103">
        <v>10799</v>
      </c>
      <c r="E151" s="103">
        <v>11365</v>
      </c>
      <c r="F151" s="70" t="s">
        <v>2261</v>
      </c>
      <c r="G151" s="70">
        <v>3</v>
      </c>
    </row>
    <row r="152" spans="1:7">
      <c r="A152" s="125" t="s">
        <v>225</v>
      </c>
      <c r="B152" s="125">
        <v>2019338</v>
      </c>
      <c r="C152" s="233" t="s">
        <v>1176</v>
      </c>
      <c r="D152" s="103">
        <v>10973</v>
      </c>
      <c r="E152" s="103">
        <v>11624</v>
      </c>
      <c r="F152" s="70" t="s">
        <v>2201</v>
      </c>
      <c r="G152" s="70">
        <v>3</v>
      </c>
    </row>
    <row r="153" spans="1:7">
      <c r="A153" s="125" t="s">
        <v>225</v>
      </c>
      <c r="B153" s="125">
        <v>2009820</v>
      </c>
      <c r="C153" s="233" t="s">
        <v>1176</v>
      </c>
      <c r="D153" s="103">
        <v>11031</v>
      </c>
      <c r="E153" s="103">
        <v>11533</v>
      </c>
      <c r="F153" s="70" t="s">
        <v>2261</v>
      </c>
      <c r="G153" s="70">
        <v>3</v>
      </c>
    </row>
    <row r="154" spans="1:7">
      <c r="A154" s="125" t="s">
        <v>225</v>
      </c>
      <c r="B154" s="125">
        <v>2052422</v>
      </c>
      <c r="C154" s="233" t="s">
        <v>1176</v>
      </c>
      <c r="D154" s="103">
        <v>11138</v>
      </c>
      <c r="E154" s="103">
        <v>11925</v>
      </c>
      <c r="F154" s="70" t="s">
        <v>2436</v>
      </c>
      <c r="G154" s="70">
        <v>3</v>
      </c>
    </row>
    <row r="155" spans="1:7">
      <c r="A155" s="125" t="s">
        <v>225</v>
      </c>
      <c r="B155" s="125">
        <v>2019339</v>
      </c>
      <c r="C155" s="233" t="s">
        <v>1176</v>
      </c>
      <c r="D155" s="103">
        <v>11229</v>
      </c>
      <c r="E155" s="103">
        <v>11624</v>
      </c>
      <c r="F155" s="70" t="s">
        <v>2201</v>
      </c>
      <c r="G155" s="70">
        <v>3</v>
      </c>
    </row>
    <row r="156" spans="1:7">
      <c r="A156" s="125" t="s">
        <v>225</v>
      </c>
      <c r="B156" s="125">
        <v>2000747</v>
      </c>
      <c r="C156" s="233" t="s">
        <v>1176</v>
      </c>
      <c r="D156" s="103">
        <v>11267</v>
      </c>
      <c r="E156" s="103">
        <v>11449</v>
      </c>
      <c r="F156" s="70" t="s">
        <v>2138</v>
      </c>
      <c r="G156" s="70">
        <v>3</v>
      </c>
    </row>
    <row r="157" spans="1:7">
      <c r="A157" s="125" t="s">
        <v>225</v>
      </c>
      <c r="B157" s="125">
        <v>2092559</v>
      </c>
      <c r="C157" s="233" t="s">
        <v>1176</v>
      </c>
      <c r="D157" s="103">
        <v>11299</v>
      </c>
      <c r="E157" s="103">
        <v>12303</v>
      </c>
      <c r="F157" s="70" t="s">
        <v>2437</v>
      </c>
      <c r="G157" s="70">
        <v>3</v>
      </c>
    </row>
    <row r="158" spans="1:7">
      <c r="A158" s="125" t="s">
        <v>225</v>
      </c>
      <c r="B158" s="125">
        <v>2105406</v>
      </c>
      <c r="C158" s="233" t="s">
        <v>1176</v>
      </c>
      <c r="D158" s="103">
        <v>11467</v>
      </c>
      <c r="E158" s="103">
        <v>12429</v>
      </c>
      <c r="F158" s="70" t="s">
        <v>2201</v>
      </c>
      <c r="G158" s="70">
        <v>3</v>
      </c>
    </row>
    <row r="159" spans="1:7">
      <c r="A159" s="125" t="s">
        <v>225</v>
      </c>
      <c r="B159" s="125">
        <v>2092560</v>
      </c>
      <c r="C159" s="233" t="s">
        <v>1176</v>
      </c>
      <c r="D159" s="103">
        <v>11652</v>
      </c>
      <c r="E159" s="103">
        <v>12303</v>
      </c>
      <c r="F159" s="70" t="s">
        <v>2437</v>
      </c>
      <c r="G159" s="70">
        <v>3</v>
      </c>
    </row>
    <row r="160" spans="1:7">
      <c r="A160" s="125" t="s">
        <v>225</v>
      </c>
      <c r="B160" s="125">
        <v>2159742</v>
      </c>
      <c r="C160" s="233" t="s">
        <v>1176</v>
      </c>
      <c r="D160" s="103">
        <v>11701</v>
      </c>
      <c r="E160" s="103">
        <v>12926</v>
      </c>
      <c r="F160" s="70" t="s">
        <v>2200</v>
      </c>
      <c r="G160" s="70">
        <v>3</v>
      </c>
    </row>
    <row r="161" spans="1:7">
      <c r="A161" s="125" t="s">
        <v>225</v>
      </c>
      <c r="B161" s="125">
        <v>2112739</v>
      </c>
      <c r="C161" s="233" t="s">
        <v>1176</v>
      </c>
      <c r="D161" s="103">
        <v>11742</v>
      </c>
      <c r="E161" s="103">
        <v>12506</v>
      </c>
      <c r="F161" s="70" t="s">
        <v>2138</v>
      </c>
      <c r="G161" s="70">
        <v>3</v>
      </c>
    </row>
    <row r="162" spans="1:7">
      <c r="A162" s="125" t="s">
        <v>225</v>
      </c>
      <c r="B162" s="125">
        <v>2196026</v>
      </c>
      <c r="C162" s="233" t="s">
        <v>1176</v>
      </c>
      <c r="D162" s="103">
        <v>11906</v>
      </c>
      <c r="E162" s="103">
        <v>13241</v>
      </c>
      <c r="F162" s="70" t="s">
        <v>2266</v>
      </c>
      <c r="G162" s="70">
        <v>3</v>
      </c>
    </row>
    <row r="163" spans="1:7">
      <c r="A163" s="125" t="s">
        <v>225</v>
      </c>
      <c r="B163" s="125">
        <v>2145182</v>
      </c>
      <c r="C163" s="233" t="s">
        <v>1176</v>
      </c>
      <c r="D163" s="103">
        <v>11947</v>
      </c>
      <c r="E163" s="103">
        <v>12807</v>
      </c>
      <c r="F163" s="70" t="s">
        <v>2200</v>
      </c>
      <c r="G163" s="70">
        <v>3</v>
      </c>
    </row>
    <row r="164" spans="1:7">
      <c r="A164" s="125" t="s">
        <v>225</v>
      </c>
      <c r="B164" s="125">
        <v>2141912</v>
      </c>
      <c r="C164" s="233" t="s">
        <v>1176</v>
      </c>
      <c r="D164" s="103">
        <v>12097</v>
      </c>
      <c r="E164" s="103">
        <v>12779</v>
      </c>
      <c r="F164" s="70" t="s">
        <v>2215</v>
      </c>
      <c r="G164" s="70">
        <v>3</v>
      </c>
    </row>
    <row r="165" spans="1:7">
      <c r="A165" s="125" t="s">
        <v>225</v>
      </c>
      <c r="B165" s="125">
        <v>2141894</v>
      </c>
      <c r="C165" s="233" t="s">
        <v>1176</v>
      </c>
      <c r="D165" s="103">
        <v>12131</v>
      </c>
      <c r="E165" s="103">
        <v>12779</v>
      </c>
      <c r="F165" s="70" t="s">
        <v>2336</v>
      </c>
      <c r="G165" s="70">
        <v>3</v>
      </c>
    </row>
    <row r="166" spans="1:7">
      <c r="A166" s="125" t="s">
        <v>225</v>
      </c>
      <c r="B166" s="125">
        <v>2112740</v>
      </c>
      <c r="C166" s="233" t="s">
        <v>1176</v>
      </c>
      <c r="D166" s="103">
        <v>12213</v>
      </c>
      <c r="E166" s="103">
        <v>12506</v>
      </c>
      <c r="F166" s="70" t="s">
        <v>2439</v>
      </c>
      <c r="G166" s="70">
        <v>3</v>
      </c>
    </row>
    <row r="167" spans="1:7">
      <c r="A167" s="125" t="s">
        <v>225</v>
      </c>
      <c r="B167" s="125">
        <v>2215290</v>
      </c>
      <c r="C167" s="233" t="s">
        <v>1176</v>
      </c>
      <c r="D167" s="103">
        <v>12213</v>
      </c>
      <c r="E167" s="103">
        <v>13409</v>
      </c>
      <c r="F167" s="70" t="s">
        <v>2215</v>
      </c>
      <c r="G167" s="70">
        <v>3</v>
      </c>
    </row>
    <row r="168" spans="1:7">
      <c r="A168" s="125" t="s">
        <v>225</v>
      </c>
      <c r="B168" s="125">
        <v>2216010</v>
      </c>
      <c r="C168" s="233" t="s">
        <v>1176</v>
      </c>
      <c r="D168" s="103">
        <v>12213</v>
      </c>
      <c r="E168" s="103">
        <v>13416</v>
      </c>
      <c r="F168" s="70" t="s">
        <v>2215</v>
      </c>
      <c r="G168" s="70">
        <v>3</v>
      </c>
    </row>
    <row r="169" spans="1:7">
      <c r="A169" s="125" t="s">
        <v>225</v>
      </c>
      <c r="B169" s="125">
        <v>2221670</v>
      </c>
      <c r="C169" s="233" t="s">
        <v>1176</v>
      </c>
      <c r="D169" s="103">
        <v>12261</v>
      </c>
      <c r="E169" s="103">
        <v>13465</v>
      </c>
      <c r="F169" s="70" t="s">
        <v>2218</v>
      </c>
      <c r="G169" s="70">
        <v>3</v>
      </c>
    </row>
    <row r="170" spans="1:7">
      <c r="A170" s="125" t="s">
        <v>225</v>
      </c>
      <c r="B170" s="125">
        <v>2125121</v>
      </c>
      <c r="C170" s="233" t="s">
        <v>1176</v>
      </c>
      <c r="D170" s="103">
        <v>12291</v>
      </c>
      <c r="E170" s="103">
        <v>12625</v>
      </c>
      <c r="F170" s="70" t="s">
        <v>2440</v>
      </c>
      <c r="G170" s="70">
        <v>3</v>
      </c>
    </row>
    <row r="171" spans="1:7">
      <c r="A171" s="125" t="s">
        <v>225</v>
      </c>
      <c r="B171" s="125">
        <v>2167510</v>
      </c>
      <c r="C171" s="233" t="s">
        <v>1176</v>
      </c>
      <c r="D171" s="103">
        <v>12383</v>
      </c>
      <c r="E171" s="103">
        <v>12989</v>
      </c>
      <c r="F171" s="70" t="s">
        <v>2215</v>
      </c>
      <c r="G171" s="70">
        <v>3</v>
      </c>
    </row>
    <row r="172" spans="1:7">
      <c r="A172" s="125" t="s">
        <v>225</v>
      </c>
      <c r="B172" s="125">
        <v>2210804</v>
      </c>
      <c r="C172" s="233" t="s">
        <v>1176</v>
      </c>
      <c r="D172" s="103">
        <v>12515</v>
      </c>
      <c r="E172" s="103">
        <v>13367</v>
      </c>
      <c r="F172" s="70" t="s">
        <v>2138</v>
      </c>
      <c r="G172" s="70">
        <v>3</v>
      </c>
    </row>
    <row r="173" spans="1:7">
      <c r="A173" s="125" t="s">
        <v>225</v>
      </c>
      <c r="B173" s="125">
        <v>2173717</v>
      </c>
      <c r="C173" s="233" t="s">
        <v>1176</v>
      </c>
      <c r="D173" s="103">
        <v>12590</v>
      </c>
      <c r="E173" s="103">
        <v>13045</v>
      </c>
      <c r="F173" s="70" t="s">
        <v>2216</v>
      </c>
      <c r="G173" s="70">
        <v>3</v>
      </c>
    </row>
    <row r="174" spans="1:7">
      <c r="A174" s="125" t="s">
        <v>225</v>
      </c>
      <c r="B174" s="125">
        <v>2253984</v>
      </c>
      <c r="C174" s="233" t="s">
        <v>1176</v>
      </c>
      <c r="D174" s="103">
        <v>12640</v>
      </c>
      <c r="E174" s="103">
        <v>13752</v>
      </c>
      <c r="F174" s="70" t="s">
        <v>2261</v>
      </c>
      <c r="G174" s="70">
        <v>3</v>
      </c>
    </row>
    <row r="175" spans="1:7">
      <c r="A175" s="125" t="s">
        <v>225</v>
      </c>
      <c r="B175" s="125">
        <v>2253985</v>
      </c>
      <c r="C175" s="233" t="s">
        <v>1176</v>
      </c>
      <c r="D175" s="103">
        <v>12640</v>
      </c>
      <c r="E175" s="103">
        <v>13752</v>
      </c>
      <c r="F175" s="70" t="s">
        <v>2261</v>
      </c>
      <c r="G175" s="70">
        <v>3</v>
      </c>
    </row>
    <row r="176" spans="1:7">
      <c r="A176" s="125" t="s">
        <v>225</v>
      </c>
      <c r="B176" s="125">
        <v>2253986</v>
      </c>
      <c r="C176" s="233" t="s">
        <v>1176</v>
      </c>
      <c r="D176" s="103">
        <v>12640</v>
      </c>
      <c r="E176" s="103">
        <v>13752</v>
      </c>
      <c r="F176" s="70" t="s">
        <v>2261</v>
      </c>
      <c r="G176" s="70">
        <v>3</v>
      </c>
    </row>
    <row r="177" spans="1:7">
      <c r="A177" s="125" t="s">
        <v>225</v>
      </c>
      <c r="B177" s="125">
        <v>2188178</v>
      </c>
      <c r="C177" s="233" t="s">
        <v>1176</v>
      </c>
      <c r="D177" s="103">
        <v>12677</v>
      </c>
      <c r="E177" s="103">
        <v>13171</v>
      </c>
      <c r="F177" s="70" t="s">
        <v>2138</v>
      </c>
      <c r="G177" s="70">
        <v>3</v>
      </c>
    </row>
    <row r="178" spans="1:7">
      <c r="A178" s="125" t="s">
        <v>225</v>
      </c>
      <c r="B178" s="125">
        <v>2222718</v>
      </c>
      <c r="C178" s="233" t="s">
        <v>1176</v>
      </c>
      <c r="D178" s="103">
        <v>12755</v>
      </c>
      <c r="E178" s="103">
        <v>13479</v>
      </c>
      <c r="F178" s="70" t="s">
        <v>2262</v>
      </c>
      <c r="G178" s="70">
        <v>3</v>
      </c>
    </row>
    <row r="179" spans="1:7">
      <c r="A179" s="125" t="s">
        <v>225</v>
      </c>
      <c r="B179" s="125">
        <v>2176749</v>
      </c>
      <c r="C179" s="233" t="s">
        <v>1176</v>
      </c>
      <c r="D179" s="103">
        <v>12782</v>
      </c>
      <c r="E179" s="103">
        <v>13073</v>
      </c>
      <c r="F179" s="70" t="s">
        <v>2261</v>
      </c>
      <c r="G179" s="70">
        <v>3</v>
      </c>
    </row>
    <row r="180" spans="1:7">
      <c r="A180" s="125" t="s">
        <v>225</v>
      </c>
      <c r="B180" s="125">
        <v>2237803</v>
      </c>
      <c r="C180" s="233" t="s">
        <v>1176</v>
      </c>
      <c r="D180" s="103">
        <v>12800</v>
      </c>
      <c r="E180" s="103">
        <v>13612</v>
      </c>
      <c r="F180" s="70" t="s">
        <v>2219</v>
      </c>
      <c r="G180" s="70">
        <v>3</v>
      </c>
    </row>
    <row r="181" spans="1:7">
      <c r="A181" s="125" t="s">
        <v>225</v>
      </c>
      <c r="B181" s="125">
        <v>2217104</v>
      </c>
      <c r="C181" s="233" t="s">
        <v>1176</v>
      </c>
      <c r="D181" s="103">
        <v>12801</v>
      </c>
      <c r="E181" s="103">
        <v>13430</v>
      </c>
      <c r="F181" s="70" t="s">
        <v>2217</v>
      </c>
      <c r="G181" s="70">
        <v>3</v>
      </c>
    </row>
    <row r="182" spans="1:7">
      <c r="A182" s="125" t="s">
        <v>225</v>
      </c>
      <c r="B182" s="125">
        <v>2220728</v>
      </c>
      <c r="C182" s="233" t="s">
        <v>1176</v>
      </c>
      <c r="D182" s="103">
        <v>12877</v>
      </c>
      <c r="E182" s="103">
        <v>13458</v>
      </c>
      <c r="F182" s="70" t="s">
        <v>2266</v>
      </c>
      <c r="G182" s="70">
        <v>3</v>
      </c>
    </row>
    <row r="183" spans="1:7">
      <c r="A183" s="125" t="s">
        <v>225</v>
      </c>
      <c r="B183" s="125">
        <v>2197639</v>
      </c>
      <c r="C183" s="233" t="s">
        <v>1176</v>
      </c>
      <c r="D183" s="103">
        <v>12902</v>
      </c>
      <c r="E183" s="103">
        <v>13255</v>
      </c>
      <c r="F183" s="70" t="s">
        <v>2215</v>
      </c>
      <c r="G183" s="70">
        <v>3</v>
      </c>
    </row>
    <row r="184" spans="1:7">
      <c r="A184" s="125" t="s">
        <v>225</v>
      </c>
      <c r="B184" s="125">
        <v>2259129</v>
      </c>
      <c r="C184" s="233" t="s">
        <v>1176</v>
      </c>
      <c r="D184" s="103">
        <v>12905</v>
      </c>
      <c r="E184" s="103">
        <v>13801</v>
      </c>
      <c r="F184" s="70" t="s">
        <v>2198</v>
      </c>
      <c r="G184" s="70">
        <v>3</v>
      </c>
    </row>
    <row r="185" spans="1:7">
      <c r="A185" s="125" t="s">
        <v>225</v>
      </c>
      <c r="B185" s="125">
        <v>2245247</v>
      </c>
      <c r="C185" s="233" t="s">
        <v>1176</v>
      </c>
      <c r="D185" s="103">
        <v>13090</v>
      </c>
      <c r="E185" s="103">
        <v>13675</v>
      </c>
      <c r="F185" s="70" t="s">
        <v>2197</v>
      </c>
      <c r="G185" s="70">
        <v>3</v>
      </c>
    </row>
    <row r="186" spans="1:7">
      <c r="A186" s="125" t="s">
        <v>225</v>
      </c>
      <c r="B186" s="125">
        <v>2253987</v>
      </c>
      <c r="C186" s="233" t="s">
        <v>1176</v>
      </c>
      <c r="D186" s="103">
        <v>13280</v>
      </c>
      <c r="E186" s="103">
        <v>13752</v>
      </c>
      <c r="F186" s="70" t="s">
        <v>2261</v>
      </c>
      <c r="G186" s="70">
        <v>3</v>
      </c>
    </row>
    <row r="187" spans="1:7">
      <c r="A187" s="125" t="s">
        <v>225</v>
      </c>
      <c r="B187" s="125">
        <v>2248588</v>
      </c>
      <c r="C187" s="233" t="s">
        <v>1176</v>
      </c>
      <c r="D187" s="103">
        <v>13306</v>
      </c>
      <c r="E187" s="103">
        <v>13703</v>
      </c>
      <c r="F187" s="70" t="s">
        <v>2261</v>
      </c>
      <c r="G187" s="70">
        <v>3</v>
      </c>
    </row>
    <row r="188" spans="1:7">
      <c r="A188" s="125" t="s">
        <v>225</v>
      </c>
      <c r="B188" s="125">
        <v>2253171</v>
      </c>
      <c r="C188" s="233" t="s">
        <v>1176</v>
      </c>
      <c r="D188" s="103">
        <v>13306</v>
      </c>
      <c r="E188" s="103">
        <v>13745</v>
      </c>
      <c r="F188" s="70" t="s">
        <v>2198</v>
      </c>
      <c r="G188" s="70">
        <v>3</v>
      </c>
    </row>
    <row r="189" spans="1:7">
      <c r="A189" s="125" t="s">
        <v>225</v>
      </c>
      <c r="B189" s="125">
        <v>2277460</v>
      </c>
      <c r="C189" s="233" t="s">
        <v>1176</v>
      </c>
      <c r="D189" s="103">
        <v>13306</v>
      </c>
      <c r="E189" s="103">
        <v>13962</v>
      </c>
      <c r="F189" s="70" t="s">
        <v>2261</v>
      </c>
      <c r="G189" s="70">
        <v>3</v>
      </c>
    </row>
    <row r="190" spans="1:7">
      <c r="A190" s="125" t="s">
        <v>225</v>
      </c>
      <c r="B190" s="125">
        <v>2290706</v>
      </c>
      <c r="C190" s="233" t="s">
        <v>1176</v>
      </c>
      <c r="D190" s="103">
        <v>13329</v>
      </c>
      <c r="E190" s="103">
        <v>14081</v>
      </c>
      <c r="F190" s="70" t="s">
        <v>2262</v>
      </c>
      <c r="G190" s="70">
        <v>3</v>
      </c>
    </row>
    <row r="191" spans="1:7">
      <c r="A191" s="125" t="s">
        <v>225</v>
      </c>
      <c r="B191" s="125">
        <v>2275866</v>
      </c>
      <c r="C191" s="233" t="s">
        <v>1176</v>
      </c>
      <c r="D191" s="103">
        <v>13347</v>
      </c>
      <c r="E191" s="103">
        <v>13948</v>
      </c>
      <c r="F191" s="70" t="s">
        <v>2437</v>
      </c>
      <c r="G191" s="70">
        <v>3</v>
      </c>
    </row>
    <row r="192" spans="1:7">
      <c r="A192" s="125" t="s">
        <v>225</v>
      </c>
      <c r="B192" s="125">
        <v>2295290</v>
      </c>
      <c r="C192" s="233" t="s">
        <v>1176</v>
      </c>
      <c r="D192" s="103">
        <v>13361</v>
      </c>
      <c r="E192" s="103">
        <v>14130</v>
      </c>
      <c r="F192" s="70" t="s">
        <v>2266</v>
      </c>
      <c r="G192" s="70">
        <v>3</v>
      </c>
    </row>
    <row r="193" spans="1:8">
      <c r="A193" s="125" t="s">
        <v>225</v>
      </c>
      <c r="B193" s="125">
        <v>2292114</v>
      </c>
      <c r="C193" s="233" t="s">
        <v>1176</v>
      </c>
      <c r="D193" s="103">
        <v>13377</v>
      </c>
      <c r="E193" s="103">
        <v>14095</v>
      </c>
      <c r="F193" s="70" t="s">
        <v>2287</v>
      </c>
      <c r="G193" s="70">
        <v>3</v>
      </c>
    </row>
    <row r="194" spans="1:8">
      <c r="A194" s="125" t="s">
        <v>225</v>
      </c>
      <c r="B194" s="125">
        <v>2401996</v>
      </c>
      <c r="C194" s="233" t="s">
        <v>1176</v>
      </c>
      <c r="D194" s="103">
        <v>14088</v>
      </c>
      <c r="E194" s="103">
        <v>15502</v>
      </c>
      <c r="F194" s="70" t="s">
        <v>2252</v>
      </c>
      <c r="G194" s="70">
        <v>3</v>
      </c>
    </row>
    <row r="195" spans="1:8">
      <c r="A195" s="125" t="s">
        <v>225</v>
      </c>
      <c r="B195" s="125">
        <v>2358621</v>
      </c>
      <c r="C195" s="233" t="s">
        <v>1176</v>
      </c>
      <c r="D195" s="103">
        <v>14123</v>
      </c>
      <c r="E195" s="103">
        <v>14872</v>
      </c>
      <c r="F195" s="70" t="s">
        <v>2251</v>
      </c>
      <c r="G195" s="70">
        <v>3</v>
      </c>
    </row>
    <row r="196" spans="1:8">
      <c r="A196" s="125" t="s">
        <v>225</v>
      </c>
      <c r="B196" s="125">
        <v>2401595</v>
      </c>
      <c r="C196" s="233" t="s">
        <v>1176</v>
      </c>
      <c r="D196" s="103">
        <v>14371</v>
      </c>
      <c r="E196" s="103">
        <v>15495</v>
      </c>
      <c r="F196" s="70" t="s">
        <v>2252</v>
      </c>
      <c r="G196" s="70">
        <v>3</v>
      </c>
    </row>
    <row r="197" spans="1:8">
      <c r="A197" s="125" t="s">
        <v>225</v>
      </c>
      <c r="B197" s="125">
        <v>2531156</v>
      </c>
      <c r="C197" s="233" t="s">
        <v>1176</v>
      </c>
      <c r="D197" s="103">
        <v>15082</v>
      </c>
      <c r="E197" s="103">
        <v>17126</v>
      </c>
      <c r="F197" s="70" t="s">
        <v>2266</v>
      </c>
      <c r="G197" s="70">
        <v>3</v>
      </c>
      <c r="H197" s="70" t="s">
        <v>1010</v>
      </c>
    </row>
    <row r="198" spans="1:8">
      <c r="C198" s="233"/>
      <c r="D198" s="103"/>
      <c r="E198" s="103"/>
    </row>
    <row r="199" spans="1:8">
      <c r="A199" s="125" t="s">
        <v>225</v>
      </c>
      <c r="B199" s="125" t="s">
        <v>1011</v>
      </c>
      <c r="C199" s="233" t="s">
        <v>913</v>
      </c>
      <c r="D199" s="103">
        <v>15186</v>
      </c>
      <c r="F199" s="70" t="s">
        <v>1012</v>
      </c>
    </row>
    <row r="200" spans="1:8">
      <c r="C200" s="233"/>
    </row>
    <row r="201" spans="1:8">
      <c r="A201" s="125" t="s">
        <v>2123</v>
      </c>
      <c r="C201" s="233"/>
    </row>
    <row r="202" spans="1:8">
      <c r="A202" s="234" t="s">
        <v>225</v>
      </c>
      <c r="B202" s="234">
        <v>1874235</v>
      </c>
      <c r="C202" s="235" t="s">
        <v>1176</v>
      </c>
      <c r="D202" s="103">
        <v>9231</v>
      </c>
      <c r="E202" s="103">
        <v>10469</v>
      </c>
      <c r="F202" s="70" t="s">
        <v>2253</v>
      </c>
      <c r="G202" s="70">
        <v>4</v>
      </c>
    </row>
    <row r="203" spans="1:8">
      <c r="A203" s="234" t="s">
        <v>225</v>
      </c>
      <c r="B203" s="234">
        <v>1931592</v>
      </c>
      <c r="C203" s="235" t="s">
        <v>1176</v>
      </c>
      <c r="D203" s="103">
        <v>9680</v>
      </c>
      <c r="E203" s="103">
        <v>10889</v>
      </c>
      <c r="F203" s="70" t="s">
        <v>2322</v>
      </c>
      <c r="G203" s="70">
        <v>4</v>
      </c>
    </row>
    <row r="204" spans="1:8">
      <c r="A204" s="125" t="s">
        <v>225</v>
      </c>
      <c r="B204" s="125">
        <v>2015063</v>
      </c>
      <c r="C204" s="233" t="s">
        <v>1176</v>
      </c>
      <c r="D204" s="103">
        <v>10071</v>
      </c>
      <c r="E204" s="103">
        <v>11589</v>
      </c>
      <c r="F204" s="70" t="s">
        <v>2255</v>
      </c>
      <c r="G204" s="70">
        <v>4</v>
      </c>
    </row>
    <row r="205" spans="1:8">
      <c r="A205" s="125" t="s">
        <v>225</v>
      </c>
      <c r="B205" s="125">
        <v>1886786</v>
      </c>
      <c r="C205" s="233" t="s">
        <v>1176</v>
      </c>
      <c r="D205" s="103">
        <v>10158</v>
      </c>
      <c r="E205" s="103">
        <v>10539</v>
      </c>
      <c r="F205" s="70" t="s">
        <v>2321</v>
      </c>
      <c r="G205" s="70">
        <v>4</v>
      </c>
    </row>
    <row r="206" spans="1:8">
      <c r="A206" s="125" t="s">
        <v>225</v>
      </c>
      <c r="B206" s="125">
        <v>1885045</v>
      </c>
      <c r="C206" s="233" t="s">
        <v>1176</v>
      </c>
      <c r="D206" s="103">
        <v>10203</v>
      </c>
      <c r="E206" s="103">
        <v>10525</v>
      </c>
      <c r="F206" s="70" t="s">
        <v>2255</v>
      </c>
      <c r="G206" s="70">
        <v>4</v>
      </c>
    </row>
    <row r="207" spans="1:8">
      <c r="A207" s="125" t="s">
        <v>225</v>
      </c>
      <c r="B207" s="125">
        <v>1926666</v>
      </c>
      <c r="C207" s="233" t="s">
        <v>1176</v>
      </c>
      <c r="D207" s="103">
        <v>10258</v>
      </c>
      <c r="E207" s="103">
        <v>10847</v>
      </c>
      <c r="F207" s="70" t="s">
        <v>2255</v>
      </c>
      <c r="G207" s="70">
        <v>4</v>
      </c>
    </row>
    <row r="208" spans="1:8">
      <c r="A208" s="125" t="s">
        <v>225</v>
      </c>
      <c r="B208" s="125">
        <v>1879867</v>
      </c>
      <c r="C208" s="233" t="s">
        <v>1176</v>
      </c>
      <c r="D208" s="103">
        <v>10287</v>
      </c>
      <c r="E208" s="103">
        <v>10497</v>
      </c>
      <c r="F208" s="70" t="s">
        <v>2254</v>
      </c>
      <c r="G208" s="70">
        <v>4</v>
      </c>
    </row>
    <row r="209" spans="1:7">
      <c r="A209" s="125" t="s">
        <v>225</v>
      </c>
      <c r="B209" s="125">
        <v>1947454</v>
      </c>
      <c r="C209" s="233" t="s">
        <v>1176</v>
      </c>
      <c r="D209" s="103">
        <v>10287</v>
      </c>
      <c r="E209" s="103">
        <v>11008</v>
      </c>
      <c r="F209" s="70" t="s">
        <v>2255</v>
      </c>
      <c r="G209" s="70">
        <v>4</v>
      </c>
    </row>
    <row r="210" spans="1:7">
      <c r="A210" s="125" t="s">
        <v>225</v>
      </c>
      <c r="B210" s="125">
        <v>1980370</v>
      </c>
      <c r="C210" s="233" t="s">
        <v>1176</v>
      </c>
      <c r="D210" s="103">
        <v>10287</v>
      </c>
      <c r="E210" s="103">
        <v>11274</v>
      </c>
      <c r="F210" s="70" t="s">
        <v>2255</v>
      </c>
      <c r="G210" s="70">
        <v>4</v>
      </c>
    </row>
    <row r="211" spans="1:7">
      <c r="A211" s="125" t="s">
        <v>225</v>
      </c>
      <c r="B211" s="125">
        <v>1947455</v>
      </c>
      <c r="C211" s="233" t="s">
        <v>1176</v>
      </c>
      <c r="D211" s="103">
        <v>10289</v>
      </c>
      <c r="E211" s="103">
        <v>11008</v>
      </c>
      <c r="F211" s="70" t="s">
        <v>2255</v>
      </c>
      <c r="G211" s="70">
        <v>4</v>
      </c>
    </row>
    <row r="212" spans="1:7">
      <c r="A212" s="125" t="s">
        <v>225</v>
      </c>
      <c r="B212" s="125">
        <v>1959354</v>
      </c>
      <c r="C212" s="233" t="s">
        <v>1176</v>
      </c>
      <c r="D212" s="103">
        <v>10387</v>
      </c>
      <c r="E212" s="103">
        <v>11099</v>
      </c>
      <c r="F212" s="70" t="s">
        <v>2365</v>
      </c>
      <c r="G212" s="70">
        <v>4</v>
      </c>
    </row>
    <row r="213" spans="1:7">
      <c r="A213" s="125" t="s">
        <v>225</v>
      </c>
      <c r="B213" s="125">
        <v>1947481</v>
      </c>
      <c r="C213" s="233" t="s">
        <v>1176</v>
      </c>
      <c r="D213" s="103">
        <v>10472</v>
      </c>
      <c r="E213" s="103">
        <v>11008</v>
      </c>
      <c r="F213" s="70" t="s">
        <v>2364</v>
      </c>
      <c r="G213" s="70">
        <v>4</v>
      </c>
    </row>
    <row r="214" spans="1:7">
      <c r="A214" s="125" t="s">
        <v>225</v>
      </c>
      <c r="B214" s="125">
        <v>1959338</v>
      </c>
      <c r="C214" s="233" t="s">
        <v>1176</v>
      </c>
      <c r="D214" s="103">
        <v>10472</v>
      </c>
      <c r="E214" s="103">
        <v>11099</v>
      </c>
      <c r="F214" s="70" t="s">
        <v>2255</v>
      </c>
      <c r="G214" s="70">
        <v>4</v>
      </c>
    </row>
    <row r="215" spans="1:7">
      <c r="A215" s="125" t="s">
        <v>225</v>
      </c>
      <c r="B215" s="125">
        <v>1975075</v>
      </c>
      <c r="C215" s="233" t="s">
        <v>1176</v>
      </c>
      <c r="D215" s="103">
        <v>10472</v>
      </c>
      <c r="E215" s="103">
        <v>11232</v>
      </c>
      <c r="F215" s="70" t="s">
        <v>2255</v>
      </c>
      <c r="G215" s="70">
        <v>4</v>
      </c>
    </row>
    <row r="216" spans="1:7">
      <c r="A216" s="125" t="s">
        <v>225</v>
      </c>
      <c r="B216" s="125">
        <v>1986842</v>
      </c>
      <c r="C216" s="233" t="s">
        <v>1176</v>
      </c>
      <c r="D216" s="103">
        <v>10482</v>
      </c>
      <c r="E216" s="103">
        <v>11330</v>
      </c>
      <c r="F216" s="70" t="s">
        <v>2364</v>
      </c>
      <c r="G216" s="70">
        <v>4</v>
      </c>
    </row>
    <row r="217" spans="1:7">
      <c r="A217" s="125" t="s">
        <v>225</v>
      </c>
      <c r="B217" s="125">
        <v>1986843</v>
      </c>
      <c r="C217" s="233" t="s">
        <v>1176</v>
      </c>
      <c r="D217" s="103">
        <v>10482</v>
      </c>
      <c r="E217" s="103">
        <v>11330</v>
      </c>
      <c r="F217" s="70" t="s">
        <v>2364</v>
      </c>
      <c r="G217" s="70">
        <v>4</v>
      </c>
    </row>
    <row r="218" spans="1:7">
      <c r="A218" s="125" t="s">
        <v>225</v>
      </c>
      <c r="B218" s="125">
        <v>2080829</v>
      </c>
      <c r="C218" s="233" t="s">
        <v>1176</v>
      </c>
      <c r="D218" s="103">
        <v>10482</v>
      </c>
      <c r="E218" s="103">
        <v>12191</v>
      </c>
      <c r="F218" s="70" t="s">
        <v>2364</v>
      </c>
      <c r="G218" s="70">
        <v>4</v>
      </c>
    </row>
    <row r="219" spans="1:7">
      <c r="A219" s="125" t="s">
        <v>225</v>
      </c>
      <c r="B219" s="125">
        <v>1999354</v>
      </c>
      <c r="C219" s="233" t="s">
        <v>1176</v>
      </c>
      <c r="D219" s="103">
        <v>10529</v>
      </c>
      <c r="E219" s="103">
        <v>11442</v>
      </c>
      <c r="F219" s="70" t="s">
        <v>2321</v>
      </c>
      <c r="G219" s="70">
        <v>4</v>
      </c>
    </row>
    <row r="220" spans="1:7">
      <c r="A220" s="125" t="s">
        <v>225</v>
      </c>
      <c r="B220" s="125">
        <v>1941614</v>
      </c>
      <c r="C220" s="233" t="s">
        <v>1176</v>
      </c>
      <c r="D220" s="103">
        <v>10571</v>
      </c>
      <c r="E220" s="103">
        <v>10959</v>
      </c>
      <c r="F220" s="70" t="s">
        <v>2364</v>
      </c>
      <c r="G220" s="70">
        <v>4</v>
      </c>
    </row>
    <row r="221" spans="1:7">
      <c r="A221" s="125" t="s">
        <v>225</v>
      </c>
      <c r="B221" s="125">
        <v>2026587</v>
      </c>
      <c r="C221" s="233" t="s">
        <v>1176</v>
      </c>
      <c r="D221" s="103">
        <v>10571</v>
      </c>
      <c r="E221" s="103">
        <v>11694</v>
      </c>
      <c r="F221" s="70" t="s">
        <v>2364</v>
      </c>
      <c r="G221" s="70">
        <v>4</v>
      </c>
    </row>
    <row r="222" spans="1:7">
      <c r="A222" s="125" t="s">
        <v>225</v>
      </c>
      <c r="B222" s="125">
        <v>2029332</v>
      </c>
      <c r="C222" s="233" t="s">
        <v>1176</v>
      </c>
      <c r="D222" s="103">
        <v>10577</v>
      </c>
      <c r="E222" s="103">
        <v>11722</v>
      </c>
      <c r="F222" s="70" t="s">
        <v>2364</v>
      </c>
      <c r="G222" s="70">
        <v>4</v>
      </c>
    </row>
    <row r="223" spans="1:7">
      <c r="A223" s="125" t="s">
        <v>225</v>
      </c>
      <c r="B223" s="125">
        <v>1959339</v>
      </c>
      <c r="C223" s="233" t="s">
        <v>1176</v>
      </c>
      <c r="D223" s="103">
        <v>10582</v>
      </c>
      <c r="E223" s="103">
        <v>11099</v>
      </c>
      <c r="F223" s="70" t="s">
        <v>2255</v>
      </c>
      <c r="G223" s="70">
        <v>4</v>
      </c>
    </row>
    <row r="224" spans="1:7">
      <c r="A224" s="125" t="s">
        <v>225</v>
      </c>
      <c r="B224" s="125">
        <v>1969720</v>
      </c>
      <c r="C224" s="233" t="s">
        <v>1176</v>
      </c>
      <c r="D224" s="103">
        <v>10582</v>
      </c>
      <c r="E224" s="103">
        <v>11183</v>
      </c>
      <c r="F224" s="70" t="s">
        <v>2255</v>
      </c>
      <c r="G224" s="70">
        <v>4</v>
      </c>
    </row>
    <row r="225" spans="1:7">
      <c r="A225" s="125" t="s">
        <v>225</v>
      </c>
      <c r="B225" s="125">
        <v>1969721</v>
      </c>
      <c r="C225" s="233" t="s">
        <v>1176</v>
      </c>
      <c r="D225" s="103">
        <v>10582</v>
      </c>
      <c r="E225" s="106">
        <v>11183</v>
      </c>
      <c r="F225" s="70" t="s">
        <v>2255</v>
      </c>
      <c r="G225" s="70">
        <v>4</v>
      </c>
    </row>
    <row r="226" spans="1:7">
      <c r="A226" s="125" t="s">
        <v>225</v>
      </c>
      <c r="B226" s="125">
        <v>1986844</v>
      </c>
      <c r="C226" s="233" t="s">
        <v>1176</v>
      </c>
      <c r="D226" s="103">
        <v>10582</v>
      </c>
      <c r="E226" s="103">
        <v>11330</v>
      </c>
      <c r="F226" s="70" t="s">
        <v>2364</v>
      </c>
      <c r="G226" s="70">
        <v>4</v>
      </c>
    </row>
    <row r="227" spans="1:7">
      <c r="A227" s="125" t="s">
        <v>225</v>
      </c>
      <c r="B227" s="125">
        <v>1968019</v>
      </c>
      <c r="C227" s="233" t="s">
        <v>1176</v>
      </c>
      <c r="D227" s="103">
        <v>10588</v>
      </c>
      <c r="E227" s="103">
        <v>11169</v>
      </c>
      <c r="F227" s="70" t="s">
        <v>2255</v>
      </c>
      <c r="G227" s="70">
        <v>4</v>
      </c>
    </row>
    <row r="228" spans="1:7">
      <c r="A228" s="125" t="s">
        <v>225</v>
      </c>
      <c r="B228" s="125">
        <v>1969722</v>
      </c>
      <c r="C228" s="233" t="s">
        <v>1176</v>
      </c>
      <c r="D228" s="103">
        <v>10589</v>
      </c>
      <c r="E228" s="103">
        <v>11183</v>
      </c>
      <c r="F228" s="70" t="s">
        <v>2255</v>
      </c>
      <c r="G228" s="70">
        <v>4</v>
      </c>
    </row>
    <row r="229" spans="1:7">
      <c r="A229" s="125" t="s">
        <v>225</v>
      </c>
      <c r="B229" s="125">
        <v>1969764</v>
      </c>
      <c r="C229" s="233" t="s">
        <v>1176</v>
      </c>
      <c r="D229" s="103">
        <v>10650</v>
      </c>
      <c r="E229" s="103">
        <v>11183</v>
      </c>
      <c r="F229" s="70" t="s">
        <v>2366</v>
      </c>
      <c r="G229" s="70">
        <v>4</v>
      </c>
    </row>
    <row r="230" spans="1:7">
      <c r="A230" s="125" t="s">
        <v>225</v>
      </c>
      <c r="B230" s="125">
        <v>1986789</v>
      </c>
      <c r="C230" s="233" t="s">
        <v>1176</v>
      </c>
      <c r="D230" s="103">
        <v>10792</v>
      </c>
      <c r="E230" s="103">
        <v>11330</v>
      </c>
      <c r="F230" s="70" t="s">
        <v>2255</v>
      </c>
      <c r="G230" s="70">
        <v>4</v>
      </c>
    </row>
    <row r="231" spans="1:7">
      <c r="A231" s="125" t="s">
        <v>225</v>
      </c>
      <c r="B231" s="125">
        <v>2046364</v>
      </c>
      <c r="C231" s="233" t="s">
        <v>1176</v>
      </c>
      <c r="D231" s="103">
        <v>10792</v>
      </c>
      <c r="E231" s="103">
        <v>11876</v>
      </c>
      <c r="F231" s="70" t="s">
        <v>2255</v>
      </c>
      <c r="G231" s="70">
        <v>4</v>
      </c>
    </row>
    <row r="232" spans="1:7">
      <c r="A232" s="125" t="s">
        <v>225</v>
      </c>
      <c r="B232" s="125">
        <v>1991368</v>
      </c>
      <c r="C232" s="233" t="s">
        <v>1176</v>
      </c>
      <c r="D232" s="103">
        <v>10837</v>
      </c>
      <c r="E232" s="103">
        <v>11372</v>
      </c>
      <c r="F232" s="70" t="s">
        <v>2255</v>
      </c>
      <c r="G232" s="70">
        <v>4</v>
      </c>
    </row>
    <row r="233" spans="1:7">
      <c r="A233" s="125" t="s">
        <v>225</v>
      </c>
      <c r="B233" s="125">
        <v>2043227</v>
      </c>
      <c r="C233" s="233" t="s">
        <v>1176</v>
      </c>
      <c r="D233" s="103">
        <v>10977</v>
      </c>
      <c r="E233" s="103">
        <v>11848</v>
      </c>
      <c r="F233" s="70" t="s">
        <v>2255</v>
      </c>
      <c r="G233" s="70">
        <v>4</v>
      </c>
    </row>
    <row r="234" spans="1:7">
      <c r="A234" s="125" t="s">
        <v>225</v>
      </c>
      <c r="B234" s="125">
        <v>2049465</v>
      </c>
      <c r="C234" s="233" t="s">
        <v>1176</v>
      </c>
      <c r="D234" s="103">
        <v>10983</v>
      </c>
      <c r="E234" s="103">
        <v>11904</v>
      </c>
      <c r="F234" s="70" t="s">
        <v>2364</v>
      </c>
      <c r="G234" s="70">
        <v>4</v>
      </c>
    </row>
    <row r="235" spans="1:7">
      <c r="A235" s="125" t="s">
        <v>225</v>
      </c>
      <c r="B235" s="125">
        <v>2186444</v>
      </c>
      <c r="C235" s="233" t="s">
        <v>1176</v>
      </c>
      <c r="D235" s="103">
        <v>11063</v>
      </c>
      <c r="E235" s="103">
        <v>13157</v>
      </c>
      <c r="F235" s="70" t="s">
        <v>2367</v>
      </c>
      <c r="G235" s="70">
        <v>4</v>
      </c>
    </row>
    <row r="236" spans="1:7">
      <c r="A236" s="125" t="s">
        <v>225</v>
      </c>
      <c r="B236" s="125">
        <v>2186445</v>
      </c>
      <c r="C236" s="233" t="s">
        <v>1176</v>
      </c>
      <c r="D236" s="103">
        <v>11063</v>
      </c>
      <c r="E236" s="103">
        <v>13157</v>
      </c>
      <c r="F236" s="70" t="s">
        <v>2255</v>
      </c>
      <c r="G236" s="70">
        <v>4</v>
      </c>
    </row>
    <row r="237" spans="1:7">
      <c r="A237" s="125" t="s">
        <v>225</v>
      </c>
      <c r="B237" s="125">
        <v>2233765</v>
      </c>
      <c r="C237" s="233" t="s">
        <v>1176</v>
      </c>
      <c r="D237" s="103">
        <v>11063</v>
      </c>
      <c r="E237" s="103">
        <v>13577</v>
      </c>
      <c r="F237" s="70" t="s">
        <v>2255</v>
      </c>
      <c r="G237" s="70">
        <v>4</v>
      </c>
    </row>
    <row r="238" spans="1:7">
      <c r="A238" s="125" t="s">
        <v>225</v>
      </c>
      <c r="B238" s="125">
        <v>2286594</v>
      </c>
      <c r="C238" s="233" t="s">
        <v>1176</v>
      </c>
      <c r="D238" s="103">
        <v>11063</v>
      </c>
      <c r="E238" s="103">
        <v>14046</v>
      </c>
      <c r="F238" s="70" t="s">
        <v>2255</v>
      </c>
      <c r="G238" s="70">
        <v>4</v>
      </c>
    </row>
    <row r="239" spans="1:7">
      <c r="A239" s="125" t="s">
        <v>225</v>
      </c>
      <c r="B239" s="125">
        <v>2070974</v>
      </c>
      <c r="C239" s="233" t="s">
        <v>1176</v>
      </c>
      <c r="D239" s="103">
        <v>11074</v>
      </c>
      <c r="E239" s="103">
        <v>12100</v>
      </c>
      <c r="F239" s="70" t="s">
        <v>2364</v>
      </c>
      <c r="G239" s="70">
        <v>4</v>
      </c>
    </row>
    <row r="240" spans="1:7">
      <c r="A240" s="125" t="s">
        <v>225</v>
      </c>
      <c r="B240" s="125">
        <v>2062289</v>
      </c>
      <c r="C240" s="233" t="s">
        <v>1176</v>
      </c>
      <c r="D240" s="103">
        <v>11116</v>
      </c>
      <c r="E240" s="103">
        <v>12023</v>
      </c>
      <c r="F240" s="70" t="s">
        <v>2255</v>
      </c>
      <c r="G240" s="70">
        <v>4</v>
      </c>
    </row>
    <row r="241" spans="1:7">
      <c r="A241" s="125" t="s">
        <v>225</v>
      </c>
      <c r="B241" s="125">
        <v>2168858</v>
      </c>
      <c r="C241" s="233" t="s">
        <v>1176</v>
      </c>
      <c r="D241" s="103">
        <v>11116</v>
      </c>
      <c r="E241" s="103">
        <v>13003</v>
      </c>
      <c r="F241" s="70" t="s">
        <v>2255</v>
      </c>
      <c r="G241" s="70">
        <v>4</v>
      </c>
    </row>
    <row r="242" spans="1:7">
      <c r="A242" s="125" t="s">
        <v>225</v>
      </c>
      <c r="B242" s="125">
        <v>2046341</v>
      </c>
      <c r="C242" s="233" t="s">
        <v>1176</v>
      </c>
      <c r="D242" s="103">
        <v>11397</v>
      </c>
      <c r="E242" s="103">
        <v>11876</v>
      </c>
      <c r="F242" s="70" t="s">
        <v>2367</v>
      </c>
      <c r="G242" s="70">
        <v>4</v>
      </c>
    </row>
    <row r="243" spans="1:7">
      <c r="A243" s="125" t="s">
        <v>225</v>
      </c>
      <c r="B243" s="125">
        <v>2066320</v>
      </c>
      <c r="C243" s="233" t="s">
        <v>1176</v>
      </c>
      <c r="D243" s="103">
        <v>11617</v>
      </c>
      <c r="E243" s="103">
        <v>12058</v>
      </c>
      <c r="F243" s="70" t="s">
        <v>2255</v>
      </c>
      <c r="G243" s="70">
        <v>4</v>
      </c>
    </row>
    <row r="244" spans="1:7">
      <c r="A244" s="125" t="s">
        <v>225</v>
      </c>
      <c r="B244" s="125">
        <v>2066321</v>
      </c>
      <c r="C244" s="233" t="s">
        <v>1176</v>
      </c>
      <c r="D244" s="103">
        <v>11663</v>
      </c>
      <c r="E244" s="103">
        <v>12058</v>
      </c>
      <c r="F244" s="70" t="s">
        <v>2255</v>
      </c>
      <c r="G244" s="70">
        <v>4</v>
      </c>
    </row>
    <row r="245" spans="1:7">
      <c r="A245" s="125" t="s">
        <v>225</v>
      </c>
      <c r="B245" s="125">
        <v>2066322</v>
      </c>
      <c r="C245" s="233" t="s">
        <v>1176</v>
      </c>
      <c r="D245" s="103">
        <v>11663</v>
      </c>
      <c r="E245" s="103">
        <v>12058</v>
      </c>
      <c r="F245" s="70" t="s">
        <v>2255</v>
      </c>
      <c r="G245" s="70">
        <v>4</v>
      </c>
    </row>
    <row r="246" spans="1:7">
      <c r="A246" s="125" t="s">
        <v>225</v>
      </c>
      <c r="B246" s="125">
        <v>2066323</v>
      </c>
      <c r="C246" s="233" t="s">
        <v>1176</v>
      </c>
      <c r="D246" s="103">
        <v>11663</v>
      </c>
      <c r="E246" s="103">
        <v>12058</v>
      </c>
      <c r="F246" s="70" t="s">
        <v>2320</v>
      </c>
      <c r="G246" s="70">
        <v>4</v>
      </c>
    </row>
    <row r="247" spans="1:7">
      <c r="A247" s="125" t="s">
        <v>225</v>
      </c>
      <c r="B247" s="125">
        <v>2081263</v>
      </c>
      <c r="C247" s="233" t="s">
        <v>1176</v>
      </c>
      <c r="D247" s="103">
        <v>11663</v>
      </c>
      <c r="E247" s="103">
        <v>12198</v>
      </c>
      <c r="F247" s="70" t="s">
        <v>2255</v>
      </c>
      <c r="G247" s="70">
        <v>4</v>
      </c>
    </row>
    <row r="248" spans="1:7">
      <c r="A248" s="125" t="s">
        <v>225</v>
      </c>
      <c r="B248" s="125">
        <v>2150201</v>
      </c>
      <c r="C248" s="233" t="s">
        <v>1176</v>
      </c>
      <c r="D248" s="103">
        <v>11663</v>
      </c>
      <c r="E248" s="103">
        <v>12856</v>
      </c>
      <c r="F248" s="70" t="s">
        <v>2255</v>
      </c>
      <c r="G248" s="70">
        <v>4</v>
      </c>
    </row>
    <row r="249" spans="1:7">
      <c r="A249" s="125" t="s">
        <v>225</v>
      </c>
      <c r="B249" s="125">
        <v>2161413</v>
      </c>
      <c r="C249" s="233" t="s">
        <v>1176</v>
      </c>
      <c r="D249" s="103">
        <v>11800</v>
      </c>
      <c r="E249" s="103">
        <v>12940</v>
      </c>
      <c r="F249" s="70" t="s">
        <v>2369</v>
      </c>
      <c r="G249" s="70">
        <v>4</v>
      </c>
    </row>
    <row r="250" spans="1:7">
      <c r="A250" s="125" t="s">
        <v>225</v>
      </c>
      <c r="B250" s="125">
        <v>2099291</v>
      </c>
      <c r="C250" s="233" t="s">
        <v>1176</v>
      </c>
      <c r="D250" s="103">
        <v>11822</v>
      </c>
      <c r="E250" s="103">
        <v>12373</v>
      </c>
      <c r="F250" s="70" t="s">
        <v>2255</v>
      </c>
      <c r="G250" s="70">
        <v>4</v>
      </c>
    </row>
    <row r="251" spans="1:7">
      <c r="A251" s="125" t="s">
        <v>225</v>
      </c>
      <c r="B251" s="125">
        <v>2158517</v>
      </c>
      <c r="C251" s="233" t="s">
        <v>1176</v>
      </c>
      <c r="D251" s="103">
        <v>12027</v>
      </c>
      <c r="E251" s="103">
        <v>12919</v>
      </c>
      <c r="F251" s="70" t="s">
        <v>2367</v>
      </c>
      <c r="G251" s="70">
        <v>4</v>
      </c>
    </row>
    <row r="252" spans="1:7">
      <c r="A252" s="125" t="s">
        <v>225</v>
      </c>
      <c r="B252" s="125">
        <v>2185376</v>
      </c>
      <c r="C252" s="233" t="s">
        <v>1176</v>
      </c>
      <c r="D252" s="103">
        <v>12027</v>
      </c>
      <c r="E252" s="103">
        <v>13150</v>
      </c>
      <c r="F252" s="70" t="s">
        <v>2367</v>
      </c>
      <c r="G252" s="70">
        <v>4</v>
      </c>
    </row>
    <row r="253" spans="1:7">
      <c r="A253" s="125" t="s">
        <v>225</v>
      </c>
      <c r="B253" s="125">
        <v>2222932</v>
      </c>
      <c r="C253" s="233" t="s">
        <v>1176</v>
      </c>
      <c r="D253" s="103">
        <v>12307</v>
      </c>
      <c r="E253" s="103">
        <v>13479</v>
      </c>
      <c r="F253" s="70" t="s">
        <v>2255</v>
      </c>
      <c r="G253" s="70">
        <v>4</v>
      </c>
    </row>
    <row r="254" spans="1:7">
      <c r="A254" s="125" t="s">
        <v>225</v>
      </c>
      <c r="B254" s="125">
        <v>2174961</v>
      </c>
      <c r="C254" s="233" t="s">
        <v>1176</v>
      </c>
      <c r="D254" s="103">
        <v>12362</v>
      </c>
      <c r="E254" s="103">
        <v>13059</v>
      </c>
      <c r="F254" s="70" t="s">
        <v>2255</v>
      </c>
      <c r="G254" s="70">
        <v>4</v>
      </c>
    </row>
    <row r="255" spans="1:7">
      <c r="A255" s="125" t="s">
        <v>225</v>
      </c>
      <c r="B255" s="125">
        <v>2138614</v>
      </c>
      <c r="C255" s="233" t="s">
        <v>1176</v>
      </c>
      <c r="D255" s="103">
        <v>12367</v>
      </c>
      <c r="E255" s="103">
        <v>12751</v>
      </c>
      <c r="F255" s="70" t="s">
        <v>2368</v>
      </c>
      <c r="G255" s="70">
        <v>4</v>
      </c>
    </row>
    <row r="256" spans="1:7">
      <c r="A256" s="125" t="s">
        <v>225</v>
      </c>
      <c r="B256" s="125">
        <v>2180425</v>
      </c>
      <c r="C256" s="233" t="s">
        <v>1176</v>
      </c>
      <c r="D256" s="103">
        <v>12395</v>
      </c>
      <c r="E256" s="103">
        <v>13108</v>
      </c>
      <c r="F256" s="70" t="s">
        <v>2367</v>
      </c>
      <c r="G256" s="70">
        <v>4</v>
      </c>
    </row>
    <row r="257" spans="1:7">
      <c r="A257" s="125" t="s">
        <v>225</v>
      </c>
      <c r="B257" s="125">
        <v>2227316</v>
      </c>
      <c r="C257" s="233" t="s">
        <v>1176</v>
      </c>
      <c r="D257" s="103">
        <v>12461</v>
      </c>
      <c r="E257" s="103">
        <v>13514</v>
      </c>
      <c r="F257" s="70" t="s">
        <v>2364</v>
      </c>
      <c r="G257" s="70">
        <v>4</v>
      </c>
    </row>
    <row r="258" spans="1:7">
      <c r="A258" s="125" t="s">
        <v>225</v>
      </c>
      <c r="B258" s="125">
        <v>2213983</v>
      </c>
      <c r="C258" s="233" t="s">
        <v>1176</v>
      </c>
      <c r="D258" s="103">
        <v>12611</v>
      </c>
      <c r="E258" s="103">
        <v>13402</v>
      </c>
      <c r="F258" s="70" t="s">
        <v>2369</v>
      </c>
      <c r="G258" s="70">
        <v>4</v>
      </c>
    </row>
    <row r="259" spans="1:7">
      <c r="A259" s="125" t="s">
        <v>225</v>
      </c>
      <c r="B259" s="125">
        <v>2257727</v>
      </c>
      <c r="C259" s="233" t="s">
        <v>1176</v>
      </c>
      <c r="D259" s="103">
        <v>12846</v>
      </c>
      <c r="E259" s="103">
        <v>13794</v>
      </c>
      <c r="F259" s="70" t="s">
        <v>2255</v>
      </c>
      <c r="G259" s="70">
        <v>4</v>
      </c>
    </row>
    <row r="260" spans="1:7">
      <c r="A260" s="125" t="s">
        <v>225</v>
      </c>
      <c r="B260" s="125">
        <v>2320506</v>
      </c>
      <c r="C260" s="233" t="s">
        <v>1176</v>
      </c>
      <c r="D260" s="103">
        <v>12846</v>
      </c>
      <c r="E260" s="103">
        <v>14396</v>
      </c>
      <c r="F260" s="70" t="s">
        <v>2255</v>
      </c>
      <c r="G260" s="70">
        <v>4</v>
      </c>
    </row>
    <row r="261" spans="1:7">
      <c r="A261" s="125" t="s">
        <v>225</v>
      </c>
      <c r="B261" s="125">
        <v>2318367</v>
      </c>
      <c r="C261" s="233" t="s">
        <v>1176</v>
      </c>
      <c r="D261" s="103">
        <v>12982</v>
      </c>
      <c r="E261" s="103">
        <v>14368</v>
      </c>
      <c r="F261" s="70" t="s">
        <v>2286</v>
      </c>
      <c r="G261" s="70">
        <v>4</v>
      </c>
    </row>
    <row r="262" spans="1:7">
      <c r="A262" s="125" t="s">
        <v>225</v>
      </c>
      <c r="B262" s="125">
        <v>2390823</v>
      </c>
      <c r="C262" s="233" t="s">
        <v>1176</v>
      </c>
      <c r="D262" s="103">
        <v>13514</v>
      </c>
      <c r="E262" s="103">
        <v>15320</v>
      </c>
      <c r="F262" s="70" t="s">
        <v>2255</v>
      </c>
      <c r="G262" s="70">
        <v>4</v>
      </c>
    </row>
    <row r="263" spans="1:7">
      <c r="A263" s="125" t="s">
        <v>225</v>
      </c>
      <c r="B263" s="125">
        <v>2300666</v>
      </c>
      <c r="C263" s="233" t="s">
        <v>1176</v>
      </c>
      <c r="D263" s="103">
        <v>13629</v>
      </c>
      <c r="E263" s="103">
        <v>14186</v>
      </c>
      <c r="F263" s="70" t="s">
        <v>2369</v>
      </c>
      <c r="G263" s="70">
        <v>4</v>
      </c>
    </row>
    <row r="264" spans="1:7">
      <c r="A264" s="125" t="s">
        <v>225</v>
      </c>
      <c r="B264" s="125">
        <v>2375067</v>
      </c>
      <c r="C264" s="233" t="s">
        <v>1176</v>
      </c>
      <c r="D264" s="103">
        <v>13746</v>
      </c>
      <c r="E264" s="103">
        <v>15096</v>
      </c>
      <c r="F264" s="70" t="s">
        <v>2255</v>
      </c>
      <c r="G264" s="70">
        <v>4</v>
      </c>
    </row>
    <row r="265" spans="1:7">
      <c r="A265" s="125" t="s">
        <v>225</v>
      </c>
      <c r="B265" s="125">
        <v>2375068</v>
      </c>
      <c r="C265" s="233" t="s">
        <v>1176</v>
      </c>
      <c r="D265" s="103">
        <v>13746</v>
      </c>
      <c r="E265" s="103">
        <v>15096</v>
      </c>
      <c r="F265" s="70" t="s">
        <v>2255</v>
      </c>
      <c r="G265" s="70">
        <v>4</v>
      </c>
    </row>
    <row r="266" spans="1:7">
      <c r="A266" s="125" t="s">
        <v>225</v>
      </c>
      <c r="B266" s="125">
        <v>2368097</v>
      </c>
      <c r="C266" s="233" t="s">
        <v>1176</v>
      </c>
      <c r="D266" s="103">
        <v>13770</v>
      </c>
      <c r="E266" s="103">
        <v>15005</v>
      </c>
      <c r="F266" s="70" t="s">
        <v>2255</v>
      </c>
      <c r="G266" s="70">
        <v>4</v>
      </c>
    </row>
    <row r="267" spans="1:7">
      <c r="A267" s="125" t="s">
        <v>225</v>
      </c>
      <c r="B267" s="125">
        <v>2315039</v>
      </c>
      <c r="C267" s="233" t="s">
        <v>1176</v>
      </c>
      <c r="D267" s="103">
        <v>13790</v>
      </c>
      <c r="E267" s="103">
        <v>14333</v>
      </c>
      <c r="F267" s="70" t="s">
        <v>2285</v>
      </c>
      <c r="G267" s="70">
        <v>4</v>
      </c>
    </row>
    <row r="268" spans="1:7">
      <c r="A268" s="125" t="s">
        <v>225</v>
      </c>
      <c r="B268" s="125">
        <v>2354191</v>
      </c>
      <c r="C268" s="233" t="s">
        <v>1176</v>
      </c>
      <c r="D268" s="103">
        <v>14063</v>
      </c>
      <c r="E268" s="103">
        <v>14816</v>
      </c>
      <c r="F268" s="70" t="s">
        <v>2255</v>
      </c>
      <c r="G268" s="70">
        <v>4</v>
      </c>
    </row>
    <row r="269" spans="1:7">
      <c r="A269" s="125" t="s">
        <v>225</v>
      </c>
      <c r="B269" s="125">
        <v>2375069</v>
      </c>
      <c r="C269" s="233" t="s">
        <v>1176</v>
      </c>
      <c r="D269" s="103">
        <v>14063</v>
      </c>
      <c r="E269" s="103">
        <v>15096</v>
      </c>
      <c r="F269" s="70" t="s">
        <v>2255</v>
      </c>
      <c r="G269" s="70">
        <v>4</v>
      </c>
    </row>
    <row r="270" spans="1:7">
      <c r="A270" s="125" t="s">
        <v>225</v>
      </c>
      <c r="B270" s="125">
        <v>2419054</v>
      </c>
      <c r="C270" s="233" t="s">
        <v>1176</v>
      </c>
      <c r="D270" s="103">
        <v>14148</v>
      </c>
      <c r="E270" s="103">
        <v>15810</v>
      </c>
      <c r="F270" s="70" t="s">
        <v>2255</v>
      </c>
      <c r="G270" s="70">
        <v>4</v>
      </c>
    </row>
    <row r="271" spans="1:7">
      <c r="A271" s="125" t="s">
        <v>225</v>
      </c>
      <c r="B271" s="125">
        <v>2382120</v>
      </c>
      <c r="C271" s="233" t="s">
        <v>1176</v>
      </c>
      <c r="D271" s="103">
        <v>14208</v>
      </c>
      <c r="E271" s="103">
        <v>15201</v>
      </c>
      <c r="F271" s="70" t="s">
        <v>2224</v>
      </c>
      <c r="G271" s="70">
        <v>4</v>
      </c>
    </row>
    <row r="272" spans="1:7">
      <c r="A272" s="125" t="s">
        <v>225</v>
      </c>
      <c r="B272" s="125">
        <v>2433729</v>
      </c>
      <c r="C272" s="233" t="s">
        <v>1176</v>
      </c>
      <c r="D272" s="103">
        <v>14361</v>
      </c>
      <c r="E272" s="103">
        <v>16069</v>
      </c>
      <c r="F272" s="70" t="s">
        <v>2255</v>
      </c>
      <c r="G272" s="70">
        <v>4</v>
      </c>
    </row>
    <row r="273" spans="1:8">
      <c r="A273" s="125" t="s">
        <v>225</v>
      </c>
      <c r="B273" s="125">
        <v>2388899</v>
      </c>
      <c r="C273" s="233" t="s">
        <v>1176</v>
      </c>
      <c r="D273" s="103">
        <v>14698</v>
      </c>
      <c r="E273" s="103">
        <v>15292</v>
      </c>
      <c r="F273" s="70" t="s">
        <v>2255</v>
      </c>
      <c r="G273" s="70">
        <v>4</v>
      </c>
    </row>
    <row r="274" spans="1:8">
      <c r="A274" s="125" t="s">
        <v>225</v>
      </c>
      <c r="B274" s="125">
        <v>2414352</v>
      </c>
      <c r="C274" s="233" t="s">
        <v>1176</v>
      </c>
      <c r="D274" s="103">
        <v>14797</v>
      </c>
      <c r="E274" s="103">
        <v>15719</v>
      </c>
      <c r="F274" s="70" t="s">
        <v>2255</v>
      </c>
      <c r="G274" s="70">
        <v>4</v>
      </c>
    </row>
    <row r="275" spans="1:8">
      <c r="A275" s="125" t="s">
        <v>225</v>
      </c>
      <c r="B275" s="125">
        <v>2412556</v>
      </c>
      <c r="C275" s="233" t="s">
        <v>1176</v>
      </c>
      <c r="D275" s="103">
        <v>14827</v>
      </c>
      <c r="E275" s="103">
        <v>15691</v>
      </c>
      <c r="F275" s="70" t="s">
        <v>2255</v>
      </c>
      <c r="G275" s="70">
        <v>4</v>
      </c>
    </row>
    <row r="276" spans="1:8">
      <c r="A276" s="125" t="s">
        <v>225</v>
      </c>
      <c r="B276" s="125">
        <v>2433505</v>
      </c>
      <c r="C276" s="233" t="s">
        <v>1176</v>
      </c>
      <c r="D276" s="103">
        <v>14874</v>
      </c>
      <c r="E276" s="103">
        <v>16069</v>
      </c>
      <c r="F276" s="70" t="s">
        <v>2255</v>
      </c>
      <c r="G276" s="70">
        <v>4</v>
      </c>
    </row>
    <row r="277" spans="1:8">
      <c r="A277" s="125" t="s">
        <v>225</v>
      </c>
      <c r="B277" s="125">
        <v>2399849</v>
      </c>
      <c r="C277" s="233" t="s">
        <v>1176</v>
      </c>
      <c r="D277" s="103">
        <v>15014</v>
      </c>
      <c r="E277" s="103">
        <v>15467</v>
      </c>
      <c r="F277" s="70" t="s">
        <v>2225</v>
      </c>
      <c r="G277" s="70">
        <v>4</v>
      </c>
    </row>
    <row r="278" spans="1:8">
      <c r="C278" s="233"/>
    </row>
    <row r="279" spans="1:8">
      <c r="A279" s="125" t="s">
        <v>2270</v>
      </c>
      <c r="C279" s="233"/>
    </row>
    <row r="280" spans="1:8">
      <c r="A280" s="125" t="s">
        <v>225</v>
      </c>
      <c r="B280" s="125">
        <v>2597222</v>
      </c>
      <c r="C280" s="233" t="s">
        <v>1176</v>
      </c>
      <c r="D280" s="103">
        <v>16079</v>
      </c>
      <c r="E280" s="103">
        <v>17672</v>
      </c>
      <c r="F280" s="70" t="s">
        <v>2227</v>
      </c>
      <c r="G280" s="70">
        <v>4</v>
      </c>
      <c r="H280" s="70" t="s">
        <v>936</v>
      </c>
    </row>
    <row r="281" spans="1:8">
      <c r="A281" s="125" t="s">
        <v>225</v>
      </c>
      <c r="B281" s="125">
        <v>2457437</v>
      </c>
      <c r="C281" s="233" t="s">
        <v>1176</v>
      </c>
      <c r="D281" s="103">
        <v>14831</v>
      </c>
      <c r="E281" s="103">
        <v>16433</v>
      </c>
      <c r="F281" s="70" t="s">
        <v>2226</v>
      </c>
      <c r="G281" s="70">
        <v>4</v>
      </c>
      <c r="H281" s="70" t="s">
        <v>937</v>
      </c>
    </row>
    <row r="282" spans="1:8">
      <c r="A282" s="125" t="s">
        <v>225</v>
      </c>
      <c r="B282" s="125">
        <v>2516747</v>
      </c>
      <c r="C282" s="233" t="s">
        <v>1176</v>
      </c>
      <c r="D282" s="103">
        <v>15216</v>
      </c>
      <c r="E282" s="103">
        <v>17007</v>
      </c>
      <c r="F282" s="70" t="s">
        <v>2226</v>
      </c>
      <c r="G282" s="70">
        <v>4</v>
      </c>
      <c r="H282" s="70" t="s">
        <v>1053</v>
      </c>
    </row>
    <row r="283" spans="1:8">
      <c r="A283" s="125" t="s">
        <v>225</v>
      </c>
      <c r="B283" s="125">
        <v>2532477</v>
      </c>
      <c r="C283" s="233" t="s">
        <v>1176</v>
      </c>
      <c r="D283" s="103">
        <v>15324</v>
      </c>
      <c r="E283" s="103">
        <v>17140</v>
      </c>
      <c r="F283" s="70" t="s">
        <v>2226</v>
      </c>
      <c r="G283" s="70">
        <v>4</v>
      </c>
      <c r="H283" s="70" t="s">
        <v>1058</v>
      </c>
    </row>
    <row r="284" spans="1:8">
      <c r="A284" s="125" t="s">
        <v>225</v>
      </c>
      <c r="B284" s="125">
        <v>2501305</v>
      </c>
      <c r="C284" s="233" t="s">
        <v>1176</v>
      </c>
      <c r="D284" s="103">
        <v>15481</v>
      </c>
      <c r="E284" s="103">
        <v>16881</v>
      </c>
      <c r="F284" s="70" t="s">
        <v>2226</v>
      </c>
      <c r="G284" s="70">
        <v>4</v>
      </c>
      <c r="H284" s="70" t="s">
        <v>1059</v>
      </c>
    </row>
    <row r="285" spans="1:8">
      <c r="A285" s="125" t="s">
        <v>225</v>
      </c>
      <c r="B285" s="125">
        <v>2493909</v>
      </c>
      <c r="C285" s="233" t="s">
        <v>1176</v>
      </c>
      <c r="D285" s="103">
        <v>15487</v>
      </c>
      <c r="E285" s="103">
        <v>16811</v>
      </c>
      <c r="F285" s="70" t="s">
        <v>2227</v>
      </c>
      <c r="G285" s="70">
        <v>4</v>
      </c>
      <c r="H285" s="70" t="s">
        <v>1060</v>
      </c>
    </row>
    <row r="286" spans="1:8">
      <c r="A286" s="125" t="s">
        <v>225</v>
      </c>
      <c r="B286" s="125">
        <v>2457438</v>
      </c>
      <c r="C286" s="233" t="s">
        <v>1176</v>
      </c>
      <c r="D286" s="103">
        <v>15544</v>
      </c>
      <c r="E286" s="103">
        <v>16433</v>
      </c>
      <c r="F286" s="70" t="s">
        <v>2125</v>
      </c>
      <c r="G286" s="70">
        <v>4</v>
      </c>
      <c r="H286" s="70" t="s">
        <v>1061</v>
      </c>
    </row>
    <row r="287" spans="1:8">
      <c r="A287" s="125" t="s">
        <v>225</v>
      </c>
      <c r="B287" s="125">
        <v>2555840</v>
      </c>
      <c r="C287" s="233" t="s">
        <v>1176</v>
      </c>
      <c r="D287" s="103">
        <v>15604</v>
      </c>
      <c r="E287" s="103">
        <v>17322</v>
      </c>
      <c r="F287" s="70" t="s">
        <v>2226</v>
      </c>
      <c r="G287" s="70">
        <v>4</v>
      </c>
      <c r="H287" s="70" t="s">
        <v>1062</v>
      </c>
    </row>
    <row r="288" spans="1:8">
      <c r="A288" s="125" t="s">
        <v>225</v>
      </c>
      <c r="B288" s="125">
        <v>2476953</v>
      </c>
      <c r="C288" s="233" t="s">
        <v>1176</v>
      </c>
      <c r="D288" s="103">
        <v>15811</v>
      </c>
      <c r="E288" s="103">
        <v>16643</v>
      </c>
      <c r="F288" s="70" t="s">
        <v>2226</v>
      </c>
      <c r="G288" s="70">
        <v>4</v>
      </c>
      <c r="H288" s="70" t="s">
        <v>1063</v>
      </c>
    </row>
    <row r="289" spans="1:4">
      <c r="C289" s="233"/>
    </row>
    <row r="290" spans="1:4">
      <c r="A290" s="125" t="s">
        <v>225</v>
      </c>
      <c r="B290" s="125">
        <v>1447</v>
      </c>
      <c r="C290" s="233" t="s">
        <v>1176</v>
      </c>
      <c r="D290" s="103">
        <v>16079</v>
      </c>
    </row>
    <row r="291" spans="1:4">
      <c r="A291" s="125" t="s">
        <v>225</v>
      </c>
      <c r="B291" s="125">
        <v>1448</v>
      </c>
      <c r="C291" s="233" t="s">
        <v>1176</v>
      </c>
      <c r="D291" s="103">
        <v>16079</v>
      </c>
    </row>
    <row r="292" spans="1:4">
      <c r="A292" s="125" t="s">
        <v>225</v>
      </c>
      <c r="B292" s="125">
        <v>2430</v>
      </c>
      <c r="C292" s="233" t="s">
        <v>1176</v>
      </c>
      <c r="D292" s="103">
        <v>16085</v>
      </c>
    </row>
    <row r="293" spans="1:4">
      <c r="A293" s="125" t="s">
        <v>225</v>
      </c>
      <c r="B293" s="125">
        <v>463186</v>
      </c>
      <c r="C293" s="233" t="s">
        <v>1176</v>
      </c>
      <c r="D293" s="103">
        <v>14176</v>
      </c>
    </row>
    <row r="294" spans="1:4">
      <c r="A294" s="125" t="s">
        <v>225</v>
      </c>
      <c r="B294" s="125">
        <v>535832</v>
      </c>
      <c r="C294" s="233" t="s">
        <v>1176</v>
      </c>
      <c r="D294" s="103">
        <v>14746</v>
      </c>
    </row>
    <row r="295" spans="1:4">
      <c r="A295" s="125" t="s">
        <v>225</v>
      </c>
      <c r="B295" s="125">
        <v>549764</v>
      </c>
      <c r="C295" s="233" t="s">
        <v>1176</v>
      </c>
      <c r="D295" s="103">
        <v>14838</v>
      </c>
    </row>
    <row r="296" spans="1:4">
      <c r="A296" s="125" t="s">
        <v>225</v>
      </c>
      <c r="B296" s="125">
        <v>586590</v>
      </c>
      <c r="C296" s="233" t="s">
        <v>1176</v>
      </c>
      <c r="D296" s="103">
        <v>15069</v>
      </c>
    </row>
    <row r="297" spans="1:4">
      <c r="A297" s="125" t="s">
        <v>225</v>
      </c>
      <c r="B297" s="125">
        <v>631688</v>
      </c>
      <c r="C297" s="233" t="s">
        <v>1176</v>
      </c>
      <c r="D297" s="103">
        <v>15308</v>
      </c>
    </row>
    <row r="298" spans="1:4">
      <c r="A298" s="125" t="s">
        <v>225</v>
      </c>
      <c r="B298" s="125">
        <v>673205</v>
      </c>
      <c r="C298" s="233" t="s">
        <v>1176</v>
      </c>
      <c r="D298" s="103">
        <v>15489</v>
      </c>
    </row>
    <row r="299" spans="1:4">
      <c r="A299" s="125" t="s">
        <v>225</v>
      </c>
      <c r="B299" s="125">
        <v>674356</v>
      </c>
      <c r="C299" s="233" t="s">
        <v>1176</v>
      </c>
      <c r="D299" s="103">
        <v>15495</v>
      </c>
    </row>
    <row r="300" spans="1:4">
      <c r="A300" s="125" t="s">
        <v>225</v>
      </c>
      <c r="B300" s="125">
        <v>679605</v>
      </c>
      <c r="C300" s="233" t="s">
        <v>1176</v>
      </c>
      <c r="D300" s="103">
        <v>15517</v>
      </c>
    </row>
    <row r="301" spans="1:4">
      <c r="A301" s="125" t="s">
        <v>225</v>
      </c>
      <c r="B301" s="125">
        <v>685573</v>
      </c>
      <c r="C301" s="233" t="s">
        <v>1176</v>
      </c>
      <c r="D301" s="103">
        <v>15544</v>
      </c>
    </row>
    <row r="302" spans="1:4">
      <c r="A302" s="125" t="s">
        <v>225</v>
      </c>
      <c r="B302" s="125">
        <v>737926</v>
      </c>
      <c r="C302" s="233" t="s">
        <v>1176</v>
      </c>
      <c r="D302" s="103">
        <v>15792</v>
      </c>
    </row>
    <row r="303" spans="1:4">
      <c r="A303" s="125" t="s">
        <v>225</v>
      </c>
      <c r="B303" s="125">
        <v>740358</v>
      </c>
      <c r="C303" s="233" t="s">
        <v>1176</v>
      </c>
      <c r="D303" s="103">
        <v>15804</v>
      </c>
    </row>
    <row r="305" spans="1:7">
      <c r="C305" s="233"/>
    </row>
    <row r="306" spans="1:7">
      <c r="A306" s="125" t="s">
        <v>2124</v>
      </c>
      <c r="C306" s="233"/>
    </row>
    <row r="307" spans="1:7">
      <c r="A307" s="234" t="s">
        <v>225</v>
      </c>
      <c r="B307" s="234">
        <v>1950608</v>
      </c>
      <c r="C307" s="235" t="s">
        <v>1176</v>
      </c>
      <c r="D307" s="103">
        <v>8890</v>
      </c>
      <c r="E307" s="103">
        <v>11029</v>
      </c>
      <c r="F307" s="70" t="s">
        <v>2122</v>
      </c>
      <c r="G307" s="70">
        <v>5</v>
      </c>
    </row>
    <row r="308" spans="1:7">
      <c r="A308" s="234" t="s">
        <v>225</v>
      </c>
      <c r="B308" s="234">
        <v>1959526</v>
      </c>
      <c r="C308" s="235" t="s">
        <v>1176</v>
      </c>
      <c r="D308" s="103">
        <v>8905</v>
      </c>
      <c r="E308" s="103">
        <v>11099</v>
      </c>
      <c r="F308" s="70" t="s">
        <v>2229</v>
      </c>
      <c r="G308" s="70">
        <v>5</v>
      </c>
    </row>
    <row r="309" spans="1:7">
      <c r="A309" s="234" t="s">
        <v>225</v>
      </c>
      <c r="B309" s="234">
        <v>1892663</v>
      </c>
      <c r="C309" s="235" t="s">
        <v>1176</v>
      </c>
      <c r="D309" s="103">
        <v>9224</v>
      </c>
      <c r="E309" s="103">
        <v>10595</v>
      </c>
      <c r="F309" s="70" t="s">
        <v>2228</v>
      </c>
      <c r="G309" s="70">
        <v>5</v>
      </c>
    </row>
    <row r="310" spans="1:7">
      <c r="A310" s="125" t="s">
        <v>225</v>
      </c>
      <c r="B310" s="125">
        <v>2038894</v>
      </c>
      <c r="C310" s="233" t="s">
        <v>1176</v>
      </c>
      <c r="D310" s="103">
        <v>9974</v>
      </c>
      <c r="E310" s="103">
        <v>11806</v>
      </c>
      <c r="F310" s="70" t="s">
        <v>2229</v>
      </c>
      <c r="G310" s="70">
        <v>5</v>
      </c>
    </row>
    <row r="311" spans="1:7">
      <c r="A311" s="125" t="s">
        <v>225</v>
      </c>
      <c r="B311" s="125">
        <v>1944003</v>
      </c>
      <c r="C311" s="233" t="s">
        <v>1176</v>
      </c>
      <c r="D311" s="103">
        <v>10240</v>
      </c>
      <c r="E311" s="103">
        <v>10973</v>
      </c>
      <c r="F311" s="70" t="s">
        <v>2228</v>
      </c>
      <c r="G311" s="70">
        <v>5</v>
      </c>
    </row>
    <row r="312" spans="1:7">
      <c r="A312" s="125" t="s">
        <v>225</v>
      </c>
      <c r="B312" s="125">
        <v>1944004</v>
      </c>
      <c r="C312" s="233" t="s">
        <v>1176</v>
      </c>
      <c r="D312" s="103">
        <v>10302</v>
      </c>
      <c r="E312" s="103">
        <v>10973</v>
      </c>
      <c r="F312" s="70" t="s">
        <v>2228</v>
      </c>
      <c r="G312" s="70">
        <v>5</v>
      </c>
    </row>
    <row r="313" spans="1:7">
      <c r="A313" s="125" t="s">
        <v>225</v>
      </c>
      <c r="B313" s="125">
        <v>2031014</v>
      </c>
      <c r="C313" s="233" t="s">
        <v>1176</v>
      </c>
      <c r="D313" s="103">
        <v>10340</v>
      </c>
      <c r="E313" s="103">
        <v>11736</v>
      </c>
      <c r="F313" s="70" t="s">
        <v>2301</v>
      </c>
      <c r="G313" s="70">
        <v>5</v>
      </c>
    </row>
    <row r="314" spans="1:7">
      <c r="A314" s="125" t="s">
        <v>225</v>
      </c>
      <c r="B314" s="125">
        <v>2057454</v>
      </c>
      <c r="C314" s="233" t="s">
        <v>1176</v>
      </c>
      <c r="D314" s="103">
        <v>10340</v>
      </c>
      <c r="E314" s="103">
        <v>11974</v>
      </c>
      <c r="F314" s="70" t="s">
        <v>2301</v>
      </c>
      <c r="G314" s="70">
        <v>5</v>
      </c>
    </row>
    <row r="315" spans="1:7">
      <c r="A315" s="125" t="s">
        <v>225</v>
      </c>
      <c r="B315" s="125">
        <v>1980388</v>
      </c>
      <c r="C315" s="233" t="s">
        <v>1176</v>
      </c>
      <c r="D315" s="103">
        <v>10608</v>
      </c>
      <c r="E315" s="103">
        <v>11274</v>
      </c>
      <c r="F315" s="70" t="s">
        <v>2229</v>
      </c>
      <c r="G315" s="70">
        <v>5</v>
      </c>
    </row>
    <row r="316" spans="1:7">
      <c r="A316" s="125" t="s">
        <v>225</v>
      </c>
      <c r="B316" s="125">
        <v>1944005</v>
      </c>
      <c r="C316" s="233" t="s">
        <v>1176</v>
      </c>
      <c r="D316" s="103">
        <v>10644</v>
      </c>
      <c r="E316" s="103">
        <v>10973</v>
      </c>
      <c r="F316" s="70" t="s">
        <v>2229</v>
      </c>
      <c r="G316" s="70">
        <v>5</v>
      </c>
    </row>
    <row r="317" spans="1:7">
      <c r="A317" s="125" t="s">
        <v>225</v>
      </c>
      <c r="B317" s="125">
        <v>2145092</v>
      </c>
      <c r="C317" s="233" t="s">
        <v>1176</v>
      </c>
      <c r="D317" s="103">
        <v>11589</v>
      </c>
      <c r="E317" s="103">
        <v>12807</v>
      </c>
      <c r="F317" s="70" t="s">
        <v>2302</v>
      </c>
      <c r="G317" s="70">
        <v>5</v>
      </c>
    </row>
    <row r="318" spans="1:7">
      <c r="A318" s="125" t="s">
        <v>225</v>
      </c>
      <c r="B318" s="125">
        <v>2190017</v>
      </c>
      <c r="C318" s="233" t="s">
        <v>1176</v>
      </c>
      <c r="D318" s="103">
        <v>12585</v>
      </c>
      <c r="E318" s="103">
        <v>13192</v>
      </c>
      <c r="F318" s="70" t="s">
        <v>2303</v>
      </c>
      <c r="G318" s="70">
        <v>5</v>
      </c>
    </row>
    <row r="319" spans="1:7">
      <c r="A319" s="125" t="s">
        <v>225</v>
      </c>
      <c r="B319" s="125">
        <v>2190018</v>
      </c>
      <c r="C319" s="233" t="s">
        <v>1176</v>
      </c>
      <c r="D319" s="103">
        <v>13017</v>
      </c>
      <c r="E319" s="103">
        <v>13192</v>
      </c>
      <c r="F319" s="70" t="s">
        <v>2303</v>
      </c>
      <c r="G319" s="70">
        <v>5</v>
      </c>
    </row>
    <row r="320" spans="1:7">
      <c r="A320" s="125" t="s">
        <v>225</v>
      </c>
      <c r="B320" s="125">
        <v>2275187</v>
      </c>
      <c r="C320" s="233" t="s">
        <v>1176</v>
      </c>
      <c r="D320" s="103">
        <v>13647</v>
      </c>
      <c r="E320" s="103">
        <v>13941</v>
      </c>
      <c r="F320" s="70" t="s">
        <v>2304</v>
      </c>
      <c r="G320" s="70">
        <v>5</v>
      </c>
    </row>
    <row r="321" spans="1:7">
      <c r="A321" s="125" t="s">
        <v>225</v>
      </c>
      <c r="B321" s="125">
        <v>2415184</v>
      </c>
      <c r="C321" s="233" t="s">
        <v>1176</v>
      </c>
      <c r="D321" s="103">
        <v>14280</v>
      </c>
      <c r="E321" s="103">
        <v>15740</v>
      </c>
      <c r="F321" s="70" t="s">
        <v>2306</v>
      </c>
      <c r="G321" s="70">
        <v>5</v>
      </c>
    </row>
    <row r="322" spans="1:7">
      <c r="A322" s="125" t="s">
        <v>225</v>
      </c>
      <c r="B322" s="125">
        <v>2432603</v>
      </c>
      <c r="C322" s="233" t="s">
        <v>1176</v>
      </c>
      <c r="D322" s="103">
        <v>14686</v>
      </c>
      <c r="E322" s="103">
        <v>16055</v>
      </c>
      <c r="F322" s="70" t="s">
        <v>2177</v>
      </c>
      <c r="G322" s="70">
        <v>5</v>
      </c>
    </row>
    <row r="323" spans="1:7">
      <c r="A323" s="125" t="s">
        <v>225</v>
      </c>
      <c r="B323" s="125">
        <v>2406676</v>
      </c>
      <c r="C323" s="233" t="s">
        <v>1176</v>
      </c>
      <c r="D323" s="103">
        <v>14837</v>
      </c>
      <c r="E323" s="103">
        <v>15579</v>
      </c>
      <c r="F323" s="70" t="s">
        <v>2305</v>
      </c>
      <c r="G323" s="70">
        <v>5</v>
      </c>
    </row>
    <row r="324" spans="1:7">
      <c r="A324" s="125" t="s">
        <v>225</v>
      </c>
      <c r="B324" s="125">
        <v>2432568</v>
      </c>
      <c r="C324" s="233" t="s">
        <v>1176</v>
      </c>
      <c r="D324" s="103">
        <v>14837</v>
      </c>
      <c r="E324" s="103">
        <v>16055</v>
      </c>
      <c r="F324" s="70" t="s">
        <v>2127</v>
      </c>
      <c r="G324" s="70">
        <v>5</v>
      </c>
    </row>
    <row r="325" spans="1:7">
      <c r="A325" s="125" t="s">
        <v>225</v>
      </c>
      <c r="B325" s="125">
        <v>2425851</v>
      </c>
      <c r="C325" s="233" t="s">
        <v>1176</v>
      </c>
      <c r="D325" s="103">
        <v>15044</v>
      </c>
      <c r="E325" s="103">
        <v>15936</v>
      </c>
      <c r="F325" s="70" t="s">
        <v>2126</v>
      </c>
      <c r="G325" s="70">
        <v>5</v>
      </c>
    </row>
    <row r="326" spans="1:7">
      <c r="C326" s="233"/>
      <c r="D326" s="103"/>
      <c r="E326" s="103"/>
    </row>
    <row r="327" spans="1:7">
      <c r="A327" s="125" t="s">
        <v>1016</v>
      </c>
    </row>
    <row r="328" spans="1:7">
      <c r="A328" s="220" t="s">
        <v>2790</v>
      </c>
      <c r="B328" s="234">
        <v>1906636</v>
      </c>
      <c r="C328" s="236" t="s">
        <v>1013</v>
      </c>
      <c r="D328" s="103">
        <v>9411</v>
      </c>
      <c r="E328" s="103">
        <v>10714</v>
      </c>
      <c r="G328" s="70">
        <v>6</v>
      </c>
    </row>
    <row r="329" spans="1:7">
      <c r="A329" s="220" t="s">
        <v>2790</v>
      </c>
      <c r="B329" s="234">
        <v>1981535</v>
      </c>
      <c r="C329" s="236" t="s">
        <v>1013</v>
      </c>
      <c r="D329" s="103">
        <v>9716</v>
      </c>
      <c r="E329" s="103">
        <v>11281</v>
      </c>
      <c r="G329" s="70">
        <v>6</v>
      </c>
    </row>
    <row r="330" spans="1:7">
      <c r="A330" s="207" t="s">
        <v>2790</v>
      </c>
      <c r="B330" s="125">
        <v>1933112</v>
      </c>
      <c r="C330" s="211" t="s">
        <v>1013</v>
      </c>
      <c r="D330" s="103">
        <v>9880</v>
      </c>
      <c r="E330" s="103">
        <v>10896</v>
      </c>
      <c r="G330" s="70">
        <v>6</v>
      </c>
    </row>
    <row r="331" spans="1:7">
      <c r="A331" s="207" t="s">
        <v>2790</v>
      </c>
      <c r="B331" s="125">
        <v>1973111</v>
      </c>
      <c r="C331" s="211" t="s">
        <v>1013</v>
      </c>
      <c r="D331" s="103">
        <v>9917</v>
      </c>
      <c r="E331" s="103" t="s">
        <v>2824</v>
      </c>
      <c r="G331" s="70">
        <v>6</v>
      </c>
    </row>
    <row r="332" spans="1:7">
      <c r="A332" s="207" t="s">
        <v>2790</v>
      </c>
      <c r="B332" s="125">
        <v>1999701</v>
      </c>
      <c r="C332" s="211" t="s">
        <v>1013</v>
      </c>
      <c r="D332" s="103">
        <v>9918</v>
      </c>
      <c r="E332" s="103">
        <v>11442</v>
      </c>
      <c r="G332" s="70">
        <v>6</v>
      </c>
    </row>
    <row r="333" spans="1:7">
      <c r="A333" s="207" t="s">
        <v>2790</v>
      </c>
      <c r="B333" s="125">
        <v>1981536</v>
      </c>
      <c r="C333" s="211" t="s">
        <v>1013</v>
      </c>
      <c r="D333" s="103">
        <v>9945</v>
      </c>
      <c r="E333" s="103">
        <v>11281</v>
      </c>
      <c r="G333" s="70">
        <v>6</v>
      </c>
    </row>
    <row r="334" spans="1:7">
      <c r="A334" s="207" t="s">
        <v>2790</v>
      </c>
      <c r="B334" s="125">
        <v>2011389</v>
      </c>
      <c r="C334" s="211" t="s">
        <v>1013</v>
      </c>
      <c r="D334" s="103">
        <v>9985</v>
      </c>
      <c r="E334" s="103">
        <v>11547</v>
      </c>
      <c r="G334" s="70">
        <v>6</v>
      </c>
    </row>
    <row r="335" spans="1:7">
      <c r="A335" s="207" t="s">
        <v>2790</v>
      </c>
      <c r="B335" s="125">
        <v>1973068</v>
      </c>
      <c r="C335" s="211" t="s">
        <v>1013</v>
      </c>
      <c r="D335" s="103">
        <v>10006</v>
      </c>
      <c r="E335" s="103">
        <v>11211</v>
      </c>
      <c r="G335" s="70">
        <v>6</v>
      </c>
    </row>
    <row r="336" spans="1:7">
      <c r="A336" s="207" t="s">
        <v>2790</v>
      </c>
      <c r="B336" s="125">
        <v>1956723</v>
      </c>
      <c r="C336" s="211" t="s">
        <v>1013</v>
      </c>
      <c r="D336" s="103">
        <v>10037</v>
      </c>
      <c r="E336" s="103">
        <v>11078</v>
      </c>
      <c r="G336" s="70">
        <v>6</v>
      </c>
    </row>
    <row r="337" spans="1:7">
      <c r="A337" s="207" t="s">
        <v>2790</v>
      </c>
      <c r="B337" s="125">
        <v>1906600</v>
      </c>
      <c r="C337" s="211" t="s">
        <v>1013</v>
      </c>
      <c r="D337" s="103">
        <v>10109</v>
      </c>
      <c r="E337" s="103">
        <v>10714</v>
      </c>
      <c r="G337" s="70">
        <v>6</v>
      </c>
    </row>
    <row r="338" spans="1:7">
      <c r="A338" s="207" t="s">
        <v>2790</v>
      </c>
      <c r="B338" s="125">
        <v>2030943</v>
      </c>
      <c r="C338" s="211" t="s">
        <v>1013</v>
      </c>
      <c r="D338" s="103">
        <v>10163</v>
      </c>
      <c r="E338" s="103">
        <v>11736</v>
      </c>
      <c r="G338" s="70">
        <v>6</v>
      </c>
    </row>
    <row r="339" spans="1:7">
      <c r="A339" s="207" t="s">
        <v>2790</v>
      </c>
      <c r="B339" s="125">
        <v>2115574</v>
      </c>
      <c r="C339" s="211" t="s">
        <v>1013</v>
      </c>
      <c r="D339" s="103">
        <v>11207</v>
      </c>
      <c r="E339" s="103">
        <v>12534</v>
      </c>
      <c r="G339" s="70">
        <v>6</v>
      </c>
    </row>
    <row r="340" spans="1:7">
      <c r="A340" s="207" t="s">
        <v>2790</v>
      </c>
      <c r="B340" s="125">
        <v>2082649</v>
      </c>
      <c r="C340" s="211" t="s">
        <v>1013</v>
      </c>
      <c r="D340" s="103">
        <v>11211</v>
      </c>
      <c r="E340" s="103">
        <v>12205</v>
      </c>
      <c r="G340" s="70">
        <v>6</v>
      </c>
    </row>
    <row r="341" spans="1:7">
      <c r="A341" s="207" t="s">
        <v>2790</v>
      </c>
      <c r="B341" s="125">
        <v>2261265</v>
      </c>
      <c r="C341" s="211" t="s">
        <v>1013</v>
      </c>
      <c r="D341" s="103">
        <v>12377</v>
      </c>
      <c r="E341" s="103">
        <v>13822</v>
      </c>
      <c r="G341" s="70">
        <v>6</v>
      </c>
    </row>
    <row r="342" spans="1:7">
      <c r="A342" s="207" t="s">
        <v>2790</v>
      </c>
      <c r="B342" s="125">
        <v>2352041</v>
      </c>
      <c r="C342" s="211" t="s">
        <v>1013</v>
      </c>
      <c r="D342" s="103">
        <v>13353</v>
      </c>
      <c r="E342" s="103">
        <v>14781</v>
      </c>
      <c r="G342" s="70">
        <v>6</v>
      </c>
    </row>
    <row r="344" spans="1:7">
      <c r="A344" s="125" t="s">
        <v>1015</v>
      </c>
    </row>
    <row r="345" spans="1:7">
      <c r="A345" s="220" t="s">
        <v>2790</v>
      </c>
      <c r="B345" s="234">
        <v>1962059</v>
      </c>
      <c r="C345" s="236" t="s">
        <v>1014</v>
      </c>
      <c r="D345" s="242">
        <v>7914</v>
      </c>
      <c r="E345" s="103">
        <v>11113</v>
      </c>
      <c r="G345" s="70">
        <v>7</v>
      </c>
    </row>
    <row r="346" spans="1:7">
      <c r="A346" s="220" t="s">
        <v>2790</v>
      </c>
      <c r="B346" s="234">
        <v>1964907</v>
      </c>
      <c r="C346" s="236" t="s">
        <v>1014</v>
      </c>
      <c r="D346" s="242">
        <v>8474</v>
      </c>
      <c r="E346" s="103">
        <v>11141</v>
      </c>
      <c r="G346" s="70">
        <v>7</v>
      </c>
    </row>
    <row r="347" spans="1:7">
      <c r="A347" s="220" t="s">
        <v>2790</v>
      </c>
      <c r="B347" s="234">
        <v>1869308</v>
      </c>
      <c r="C347" s="236" t="s">
        <v>1014</v>
      </c>
      <c r="D347" s="242">
        <v>8627</v>
      </c>
      <c r="E347" s="103">
        <v>10434</v>
      </c>
      <c r="G347" s="70">
        <v>7</v>
      </c>
    </row>
    <row r="348" spans="1:7">
      <c r="A348" s="220" t="s">
        <v>2790</v>
      </c>
      <c r="B348" s="234">
        <v>2133398</v>
      </c>
      <c r="C348" s="236" t="s">
        <v>1014</v>
      </c>
      <c r="D348" s="242">
        <v>9246</v>
      </c>
      <c r="E348" s="103">
        <v>12709</v>
      </c>
      <c r="G348" s="70">
        <v>7</v>
      </c>
    </row>
    <row r="349" spans="1:7">
      <c r="A349" s="220" t="s">
        <v>2790</v>
      </c>
      <c r="B349" s="234">
        <v>2133399</v>
      </c>
      <c r="C349" s="236" t="s">
        <v>1014</v>
      </c>
      <c r="D349" s="242">
        <v>9246</v>
      </c>
      <c r="E349" s="103">
        <v>12709</v>
      </c>
      <c r="G349" s="70">
        <v>7</v>
      </c>
    </row>
    <row r="350" spans="1:7">
      <c r="A350" s="220" t="s">
        <v>2790</v>
      </c>
      <c r="B350" s="234">
        <v>2081880</v>
      </c>
      <c r="C350" s="236" t="s">
        <v>1014</v>
      </c>
      <c r="D350" s="242">
        <v>9273</v>
      </c>
      <c r="E350" s="103">
        <v>12198</v>
      </c>
      <c r="G350" s="70">
        <v>7</v>
      </c>
    </row>
    <row r="351" spans="1:7">
      <c r="A351" s="220" t="s">
        <v>2790</v>
      </c>
      <c r="B351" s="234">
        <v>2133382</v>
      </c>
      <c r="C351" s="236" t="s">
        <v>1014</v>
      </c>
      <c r="D351" s="242">
        <v>9273</v>
      </c>
      <c r="E351" s="103">
        <v>12709</v>
      </c>
      <c r="G351" s="70">
        <v>7</v>
      </c>
    </row>
    <row r="352" spans="1:7">
      <c r="A352" s="220" t="s">
        <v>2790</v>
      </c>
      <c r="B352" s="234">
        <v>1883648</v>
      </c>
      <c r="C352" s="236" t="s">
        <v>1014</v>
      </c>
      <c r="D352" s="242">
        <v>9324</v>
      </c>
      <c r="E352" s="103">
        <v>10518</v>
      </c>
      <c r="G352" s="70">
        <v>7</v>
      </c>
    </row>
    <row r="353" spans="1:7">
      <c r="A353" s="220" t="s">
        <v>2790</v>
      </c>
      <c r="B353" s="234">
        <v>1895983</v>
      </c>
      <c r="C353" s="236" t="s">
        <v>1014</v>
      </c>
      <c r="D353" s="242">
        <v>9391</v>
      </c>
      <c r="E353" s="103">
        <v>10623</v>
      </c>
      <c r="G353" s="70">
        <v>7</v>
      </c>
    </row>
    <row r="354" spans="1:7">
      <c r="A354" s="220" t="s">
        <v>2790</v>
      </c>
      <c r="B354" s="234">
        <v>1900600</v>
      </c>
      <c r="C354" s="236" t="s">
        <v>1014</v>
      </c>
      <c r="D354" s="242">
        <v>9391</v>
      </c>
      <c r="E354" s="103">
        <v>10658</v>
      </c>
      <c r="G354" s="70">
        <v>7</v>
      </c>
    </row>
    <row r="355" spans="1:7">
      <c r="A355" s="220" t="s">
        <v>2790</v>
      </c>
      <c r="B355" s="234">
        <v>1947929</v>
      </c>
      <c r="C355" s="236" t="s">
        <v>1014</v>
      </c>
      <c r="D355" s="242">
        <v>9391</v>
      </c>
      <c r="E355" s="103">
        <v>11008</v>
      </c>
      <c r="G355" s="70">
        <v>7</v>
      </c>
    </row>
    <row r="356" spans="1:7">
      <c r="A356" s="220" t="s">
        <v>2790</v>
      </c>
      <c r="B356" s="234">
        <v>1957995</v>
      </c>
      <c r="C356" s="236" t="s">
        <v>1014</v>
      </c>
      <c r="D356" s="242">
        <v>9391</v>
      </c>
      <c r="E356" s="103">
        <v>11085</v>
      </c>
      <c r="G356" s="70">
        <v>7</v>
      </c>
    </row>
    <row r="357" spans="1:7">
      <c r="A357" s="220" t="s">
        <v>2790</v>
      </c>
      <c r="B357" s="234">
        <v>1895982</v>
      </c>
      <c r="C357" s="236" t="s">
        <v>1014</v>
      </c>
      <c r="D357" s="242">
        <v>9541</v>
      </c>
      <c r="E357" s="103">
        <v>10623</v>
      </c>
      <c r="G357" s="70">
        <v>7</v>
      </c>
    </row>
    <row r="358" spans="1:7">
      <c r="A358" s="220" t="s">
        <v>2790</v>
      </c>
      <c r="B358" s="234">
        <v>1979149</v>
      </c>
      <c r="C358" s="236" t="s">
        <v>1014</v>
      </c>
      <c r="D358" s="242">
        <v>9799</v>
      </c>
      <c r="E358" s="103">
        <v>11260</v>
      </c>
      <c r="G358" s="70">
        <v>7</v>
      </c>
    </row>
    <row r="359" spans="1:7">
      <c r="A359" s="220" t="s">
        <v>2790</v>
      </c>
      <c r="B359" s="234">
        <v>2049835</v>
      </c>
      <c r="C359" s="236" t="s">
        <v>1014</v>
      </c>
      <c r="D359" s="242">
        <v>9799</v>
      </c>
      <c r="E359" s="103">
        <v>11904</v>
      </c>
      <c r="G359" s="70">
        <v>7</v>
      </c>
    </row>
    <row r="360" spans="1:7">
      <c r="A360" s="207" t="s">
        <v>2790</v>
      </c>
      <c r="B360" s="125">
        <v>1933008</v>
      </c>
      <c r="C360" s="211" t="s">
        <v>1014</v>
      </c>
      <c r="D360" s="103">
        <v>10035</v>
      </c>
      <c r="E360" s="103">
        <v>10896</v>
      </c>
      <c r="G360" s="70">
        <v>7</v>
      </c>
    </row>
    <row r="361" spans="1:7">
      <c r="A361" s="207" t="s">
        <v>2790</v>
      </c>
      <c r="B361" s="125">
        <v>1944637</v>
      </c>
      <c r="C361" s="211" t="s">
        <v>1014</v>
      </c>
      <c r="D361" s="103">
        <v>10064</v>
      </c>
      <c r="E361" s="103">
        <v>10980</v>
      </c>
      <c r="G361" s="70">
        <v>7</v>
      </c>
    </row>
    <row r="362" spans="1:7">
      <c r="A362" s="207" t="s">
        <v>2790</v>
      </c>
      <c r="B362" s="125">
        <v>1979150</v>
      </c>
      <c r="C362" s="211" t="s">
        <v>1014</v>
      </c>
      <c r="D362" s="103">
        <v>10139</v>
      </c>
      <c r="E362" s="103">
        <v>11260</v>
      </c>
      <c r="G362" s="70">
        <v>7</v>
      </c>
    </row>
    <row r="363" spans="1:7">
      <c r="A363" s="207" t="s">
        <v>2790</v>
      </c>
      <c r="B363" s="125">
        <v>2006236</v>
      </c>
      <c r="C363" s="211" t="s">
        <v>1014</v>
      </c>
      <c r="D363" s="103">
        <v>10189</v>
      </c>
      <c r="E363" s="103">
        <v>11498</v>
      </c>
      <c r="G363" s="70">
        <v>7</v>
      </c>
    </row>
    <row r="364" spans="1:7">
      <c r="A364" s="207" t="s">
        <v>2790</v>
      </c>
      <c r="B364" s="125">
        <v>2040204</v>
      </c>
      <c r="C364" s="211" t="s">
        <v>1014</v>
      </c>
      <c r="D364" s="103">
        <v>10329</v>
      </c>
      <c r="E364" s="103">
        <v>11820</v>
      </c>
      <c r="G364" s="70">
        <v>7</v>
      </c>
    </row>
    <row r="365" spans="1:7">
      <c r="A365" s="207" t="s">
        <v>2790</v>
      </c>
      <c r="B365" s="125">
        <v>2039587</v>
      </c>
      <c r="C365" s="211" t="s">
        <v>1014</v>
      </c>
      <c r="D365" s="103">
        <v>10914</v>
      </c>
      <c r="E365" s="103">
        <v>11813</v>
      </c>
      <c r="G365" s="70">
        <v>7</v>
      </c>
    </row>
    <row r="366" spans="1:7">
      <c r="A366" s="207" t="s">
        <v>2790</v>
      </c>
      <c r="B366" s="125">
        <v>2043033</v>
      </c>
      <c r="C366" s="211" t="s">
        <v>1014</v>
      </c>
      <c r="D366" s="103">
        <v>11184</v>
      </c>
      <c r="E366" s="103">
        <v>11841</v>
      </c>
      <c r="G366" s="70">
        <v>7</v>
      </c>
    </row>
    <row r="367" spans="1:7">
      <c r="A367" s="207" t="s">
        <v>2790</v>
      </c>
      <c r="B367" s="125">
        <v>2064650</v>
      </c>
      <c r="C367" s="211" t="s">
        <v>1014</v>
      </c>
      <c r="D367" s="103">
        <v>11253</v>
      </c>
      <c r="E367" s="103">
        <v>12037</v>
      </c>
      <c r="G367" s="70">
        <v>7</v>
      </c>
    </row>
    <row r="368" spans="1:7">
      <c r="A368" s="207" t="s">
        <v>2790</v>
      </c>
      <c r="B368" s="125">
        <v>2132259</v>
      </c>
      <c r="C368" s="211" t="s">
        <v>1014</v>
      </c>
      <c r="D368" s="103">
        <v>11473</v>
      </c>
      <c r="E368" s="103">
        <v>12695</v>
      </c>
      <c r="G368" s="70">
        <v>7</v>
      </c>
    </row>
    <row r="369" spans="1:7">
      <c r="A369" s="207" t="s">
        <v>2790</v>
      </c>
      <c r="B369" s="125">
        <v>2072742</v>
      </c>
      <c r="C369" s="211" t="s">
        <v>1014</v>
      </c>
      <c r="D369" s="103">
        <v>11628</v>
      </c>
      <c r="E369" s="103">
        <v>12114</v>
      </c>
      <c r="G369" s="70">
        <v>7</v>
      </c>
    </row>
    <row r="370" spans="1:7">
      <c r="A370" s="207" t="s">
        <v>2790</v>
      </c>
      <c r="B370" s="125">
        <v>2122281</v>
      </c>
      <c r="C370" s="211" t="s">
        <v>1014</v>
      </c>
      <c r="D370" s="103">
        <v>11682</v>
      </c>
      <c r="E370" s="103">
        <v>12597</v>
      </c>
      <c r="G370" s="70">
        <v>7</v>
      </c>
    </row>
    <row r="371" spans="1:7">
      <c r="A371" s="207" t="s">
        <v>2790</v>
      </c>
      <c r="B371" s="125">
        <v>2120889</v>
      </c>
      <c r="C371" s="211" t="s">
        <v>1014</v>
      </c>
      <c r="D371" s="103">
        <v>12466</v>
      </c>
      <c r="E371" s="103">
        <v>12583</v>
      </c>
      <c r="G371" s="70">
        <v>7</v>
      </c>
    </row>
    <row r="372" spans="1:7">
      <c r="A372" s="207" t="s">
        <v>2790</v>
      </c>
      <c r="B372" s="125">
        <v>2244392</v>
      </c>
      <c r="C372" s="211" t="s">
        <v>2825</v>
      </c>
      <c r="D372" s="103">
        <v>12899</v>
      </c>
      <c r="E372" s="103">
        <v>13668</v>
      </c>
      <c r="G372" s="70">
        <v>7</v>
      </c>
    </row>
    <row r="375" spans="1:7">
      <c r="A375" s="126" t="s">
        <v>2271</v>
      </c>
    </row>
    <row r="376" spans="1:7">
      <c r="A376" s="125" t="s">
        <v>2256</v>
      </c>
    </row>
    <row r="379" spans="1:7">
      <c r="A379" s="42" t="s">
        <v>950</v>
      </c>
    </row>
    <row r="380" spans="1:7">
      <c r="A380" s="42" t="s">
        <v>1028</v>
      </c>
    </row>
    <row r="381" spans="1:7">
      <c r="A381" s="42" t="s">
        <v>224</v>
      </c>
    </row>
    <row r="382" spans="1:7">
      <c r="A382" s="42" t="s">
        <v>1017</v>
      </c>
    </row>
    <row r="383" spans="1:7">
      <c r="A383" s="42" t="s">
        <v>3937</v>
      </c>
    </row>
    <row r="384" spans="1:7">
      <c r="A384" s="42" t="s">
        <v>3936</v>
      </c>
    </row>
    <row r="385" spans="1:2">
      <c r="A385" s="42" t="s">
        <v>1370</v>
      </c>
    </row>
    <row r="386" spans="1:2">
      <c r="A386" s="42" t="s">
        <v>1321</v>
      </c>
    </row>
    <row r="387" spans="1:2">
      <c r="A387" s="42" t="s">
        <v>1036</v>
      </c>
    </row>
    <row r="388" spans="1:2">
      <c r="A388" s="42" t="s">
        <v>1090</v>
      </c>
    </row>
    <row r="389" spans="1:2">
      <c r="A389" s="42" t="s">
        <v>41</v>
      </c>
    </row>
    <row r="390" spans="1:2">
      <c r="A390" s="42" t="s">
        <v>178</v>
      </c>
    </row>
    <row r="391" spans="1:2">
      <c r="A391" s="42"/>
    </row>
    <row r="392" spans="1:2">
      <c r="A392" s="126" t="s">
        <v>1407</v>
      </c>
    </row>
    <row r="393" spans="1:2">
      <c r="A393" s="42" t="s">
        <v>912</v>
      </c>
    </row>
    <row r="394" spans="1:2">
      <c r="A394" s="42" t="s">
        <v>2740</v>
      </c>
    </row>
    <row r="395" spans="1:2">
      <c r="A395" s="42"/>
    </row>
    <row r="396" spans="1:2">
      <c r="A396" s="126" t="s">
        <v>1411</v>
      </c>
    </row>
    <row r="397" spans="1:2">
      <c r="A397" s="42" t="s">
        <v>832</v>
      </c>
      <c r="B397" s="125">
        <v>1930</v>
      </c>
    </row>
    <row r="398" spans="1:2">
      <c r="A398" s="125" t="s">
        <v>994</v>
      </c>
      <c r="B398" s="125">
        <v>1930</v>
      </c>
    </row>
    <row r="399" spans="1:2">
      <c r="A399" s="125" t="s">
        <v>952</v>
      </c>
      <c r="B399" s="125">
        <v>1931</v>
      </c>
    </row>
    <row r="400" spans="1:2">
      <c r="A400" s="42" t="s">
        <v>31</v>
      </c>
      <c r="B400" s="125">
        <v>1933</v>
      </c>
    </row>
    <row r="401" spans="1:3">
      <c r="A401" s="42" t="s">
        <v>32</v>
      </c>
      <c r="B401" s="125">
        <v>1933</v>
      </c>
    </row>
    <row r="402" spans="1:3">
      <c r="A402" s="42" t="s">
        <v>33</v>
      </c>
      <c r="B402" s="125">
        <v>1938</v>
      </c>
    </row>
    <row r="405" spans="1:3">
      <c r="A405" s="42"/>
      <c r="B405" s="42"/>
      <c r="C405" s="42"/>
    </row>
    <row r="406" spans="1:3">
      <c r="A406" s="42"/>
      <c r="B406" s="42"/>
      <c r="C406" s="42"/>
    </row>
    <row r="407" spans="1:3">
      <c r="A407" s="42"/>
      <c r="B407" s="42"/>
      <c r="C407" s="42"/>
    </row>
    <row r="408" spans="1:3">
      <c r="A408" s="42"/>
      <c r="B408" s="42"/>
      <c r="C408" s="42"/>
    </row>
    <row r="409" spans="1:3">
      <c r="A409" s="42"/>
      <c r="B409" s="42"/>
      <c r="C409" s="42"/>
    </row>
    <row r="410" spans="1:3">
      <c r="A410" s="42"/>
      <c r="B410" s="42"/>
      <c r="C410" s="42"/>
    </row>
    <row r="411" spans="1:3">
      <c r="A411" s="42"/>
      <c r="B411" s="42"/>
      <c r="C411" s="42"/>
    </row>
    <row r="412" spans="1:3">
      <c r="A412" s="42"/>
      <c r="B412" s="42"/>
      <c r="C412" s="42"/>
    </row>
    <row r="413" spans="1:3">
      <c r="A413" s="42"/>
      <c r="B413" s="42"/>
      <c r="C413" s="42"/>
    </row>
    <row r="414" spans="1:3">
      <c r="A414" s="42"/>
      <c r="B414" s="42"/>
      <c r="C414" s="42"/>
    </row>
    <row r="415" spans="1:3">
      <c r="A415" s="42"/>
      <c r="B415" s="42"/>
      <c r="C415" s="42"/>
    </row>
    <row r="416" spans="1:3">
      <c r="A416" s="42"/>
      <c r="B416" s="42"/>
      <c r="C416" s="42"/>
    </row>
    <row r="417" spans="1:3">
      <c r="A417" s="42"/>
      <c r="B417" s="42"/>
      <c r="C417" s="42"/>
    </row>
    <row r="418" spans="1:3">
      <c r="A418" s="42"/>
      <c r="B418" s="42"/>
      <c r="C418" s="42"/>
    </row>
    <row r="419" spans="1:3">
      <c r="A419" s="42"/>
      <c r="B419" s="42"/>
      <c r="C419" s="42"/>
    </row>
    <row r="420" spans="1:3">
      <c r="A420" s="42"/>
      <c r="B420" s="42"/>
      <c r="C420" s="42"/>
    </row>
    <row r="421" spans="1:3">
      <c r="A421" s="42"/>
      <c r="B421" s="42"/>
      <c r="C421" s="42"/>
    </row>
    <row r="422" spans="1:3">
      <c r="A422" s="42"/>
      <c r="B422" s="42"/>
      <c r="C422" s="42"/>
    </row>
    <row r="423" spans="1:3">
      <c r="A423" s="42"/>
      <c r="B423" s="42"/>
      <c r="C423" s="42"/>
    </row>
    <row r="424" spans="1:3">
      <c r="A424" s="42"/>
      <c r="B424" s="42"/>
      <c r="C424" s="42"/>
    </row>
    <row r="425" spans="1:3">
      <c r="A425" s="42"/>
      <c r="B425" s="42"/>
      <c r="C425" s="42"/>
    </row>
    <row r="426" spans="1:3">
      <c r="A426" s="42"/>
      <c r="B426" s="42"/>
      <c r="C426" s="42"/>
    </row>
    <row r="427" spans="1:3">
      <c r="A427" s="42"/>
      <c r="B427" s="42"/>
      <c r="C427" s="42"/>
    </row>
    <row r="428" spans="1:3">
      <c r="A428" s="42"/>
      <c r="B428" s="42"/>
      <c r="C428" s="42"/>
    </row>
    <row r="429" spans="1:3">
      <c r="A429" s="42"/>
      <c r="B429" s="42"/>
      <c r="C429" s="42"/>
    </row>
    <row r="430" spans="1:3">
      <c r="A430" s="42"/>
      <c r="B430" s="42"/>
      <c r="C430" s="42"/>
    </row>
    <row r="431" spans="1:3">
      <c r="A431" s="42"/>
      <c r="B431" s="42"/>
      <c r="C431" s="42"/>
    </row>
    <row r="432" spans="1:3">
      <c r="A432" s="42"/>
      <c r="B432" s="42"/>
      <c r="C432" s="42"/>
    </row>
    <row r="433" spans="1:3">
      <c r="A433" s="42"/>
      <c r="B433" s="42"/>
      <c r="C433" s="42"/>
    </row>
    <row r="434" spans="1:3">
      <c r="A434" s="42"/>
      <c r="B434" s="42"/>
      <c r="C434" s="42"/>
    </row>
    <row r="435" spans="1:3">
      <c r="A435" s="42"/>
      <c r="B435" s="42"/>
      <c r="C435" s="42"/>
    </row>
    <row r="436" spans="1:3">
      <c r="A436" s="42"/>
      <c r="B436" s="42"/>
      <c r="C436" s="42"/>
    </row>
    <row r="437" spans="1:3">
      <c r="A437" s="42"/>
      <c r="B437" s="42"/>
      <c r="C437" s="42"/>
    </row>
    <row r="438" spans="1:3">
      <c r="A438" s="42"/>
      <c r="B438" s="42"/>
      <c r="C438" s="42"/>
    </row>
    <row r="439" spans="1:3">
      <c r="A439" s="42"/>
      <c r="B439" s="42"/>
      <c r="C439" s="42"/>
    </row>
    <row r="440" spans="1:3">
      <c r="A440" s="42"/>
      <c r="B440" s="42"/>
      <c r="C440" s="42"/>
    </row>
    <row r="441" spans="1:3">
      <c r="A441" s="42"/>
      <c r="B441" s="42"/>
      <c r="C441" s="42"/>
    </row>
    <row r="442" spans="1:3">
      <c r="A442" s="42"/>
      <c r="B442" s="42"/>
      <c r="C442" s="42"/>
    </row>
    <row r="443" spans="1:3">
      <c r="A443" s="42"/>
      <c r="B443" s="42"/>
      <c r="C443" s="42"/>
    </row>
    <row r="444" spans="1:3">
      <c r="A444" s="42"/>
      <c r="B444" s="42"/>
      <c r="C444" s="42"/>
    </row>
    <row r="445" spans="1:3">
      <c r="A445" s="42"/>
      <c r="B445" s="42"/>
      <c r="C445" s="42"/>
    </row>
    <row r="446" spans="1:3">
      <c r="A446" s="42"/>
      <c r="B446" s="42"/>
      <c r="C446" s="42"/>
    </row>
    <row r="447" spans="1:3">
      <c r="A447" s="42"/>
      <c r="B447" s="42"/>
      <c r="C447" s="42"/>
    </row>
    <row r="448" spans="1:3">
      <c r="A448" s="42"/>
      <c r="B448" s="42"/>
      <c r="C448" s="42"/>
    </row>
    <row r="449" spans="1:3">
      <c r="A449" s="42"/>
      <c r="B449" s="42"/>
      <c r="C449" s="42"/>
    </row>
    <row r="450" spans="1:3">
      <c r="A450" s="42"/>
      <c r="B450" s="42"/>
      <c r="C450" s="42"/>
    </row>
    <row r="451" spans="1:3">
      <c r="A451" s="42"/>
      <c r="B451" s="42"/>
      <c r="C451" s="42"/>
    </row>
    <row r="452" spans="1:3">
      <c r="A452" s="42"/>
      <c r="B452" s="42"/>
      <c r="C452" s="42"/>
    </row>
    <row r="453" spans="1:3">
      <c r="A453" s="42"/>
      <c r="B453" s="42"/>
      <c r="C453" s="42"/>
    </row>
    <row r="454" spans="1:3">
      <c r="A454" s="42"/>
      <c r="B454" s="42"/>
      <c r="C454" s="42"/>
    </row>
    <row r="455" spans="1:3">
      <c r="A455" s="42"/>
      <c r="B455" s="42"/>
      <c r="C455" s="42"/>
    </row>
    <row r="456" spans="1:3">
      <c r="A456" s="42"/>
      <c r="B456" s="42"/>
      <c r="C456" s="42"/>
    </row>
    <row r="457" spans="1:3">
      <c r="A457" s="42"/>
      <c r="B457" s="42"/>
      <c r="C457" s="42"/>
    </row>
    <row r="458" spans="1:3">
      <c r="A458" s="42"/>
      <c r="B458" s="42"/>
      <c r="C458" s="42"/>
    </row>
    <row r="459" spans="1:3">
      <c r="A459" s="42"/>
      <c r="B459" s="42"/>
      <c r="C459" s="42"/>
    </row>
    <row r="460" spans="1:3">
      <c r="A460" s="42"/>
      <c r="B460" s="42"/>
      <c r="C460" s="42"/>
    </row>
    <row r="461" spans="1:3">
      <c r="A461" s="42"/>
      <c r="B461" s="42"/>
      <c r="C461" s="42"/>
    </row>
    <row r="462" spans="1:3">
      <c r="A462" s="42"/>
      <c r="B462" s="42"/>
      <c r="C462" s="42"/>
    </row>
    <row r="463" spans="1:3">
      <c r="A463" s="42"/>
      <c r="B463" s="42"/>
      <c r="C463" s="42"/>
    </row>
    <row r="464" spans="1:3">
      <c r="A464" s="42"/>
      <c r="B464" s="42"/>
      <c r="C464" s="42"/>
    </row>
    <row r="465" spans="1:3">
      <c r="A465" s="42"/>
      <c r="B465" s="42"/>
      <c r="C465" s="42"/>
    </row>
    <row r="466" spans="1:3">
      <c r="A466" s="42"/>
      <c r="B466" s="42"/>
      <c r="C466" s="42"/>
    </row>
    <row r="467" spans="1:3">
      <c r="A467" s="42"/>
      <c r="B467" s="42"/>
      <c r="C467" s="42"/>
    </row>
    <row r="468" spans="1:3">
      <c r="A468" s="42"/>
      <c r="B468" s="42"/>
      <c r="C468" s="42"/>
    </row>
    <row r="469" spans="1:3">
      <c r="A469" s="42"/>
      <c r="B469" s="42"/>
      <c r="C469" s="42"/>
    </row>
    <row r="470" spans="1:3">
      <c r="A470" s="42"/>
      <c r="B470" s="42"/>
      <c r="C470" s="42"/>
    </row>
    <row r="471" spans="1:3">
      <c r="A471" s="42"/>
      <c r="B471" s="42"/>
      <c r="C471" s="42"/>
    </row>
    <row r="472" spans="1:3">
      <c r="A472" s="42"/>
      <c r="B472" s="42"/>
      <c r="C472" s="42"/>
    </row>
    <row r="473" spans="1:3">
      <c r="A473" s="42"/>
      <c r="B473" s="42"/>
      <c r="C473" s="42"/>
    </row>
    <row r="474" spans="1:3">
      <c r="A474" s="42"/>
      <c r="B474" s="42"/>
    </row>
    <row r="475" spans="1:3">
      <c r="A475" s="42"/>
      <c r="B475" s="42"/>
    </row>
  </sheetData>
  <sortState ref="A328:E342">
    <sortCondition ref="D328:D342"/>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M170"/>
  <sheetViews>
    <sheetView workbookViewId="0">
      <selection activeCell="I126" sqref="I126"/>
    </sheetView>
  </sheetViews>
  <sheetFormatPr baseColWidth="10" defaultRowHeight="13"/>
  <cols>
    <col min="1" max="3" width="10.7109375" style="42"/>
    <col min="4" max="7" width="10.7109375" style="123"/>
    <col min="8" max="8" width="21.7109375" style="123" customWidth="1"/>
    <col min="9" max="16384" width="10.7109375" style="123"/>
  </cols>
  <sheetData>
    <row r="1" spans="1:12" ht="26">
      <c r="A1" s="100" t="s">
        <v>1869</v>
      </c>
      <c r="B1" s="100" t="s">
        <v>2173</v>
      </c>
      <c r="C1" s="237" t="s">
        <v>591</v>
      </c>
      <c r="D1" s="82" t="s">
        <v>820</v>
      </c>
      <c r="E1" s="82" t="s">
        <v>2174</v>
      </c>
      <c r="F1" s="82" t="s">
        <v>807</v>
      </c>
      <c r="G1" s="82" t="s">
        <v>2022</v>
      </c>
      <c r="H1" s="82" t="s">
        <v>590</v>
      </c>
      <c r="I1" s="82" t="s">
        <v>809</v>
      </c>
      <c r="J1" s="82" t="s">
        <v>459</v>
      </c>
      <c r="K1" s="82" t="s">
        <v>460</v>
      </c>
      <c r="L1" s="82" t="s">
        <v>757</v>
      </c>
    </row>
    <row r="2" spans="1:12">
      <c r="A2" s="42" t="s">
        <v>689</v>
      </c>
    </row>
    <row r="3" spans="1:12">
      <c r="A3" s="220" t="s">
        <v>334</v>
      </c>
      <c r="B3" s="220">
        <v>2012194</v>
      </c>
      <c r="C3" s="221" t="s">
        <v>593</v>
      </c>
      <c r="E3" s="46">
        <v>8557</v>
      </c>
      <c r="G3" s="46">
        <v>11554</v>
      </c>
      <c r="H3" s="123" t="s">
        <v>462</v>
      </c>
      <c r="I3" s="123" t="s">
        <v>471</v>
      </c>
      <c r="K3" s="159"/>
    </row>
    <row r="4" spans="1:12">
      <c r="A4" s="220" t="s">
        <v>334</v>
      </c>
      <c r="B4" s="220">
        <v>1976439</v>
      </c>
      <c r="C4" s="221" t="s">
        <v>593</v>
      </c>
      <c r="E4" s="46">
        <v>9029</v>
      </c>
      <c r="G4" s="46">
        <v>11239</v>
      </c>
      <c r="H4" s="123" t="s">
        <v>461</v>
      </c>
      <c r="I4" s="123" t="s">
        <v>336</v>
      </c>
      <c r="K4" s="159"/>
    </row>
    <row r="5" spans="1:12">
      <c r="A5" s="220" t="s">
        <v>334</v>
      </c>
      <c r="B5" s="220">
        <v>2003760</v>
      </c>
      <c r="C5" s="221" t="s">
        <v>593</v>
      </c>
      <c r="E5" s="46">
        <v>9558</v>
      </c>
      <c r="G5" s="46">
        <v>11477</v>
      </c>
      <c r="H5" s="123" t="s">
        <v>462</v>
      </c>
      <c r="I5" s="123" t="s">
        <v>469</v>
      </c>
      <c r="K5" s="159"/>
    </row>
    <row r="6" spans="1:12">
      <c r="A6" s="220" t="s">
        <v>334</v>
      </c>
      <c r="B6" s="220">
        <v>2003739</v>
      </c>
      <c r="C6" s="221" t="s">
        <v>593</v>
      </c>
      <c r="E6" s="46">
        <v>9784</v>
      </c>
      <c r="G6" s="46">
        <v>11477</v>
      </c>
      <c r="H6" s="123" t="s">
        <v>462</v>
      </c>
      <c r="I6" s="123" t="s">
        <v>467</v>
      </c>
      <c r="K6" s="159"/>
    </row>
    <row r="7" spans="1:12">
      <c r="A7" s="42" t="s">
        <v>334</v>
      </c>
      <c r="B7" s="42">
        <v>2003757</v>
      </c>
      <c r="C7" s="151" t="s">
        <v>593</v>
      </c>
      <c r="E7" s="46">
        <v>9864</v>
      </c>
      <c r="G7" s="46">
        <v>11477</v>
      </c>
      <c r="H7" s="123" t="s">
        <v>462</v>
      </c>
      <c r="I7" s="123" t="s">
        <v>468</v>
      </c>
      <c r="K7" s="159"/>
    </row>
    <row r="8" spans="1:12">
      <c r="A8" s="42" t="s">
        <v>334</v>
      </c>
      <c r="B8" s="42">
        <v>1980161</v>
      </c>
      <c r="C8" s="151" t="s">
        <v>593</v>
      </c>
      <c r="E8" s="46">
        <v>9952</v>
      </c>
      <c r="G8" s="46">
        <v>11274</v>
      </c>
      <c r="H8" s="123" t="s">
        <v>462</v>
      </c>
      <c r="I8" s="123" t="s">
        <v>464</v>
      </c>
      <c r="K8" s="159"/>
    </row>
    <row r="9" spans="1:12">
      <c r="A9" s="42" t="s">
        <v>334</v>
      </c>
      <c r="B9" s="42">
        <v>2088104</v>
      </c>
      <c r="C9" s="151" t="s">
        <v>593</v>
      </c>
      <c r="E9" s="46">
        <v>9957</v>
      </c>
      <c r="G9" s="46">
        <v>12261</v>
      </c>
      <c r="H9" s="123" t="s">
        <v>465</v>
      </c>
      <c r="I9" s="123" t="s">
        <v>466</v>
      </c>
      <c r="K9" s="159"/>
    </row>
    <row r="10" spans="1:12">
      <c r="A10" s="42" t="s">
        <v>334</v>
      </c>
      <c r="B10" s="42">
        <v>1996136</v>
      </c>
      <c r="C10" s="151" t="s">
        <v>593</v>
      </c>
      <c r="E10" s="46">
        <v>9981</v>
      </c>
      <c r="G10" s="46">
        <v>11414</v>
      </c>
      <c r="H10" s="123" t="s">
        <v>465</v>
      </c>
      <c r="I10" s="123" t="s">
        <v>466</v>
      </c>
      <c r="K10" s="159"/>
    </row>
    <row r="11" spans="1:12">
      <c r="A11" s="42" t="s">
        <v>334</v>
      </c>
      <c r="B11" s="42">
        <v>2111169</v>
      </c>
      <c r="C11" s="151" t="s">
        <v>593</v>
      </c>
      <c r="E11" s="46">
        <v>10037</v>
      </c>
      <c r="G11" s="46">
        <v>12492</v>
      </c>
      <c r="H11" s="123" t="s">
        <v>462</v>
      </c>
      <c r="I11" s="123" t="s">
        <v>467</v>
      </c>
      <c r="K11" s="159"/>
    </row>
    <row r="12" spans="1:12">
      <c r="A12" s="42" t="s">
        <v>334</v>
      </c>
      <c r="B12" s="42">
        <v>2071997</v>
      </c>
      <c r="C12" s="151" t="s">
        <v>593</v>
      </c>
      <c r="E12" s="46">
        <v>10048</v>
      </c>
      <c r="G12" s="46">
        <v>12107</v>
      </c>
      <c r="H12" s="207" t="s">
        <v>462</v>
      </c>
      <c r="I12" s="123" t="s">
        <v>778</v>
      </c>
      <c r="K12" s="159"/>
    </row>
    <row r="13" spans="1:12">
      <c r="A13" s="42" t="s">
        <v>334</v>
      </c>
      <c r="B13" s="42">
        <v>2003762</v>
      </c>
      <c r="C13" s="151" t="s">
        <v>593</v>
      </c>
      <c r="E13" s="46">
        <v>10143</v>
      </c>
      <c r="G13" s="46">
        <v>11477</v>
      </c>
      <c r="H13" s="123" t="s">
        <v>462</v>
      </c>
      <c r="I13" s="123" t="s">
        <v>470</v>
      </c>
      <c r="J13" s="207"/>
      <c r="K13" s="200"/>
    </row>
    <row r="14" spans="1:12">
      <c r="A14" s="42" t="s">
        <v>334</v>
      </c>
      <c r="B14" s="42">
        <v>2146983</v>
      </c>
      <c r="C14" s="151" t="s">
        <v>593</v>
      </c>
      <c r="E14" s="46">
        <v>10378</v>
      </c>
      <c r="G14" s="46">
        <v>12828</v>
      </c>
      <c r="H14" s="123" t="s">
        <v>462</v>
      </c>
      <c r="I14" s="123" t="s">
        <v>468</v>
      </c>
      <c r="K14" s="159"/>
    </row>
    <row r="15" spans="1:12">
      <c r="A15" s="42" t="s">
        <v>334</v>
      </c>
      <c r="B15" s="42">
        <v>2052515</v>
      </c>
      <c r="C15" s="151" t="s">
        <v>593</v>
      </c>
      <c r="E15" s="46">
        <v>10612</v>
      </c>
      <c r="G15" s="46">
        <v>11925</v>
      </c>
      <c r="H15" s="123" t="s">
        <v>462</v>
      </c>
      <c r="I15" s="123" t="s">
        <v>468</v>
      </c>
      <c r="K15" s="159"/>
    </row>
    <row r="16" spans="1:12">
      <c r="A16" s="42" t="s">
        <v>334</v>
      </c>
      <c r="B16" s="42">
        <v>2059645</v>
      </c>
      <c r="C16" s="151" t="s">
        <v>593</v>
      </c>
      <c r="E16" s="46">
        <v>10700</v>
      </c>
      <c r="G16" s="46">
        <v>11995</v>
      </c>
      <c r="H16" s="167"/>
      <c r="I16" s="123" t="s">
        <v>604</v>
      </c>
      <c r="K16" s="159"/>
    </row>
    <row r="17" spans="1:12">
      <c r="A17" s="42" t="s">
        <v>334</v>
      </c>
      <c r="B17" s="42">
        <v>2139299</v>
      </c>
      <c r="C17" s="151" t="s">
        <v>593</v>
      </c>
      <c r="E17" s="46">
        <v>10762</v>
      </c>
      <c r="G17" s="46">
        <v>12758</v>
      </c>
      <c r="H17" s="123" t="s">
        <v>462</v>
      </c>
      <c r="I17" s="123" t="s">
        <v>616</v>
      </c>
      <c r="K17" s="159"/>
    </row>
    <row r="18" spans="1:12">
      <c r="A18" s="42" t="s">
        <v>334</v>
      </c>
      <c r="B18" s="42">
        <v>2051155</v>
      </c>
      <c r="C18" s="151" t="s">
        <v>593</v>
      </c>
      <c r="E18" s="46">
        <v>10984</v>
      </c>
      <c r="G18" s="46">
        <v>11918</v>
      </c>
      <c r="H18" s="123" t="s">
        <v>462</v>
      </c>
      <c r="I18" s="123" t="s">
        <v>463</v>
      </c>
      <c r="K18" s="159"/>
    </row>
    <row r="19" spans="1:12">
      <c r="A19" s="42" t="s">
        <v>334</v>
      </c>
      <c r="B19" s="42">
        <v>2021672</v>
      </c>
      <c r="C19" s="151" t="s">
        <v>593</v>
      </c>
      <c r="E19" s="46">
        <v>10990</v>
      </c>
      <c r="G19" s="46">
        <v>11645</v>
      </c>
      <c r="H19" s="167"/>
      <c r="I19" s="123" t="s">
        <v>472</v>
      </c>
      <c r="K19" s="159"/>
    </row>
    <row r="20" spans="1:12">
      <c r="A20" s="42" t="s">
        <v>334</v>
      </c>
      <c r="B20" s="42">
        <v>1977781</v>
      </c>
      <c r="C20" s="151" t="s">
        <v>593</v>
      </c>
      <c r="E20" s="46">
        <v>10993</v>
      </c>
      <c r="G20" s="46">
        <v>11253</v>
      </c>
      <c r="H20" s="123" t="s">
        <v>462</v>
      </c>
      <c r="I20" s="123" t="s">
        <v>463</v>
      </c>
      <c r="K20" s="159"/>
    </row>
    <row r="21" spans="1:12">
      <c r="A21" s="42" t="s">
        <v>334</v>
      </c>
      <c r="B21" s="42">
        <v>2061714</v>
      </c>
      <c r="C21" s="151" t="s">
        <v>593</v>
      </c>
      <c r="E21" s="46">
        <v>11220</v>
      </c>
      <c r="G21" s="46">
        <v>12016</v>
      </c>
      <c r="H21" s="123" t="s">
        <v>462</v>
      </c>
      <c r="I21" s="123" t="s">
        <v>468</v>
      </c>
      <c r="K21" s="159"/>
    </row>
    <row r="22" spans="1:12">
      <c r="A22" s="42" t="s">
        <v>334</v>
      </c>
      <c r="B22" s="42">
        <v>2067302</v>
      </c>
      <c r="C22" s="151" t="s">
        <v>593</v>
      </c>
      <c r="E22" s="46">
        <v>11245</v>
      </c>
      <c r="G22" s="46">
        <v>12065</v>
      </c>
      <c r="H22" s="123" t="s">
        <v>462</v>
      </c>
      <c r="I22" s="123" t="s">
        <v>468</v>
      </c>
      <c r="K22" s="159"/>
    </row>
    <row r="23" spans="1:12">
      <c r="A23" s="42" t="s">
        <v>334</v>
      </c>
      <c r="B23" s="42">
        <v>2065962</v>
      </c>
      <c r="C23" s="151" t="s">
        <v>593</v>
      </c>
      <c r="E23" s="46">
        <v>11247</v>
      </c>
      <c r="G23" s="46">
        <v>12051</v>
      </c>
      <c r="H23" s="123" t="s">
        <v>462</v>
      </c>
      <c r="I23" s="123" t="s">
        <v>776</v>
      </c>
      <c r="K23" s="159"/>
    </row>
    <row r="24" spans="1:12">
      <c r="A24" s="42" t="s">
        <v>334</v>
      </c>
      <c r="B24" s="42">
        <v>2036634</v>
      </c>
      <c r="C24" s="151" t="s">
        <v>593</v>
      </c>
      <c r="E24" s="46">
        <v>11256</v>
      </c>
      <c r="G24" s="46">
        <v>11785</v>
      </c>
      <c r="H24" s="123" t="s">
        <v>462</v>
      </c>
      <c r="I24" s="123" t="s">
        <v>473</v>
      </c>
      <c r="J24" s="42" t="s">
        <v>702</v>
      </c>
      <c r="K24" s="181">
        <v>10898</v>
      </c>
    </row>
    <row r="25" spans="1:12">
      <c r="A25" s="42" t="s">
        <v>334</v>
      </c>
      <c r="B25" s="42">
        <v>2071990</v>
      </c>
      <c r="C25" s="151" t="s">
        <v>593</v>
      </c>
      <c r="E25" s="46">
        <v>11317</v>
      </c>
      <c r="G25" s="46">
        <v>12107</v>
      </c>
      <c r="H25" s="123" t="s">
        <v>462</v>
      </c>
      <c r="I25" s="123" t="s">
        <v>605</v>
      </c>
      <c r="K25" s="159"/>
    </row>
    <row r="26" spans="1:12">
      <c r="A26" s="42" t="s">
        <v>334</v>
      </c>
      <c r="B26" s="42">
        <v>2191063</v>
      </c>
      <c r="C26" s="151" t="s">
        <v>593</v>
      </c>
      <c r="E26" s="46">
        <v>11332</v>
      </c>
      <c r="G26" s="46">
        <v>13199</v>
      </c>
      <c r="H26" s="42" t="s">
        <v>784</v>
      </c>
      <c r="I26" s="42" t="s">
        <v>785</v>
      </c>
      <c r="J26" s="42" t="s">
        <v>786</v>
      </c>
      <c r="K26" s="181">
        <v>10976</v>
      </c>
      <c r="L26" s="42"/>
    </row>
    <row r="27" spans="1:12">
      <c r="A27" s="42" t="s">
        <v>334</v>
      </c>
      <c r="B27" s="42">
        <v>2205635</v>
      </c>
      <c r="C27" s="151" t="s">
        <v>593</v>
      </c>
      <c r="E27" s="46">
        <v>11332</v>
      </c>
      <c r="G27" s="46">
        <v>13325</v>
      </c>
      <c r="H27" s="123" t="s">
        <v>784</v>
      </c>
      <c r="I27" s="123" t="s">
        <v>785</v>
      </c>
      <c r="K27" s="159"/>
    </row>
    <row r="28" spans="1:12">
      <c r="A28" s="42" t="s">
        <v>334</v>
      </c>
      <c r="B28" s="42">
        <v>2076443</v>
      </c>
      <c r="C28" s="151" t="s">
        <v>593</v>
      </c>
      <c r="E28" s="46">
        <v>11344</v>
      </c>
      <c r="G28" s="46">
        <v>12149</v>
      </c>
      <c r="H28" s="123" t="s">
        <v>462</v>
      </c>
      <c r="I28" s="123" t="s">
        <v>779</v>
      </c>
      <c r="K28" s="159"/>
    </row>
    <row r="29" spans="1:12">
      <c r="A29" s="42" t="s">
        <v>334</v>
      </c>
      <c r="B29" s="42">
        <v>2091002</v>
      </c>
      <c r="C29" s="151" t="s">
        <v>593</v>
      </c>
      <c r="E29" s="46">
        <v>11364</v>
      </c>
      <c r="G29" s="46">
        <v>12289</v>
      </c>
      <c r="H29" s="123" t="s">
        <v>462</v>
      </c>
      <c r="I29" s="123" t="s">
        <v>780</v>
      </c>
      <c r="K29" s="159"/>
    </row>
    <row r="30" spans="1:12">
      <c r="A30" s="42" t="s">
        <v>334</v>
      </c>
      <c r="B30" s="42">
        <v>2061715</v>
      </c>
      <c r="C30" s="151" t="s">
        <v>593</v>
      </c>
      <c r="E30" s="46">
        <v>11379</v>
      </c>
      <c r="G30" s="46">
        <v>12016</v>
      </c>
      <c r="H30" s="123" t="s">
        <v>462</v>
      </c>
      <c r="I30" s="123" t="s">
        <v>468</v>
      </c>
      <c r="K30" s="159"/>
    </row>
    <row r="31" spans="1:12">
      <c r="A31" s="42" t="s">
        <v>334</v>
      </c>
      <c r="B31" s="42">
        <v>2190853</v>
      </c>
      <c r="C31" s="151" t="s">
        <v>593</v>
      </c>
      <c r="E31" s="46">
        <v>11455</v>
      </c>
      <c r="G31" s="46">
        <v>13199</v>
      </c>
      <c r="H31" s="123" t="s">
        <v>462</v>
      </c>
      <c r="I31" s="123" t="s">
        <v>812</v>
      </c>
      <c r="K31" s="159"/>
    </row>
    <row r="32" spans="1:12">
      <c r="A32" s="42" t="s">
        <v>334</v>
      </c>
      <c r="B32" s="42">
        <v>2069564</v>
      </c>
      <c r="C32" s="151" t="s">
        <v>593</v>
      </c>
      <c r="E32" s="46">
        <v>11534</v>
      </c>
      <c r="G32" s="46">
        <v>12086</v>
      </c>
      <c r="H32" s="123" t="s">
        <v>462</v>
      </c>
      <c r="I32" s="123" t="s">
        <v>777</v>
      </c>
      <c r="K32" s="159"/>
    </row>
    <row r="33" spans="1:13">
      <c r="A33" s="42" t="s">
        <v>334</v>
      </c>
      <c r="B33" s="42">
        <v>2061722</v>
      </c>
      <c r="C33" s="151" t="s">
        <v>593</v>
      </c>
      <c r="E33" s="46">
        <v>11585</v>
      </c>
      <c r="G33" s="46">
        <v>12016</v>
      </c>
      <c r="H33" s="123" t="s">
        <v>462</v>
      </c>
      <c r="I33" s="123" t="s">
        <v>605</v>
      </c>
      <c r="K33" s="159"/>
    </row>
    <row r="34" spans="1:13">
      <c r="A34" s="42" t="s">
        <v>334</v>
      </c>
      <c r="B34" s="42">
        <v>2076321</v>
      </c>
      <c r="C34" s="151" t="s">
        <v>593</v>
      </c>
      <c r="E34" s="46">
        <v>11610</v>
      </c>
      <c r="G34" s="46">
        <v>12149</v>
      </c>
      <c r="H34" s="123" t="s">
        <v>462</v>
      </c>
      <c r="I34" s="123" t="s">
        <v>468</v>
      </c>
      <c r="K34" s="159"/>
    </row>
    <row r="35" spans="1:13">
      <c r="A35" s="42" t="s">
        <v>334</v>
      </c>
      <c r="B35" s="42">
        <v>2112476</v>
      </c>
      <c r="C35" s="151" t="s">
        <v>593</v>
      </c>
      <c r="E35" s="46">
        <v>11628</v>
      </c>
      <c r="G35" s="46">
        <v>12506</v>
      </c>
      <c r="H35" s="123" t="s">
        <v>462</v>
      </c>
      <c r="I35" s="123" t="s">
        <v>612</v>
      </c>
      <c r="K35" s="159"/>
    </row>
    <row r="36" spans="1:13">
      <c r="A36" s="42" t="s">
        <v>334</v>
      </c>
      <c r="B36" s="42">
        <v>2170065</v>
      </c>
      <c r="C36" s="151" t="s">
        <v>593</v>
      </c>
      <c r="E36" s="46">
        <v>11635</v>
      </c>
      <c r="G36" s="46">
        <v>13017</v>
      </c>
      <c r="H36" s="123" t="s">
        <v>462</v>
      </c>
      <c r="I36" s="123" t="s">
        <v>614</v>
      </c>
      <c r="K36" s="159"/>
    </row>
    <row r="37" spans="1:13">
      <c r="A37" s="42" t="s">
        <v>334</v>
      </c>
      <c r="B37" s="42">
        <v>2099623</v>
      </c>
      <c r="C37" s="151" t="s">
        <v>593</v>
      </c>
      <c r="E37" s="46">
        <v>11645</v>
      </c>
      <c r="G37" s="46">
        <v>12373</v>
      </c>
      <c r="H37" s="207" t="s">
        <v>462</v>
      </c>
      <c r="I37" s="123" t="s">
        <v>611</v>
      </c>
      <c r="K37" s="159"/>
    </row>
    <row r="38" spans="1:13">
      <c r="A38" s="42" t="s">
        <v>334</v>
      </c>
      <c r="B38" s="42">
        <v>2122824</v>
      </c>
      <c r="C38" s="151" t="s">
        <v>593</v>
      </c>
      <c r="E38" s="46">
        <v>11648</v>
      </c>
      <c r="G38" s="46">
        <v>12604</v>
      </c>
      <c r="H38" s="123" t="s">
        <v>462</v>
      </c>
      <c r="I38" s="123" t="s">
        <v>468</v>
      </c>
      <c r="K38" s="159"/>
    </row>
    <row r="39" spans="1:13">
      <c r="A39" s="42" t="s">
        <v>334</v>
      </c>
      <c r="B39" s="42">
        <v>2076322</v>
      </c>
      <c r="C39" s="151" t="s">
        <v>593</v>
      </c>
      <c r="E39" s="46">
        <v>11689</v>
      </c>
      <c r="G39" s="46">
        <v>12149</v>
      </c>
      <c r="H39" s="123" t="s">
        <v>462</v>
      </c>
      <c r="I39" s="123" t="s">
        <v>468</v>
      </c>
      <c r="K39" s="159"/>
    </row>
    <row r="40" spans="1:13">
      <c r="A40" s="42" t="s">
        <v>334</v>
      </c>
      <c r="B40" s="42">
        <v>2127314</v>
      </c>
      <c r="C40" s="151" t="s">
        <v>593</v>
      </c>
      <c r="E40" s="46">
        <v>11788</v>
      </c>
      <c r="G40" s="46">
        <v>12646</v>
      </c>
      <c r="H40" s="167"/>
      <c r="I40" s="123" t="s">
        <v>472</v>
      </c>
      <c r="K40" s="159"/>
    </row>
    <row r="41" spans="1:13">
      <c r="A41" s="42" t="s">
        <v>334</v>
      </c>
      <c r="B41" s="42">
        <v>2098893</v>
      </c>
      <c r="C41" s="151" t="s">
        <v>593</v>
      </c>
      <c r="E41" s="46">
        <v>11934</v>
      </c>
      <c r="G41" s="46">
        <v>12366</v>
      </c>
      <c r="H41" s="123" t="s">
        <v>462</v>
      </c>
      <c r="I41" s="123" t="s">
        <v>781</v>
      </c>
      <c r="K41" s="159"/>
    </row>
    <row r="42" spans="1:13">
      <c r="A42" s="42" t="s">
        <v>334</v>
      </c>
      <c r="B42" s="42">
        <v>2139227</v>
      </c>
      <c r="C42" s="151" t="s">
        <v>593</v>
      </c>
      <c r="E42" s="46">
        <v>11943</v>
      </c>
      <c r="G42" s="46">
        <v>12758</v>
      </c>
      <c r="H42" s="123" t="s">
        <v>462</v>
      </c>
      <c r="I42" s="123" t="s">
        <v>615</v>
      </c>
      <c r="K42" s="159"/>
    </row>
    <row r="43" spans="1:13">
      <c r="A43" s="42" t="s">
        <v>334</v>
      </c>
      <c r="B43" s="42">
        <v>2114576</v>
      </c>
      <c r="C43" s="151" t="s">
        <v>593</v>
      </c>
      <c r="E43" s="46">
        <v>12016</v>
      </c>
      <c r="G43" s="46">
        <v>12527</v>
      </c>
      <c r="H43" s="123" t="s">
        <v>462</v>
      </c>
      <c r="I43" s="123" t="s">
        <v>613</v>
      </c>
      <c r="K43" s="159"/>
    </row>
    <row r="44" spans="1:13">
      <c r="A44" s="42" t="s">
        <v>334</v>
      </c>
      <c r="B44" s="42">
        <v>2240171</v>
      </c>
      <c r="C44" s="151" t="s">
        <v>593</v>
      </c>
      <c r="E44" s="46">
        <v>12023</v>
      </c>
      <c r="G44" s="46">
        <v>13633</v>
      </c>
      <c r="H44" s="123" t="s">
        <v>462</v>
      </c>
      <c r="I44" s="123" t="s">
        <v>713</v>
      </c>
      <c r="K44" s="159"/>
    </row>
    <row r="45" spans="1:13">
      <c r="A45" s="42" t="s">
        <v>334</v>
      </c>
      <c r="B45" s="42">
        <v>2198874</v>
      </c>
      <c r="C45" s="151" t="s">
        <v>593</v>
      </c>
      <c r="E45" s="46">
        <v>12129</v>
      </c>
      <c r="G45" s="46">
        <v>13269</v>
      </c>
      <c r="H45" s="123" t="s">
        <v>462</v>
      </c>
      <c r="I45" s="123" t="s">
        <v>787</v>
      </c>
      <c r="J45" s="42" t="s">
        <v>702</v>
      </c>
      <c r="K45" s="181">
        <v>11767</v>
      </c>
    </row>
    <row r="46" spans="1:13">
      <c r="A46" s="42" t="s">
        <v>334</v>
      </c>
      <c r="B46" s="42">
        <v>2127310</v>
      </c>
      <c r="C46" s="151" t="s">
        <v>593</v>
      </c>
      <c r="E46" s="46">
        <v>12197</v>
      </c>
      <c r="G46" s="46">
        <v>12646</v>
      </c>
      <c r="H46" s="207" t="s">
        <v>462</v>
      </c>
      <c r="I46" s="123" t="s">
        <v>614</v>
      </c>
      <c r="K46" s="159"/>
    </row>
    <row r="47" spans="1:13">
      <c r="A47" s="42" t="s">
        <v>334</v>
      </c>
      <c r="B47" s="42">
        <v>2204062</v>
      </c>
      <c r="C47" s="151" t="s">
        <v>593</v>
      </c>
      <c r="E47" s="46">
        <v>12244</v>
      </c>
      <c r="G47" s="46">
        <v>13311</v>
      </c>
      <c r="H47" s="42" t="s">
        <v>462</v>
      </c>
      <c r="I47" s="123" t="s">
        <v>464</v>
      </c>
      <c r="K47" s="159"/>
    </row>
    <row r="48" spans="1:13">
      <c r="A48" s="42" t="s">
        <v>334</v>
      </c>
      <c r="B48" s="42">
        <v>2204097</v>
      </c>
      <c r="C48" s="151" t="s">
        <v>593</v>
      </c>
      <c r="E48" s="46">
        <v>12249</v>
      </c>
      <c r="G48" s="46">
        <v>13311</v>
      </c>
      <c r="H48" s="42" t="s">
        <v>462</v>
      </c>
      <c r="I48" s="207" t="s">
        <v>788</v>
      </c>
      <c r="J48" s="207"/>
      <c r="K48" s="200"/>
      <c r="L48" s="207"/>
      <c r="M48" s="42"/>
    </row>
    <row r="49" spans="1:11">
      <c r="A49" s="42" t="s">
        <v>334</v>
      </c>
      <c r="B49" s="42">
        <v>2179246</v>
      </c>
      <c r="C49" s="151" t="s">
        <v>593</v>
      </c>
      <c r="E49" s="46">
        <v>12310</v>
      </c>
      <c r="G49" s="46">
        <v>13094</v>
      </c>
      <c r="H49" s="123" t="s">
        <v>462</v>
      </c>
      <c r="I49" s="123" t="s">
        <v>464</v>
      </c>
      <c r="J49" s="207"/>
      <c r="K49" s="200"/>
    </row>
    <row r="50" spans="1:11">
      <c r="A50" s="42" t="s">
        <v>334</v>
      </c>
      <c r="B50" s="42">
        <v>2180320</v>
      </c>
      <c r="C50" s="151" t="s">
        <v>593</v>
      </c>
      <c r="E50" s="46">
        <v>12311</v>
      </c>
      <c r="G50" s="46">
        <v>13101</v>
      </c>
      <c r="H50" s="167"/>
      <c r="I50" s="123" t="s">
        <v>811</v>
      </c>
      <c r="K50" s="159"/>
    </row>
    <row r="51" spans="1:11">
      <c r="A51" s="42" t="s">
        <v>334</v>
      </c>
      <c r="B51" s="42">
        <v>2241873</v>
      </c>
      <c r="C51" s="151" t="s">
        <v>593</v>
      </c>
      <c r="E51" s="46">
        <v>12334</v>
      </c>
      <c r="G51" s="46">
        <v>13647</v>
      </c>
      <c r="H51" s="123" t="s">
        <v>462</v>
      </c>
      <c r="I51" s="123" t="s">
        <v>828</v>
      </c>
      <c r="K51" s="159"/>
    </row>
    <row r="52" spans="1:11">
      <c r="A52" s="42" t="s">
        <v>334</v>
      </c>
      <c r="B52" s="42">
        <v>2170975</v>
      </c>
      <c r="C52" s="151" t="s">
        <v>593</v>
      </c>
      <c r="E52" s="46">
        <v>12368</v>
      </c>
      <c r="G52" s="46">
        <v>13024</v>
      </c>
      <c r="H52" s="207" t="s">
        <v>462</v>
      </c>
      <c r="I52" s="123" t="s">
        <v>468</v>
      </c>
      <c r="K52" s="159"/>
    </row>
    <row r="53" spans="1:11">
      <c r="A53" s="42" t="s">
        <v>334</v>
      </c>
      <c r="B53" s="42">
        <v>2244188</v>
      </c>
      <c r="C53" s="151" t="s">
        <v>593</v>
      </c>
      <c r="E53" s="46">
        <v>12370</v>
      </c>
      <c r="G53" s="46">
        <v>13668</v>
      </c>
      <c r="H53" s="167"/>
      <c r="I53" s="123" t="s">
        <v>895</v>
      </c>
      <c r="K53" s="159"/>
    </row>
    <row r="54" spans="1:11">
      <c r="A54" s="42" t="s">
        <v>334</v>
      </c>
      <c r="B54" s="42">
        <v>2260971</v>
      </c>
      <c r="C54" s="151" t="s">
        <v>593</v>
      </c>
      <c r="E54" s="46">
        <v>12377</v>
      </c>
      <c r="G54" s="46">
        <v>13815</v>
      </c>
      <c r="H54" s="207" t="s">
        <v>462</v>
      </c>
      <c r="I54" s="123" t="s">
        <v>615</v>
      </c>
      <c r="K54" s="159"/>
    </row>
    <row r="55" spans="1:11">
      <c r="A55" s="42" t="s">
        <v>334</v>
      </c>
      <c r="B55" s="42">
        <v>2227520</v>
      </c>
      <c r="C55" s="151" t="s">
        <v>593</v>
      </c>
      <c r="E55" s="46">
        <v>12521</v>
      </c>
      <c r="G55" s="46">
        <v>13521</v>
      </c>
      <c r="H55" s="123" t="s">
        <v>462</v>
      </c>
      <c r="I55" s="123" t="s">
        <v>605</v>
      </c>
      <c r="K55" s="159"/>
    </row>
    <row r="56" spans="1:11">
      <c r="A56" s="42" t="s">
        <v>334</v>
      </c>
      <c r="B56" s="42">
        <v>2204072</v>
      </c>
      <c r="C56" s="151" t="s">
        <v>593</v>
      </c>
      <c r="E56" s="46">
        <v>12563</v>
      </c>
      <c r="G56" s="46">
        <v>13311</v>
      </c>
      <c r="H56" s="207" t="s">
        <v>462</v>
      </c>
      <c r="I56" s="123" t="s">
        <v>596</v>
      </c>
      <c r="J56" s="207"/>
      <c r="K56" s="159"/>
    </row>
    <row r="57" spans="1:11">
      <c r="A57" s="42" t="s">
        <v>334</v>
      </c>
      <c r="B57" s="42">
        <v>2397575</v>
      </c>
      <c r="C57" s="151" t="s">
        <v>593</v>
      </c>
      <c r="E57" s="46">
        <v>12639</v>
      </c>
      <c r="G57" s="46">
        <v>15432</v>
      </c>
      <c r="H57" s="123" t="s">
        <v>462</v>
      </c>
      <c r="I57" s="123" t="s">
        <v>777</v>
      </c>
      <c r="K57" s="159"/>
    </row>
    <row r="58" spans="1:11">
      <c r="A58" s="42" t="s">
        <v>334</v>
      </c>
      <c r="B58" s="42">
        <v>2241887</v>
      </c>
      <c r="C58" s="151" t="s">
        <v>593</v>
      </c>
      <c r="E58" s="46">
        <v>12682</v>
      </c>
      <c r="G58" s="46">
        <v>13647</v>
      </c>
      <c r="H58" s="207" t="s">
        <v>462</v>
      </c>
      <c r="I58" s="123" t="s">
        <v>468</v>
      </c>
      <c r="K58" s="159"/>
    </row>
    <row r="59" spans="1:11">
      <c r="A59" s="42" t="s">
        <v>334</v>
      </c>
      <c r="B59" s="42">
        <v>2240163</v>
      </c>
      <c r="C59" s="151" t="s">
        <v>593</v>
      </c>
      <c r="E59" s="46">
        <v>12691</v>
      </c>
      <c r="G59" s="46">
        <v>13633</v>
      </c>
      <c r="H59" s="42" t="s">
        <v>462</v>
      </c>
      <c r="I59" s="123" t="s">
        <v>468</v>
      </c>
      <c r="K59" s="159"/>
    </row>
    <row r="60" spans="1:11">
      <c r="A60" s="42" t="s">
        <v>334</v>
      </c>
      <c r="B60" s="42">
        <v>2155964</v>
      </c>
      <c r="C60" s="151" t="s">
        <v>593</v>
      </c>
      <c r="E60" s="46">
        <v>12699</v>
      </c>
      <c r="G60" s="46">
        <v>12898</v>
      </c>
      <c r="H60" s="123" t="s">
        <v>462</v>
      </c>
      <c r="I60" s="123" t="s">
        <v>821</v>
      </c>
      <c r="K60" s="159"/>
    </row>
    <row r="61" spans="1:11">
      <c r="A61" s="42" t="s">
        <v>334</v>
      </c>
      <c r="B61" s="42">
        <v>2272026</v>
      </c>
      <c r="C61" s="151" t="s">
        <v>593</v>
      </c>
      <c r="E61" s="46">
        <v>12701</v>
      </c>
      <c r="G61" s="46">
        <v>13913</v>
      </c>
      <c r="H61" s="167"/>
      <c r="I61" s="123" t="s">
        <v>472</v>
      </c>
      <c r="J61" s="207"/>
      <c r="K61" s="159"/>
    </row>
    <row r="62" spans="1:11">
      <c r="A62" s="42" t="s">
        <v>334</v>
      </c>
      <c r="B62" s="42">
        <v>2240119</v>
      </c>
      <c r="C62" s="151" t="s">
        <v>593</v>
      </c>
      <c r="E62" s="46">
        <v>12724</v>
      </c>
      <c r="G62" s="46">
        <v>13633</v>
      </c>
      <c r="H62" s="123" t="s">
        <v>462</v>
      </c>
      <c r="I62" s="123" t="s">
        <v>712</v>
      </c>
      <c r="K62" s="159"/>
    </row>
    <row r="63" spans="1:11">
      <c r="A63" s="42" t="s">
        <v>334</v>
      </c>
      <c r="B63" s="42">
        <v>2281194</v>
      </c>
      <c r="C63" s="151" t="s">
        <v>593</v>
      </c>
      <c r="E63" s="46">
        <v>12776</v>
      </c>
      <c r="G63" s="46">
        <v>13997</v>
      </c>
      <c r="H63" s="123" t="s">
        <v>462</v>
      </c>
      <c r="I63" s="123" t="s">
        <v>813</v>
      </c>
      <c r="J63" s="42" t="s">
        <v>702</v>
      </c>
      <c r="K63" s="159">
        <v>12418</v>
      </c>
    </row>
    <row r="64" spans="1:11">
      <c r="A64" s="42" t="s">
        <v>334</v>
      </c>
      <c r="B64" s="42">
        <v>2179271</v>
      </c>
      <c r="C64" s="151" t="s">
        <v>593</v>
      </c>
      <c r="E64" s="46">
        <v>12872</v>
      </c>
      <c r="G64" s="46">
        <v>13094</v>
      </c>
      <c r="H64" s="207" t="s">
        <v>462</v>
      </c>
      <c r="I64" s="123" t="s">
        <v>468</v>
      </c>
      <c r="K64" s="159"/>
    </row>
    <row r="65" spans="1:11">
      <c r="A65" s="42" t="s">
        <v>334</v>
      </c>
      <c r="B65" s="42">
        <v>2295714</v>
      </c>
      <c r="C65" s="151" t="s">
        <v>593</v>
      </c>
      <c r="E65" s="46">
        <v>12892</v>
      </c>
      <c r="G65" s="46">
        <v>14137</v>
      </c>
      <c r="H65" s="207" t="s">
        <v>462</v>
      </c>
      <c r="I65" s="123" t="s">
        <v>814</v>
      </c>
      <c r="J65" s="207"/>
      <c r="K65" s="159"/>
    </row>
    <row r="66" spans="1:11">
      <c r="A66" s="42" t="s">
        <v>334</v>
      </c>
      <c r="B66" s="42">
        <v>2240164</v>
      </c>
      <c r="C66" s="151" t="s">
        <v>593</v>
      </c>
      <c r="E66" s="46">
        <v>12916</v>
      </c>
      <c r="G66" s="46">
        <v>13633</v>
      </c>
      <c r="H66" s="123" t="s">
        <v>462</v>
      </c>
      <c r="I66" s="123" t="s">
        <v>468</v>
      </c>
      <c r="K66" s="159"/>
    </row>
    <row r="67" spans="1:11">
      <c r="A67" s="42" t="s">
        <v>334</v>
      </c>
      <c r="B67" s="42">
        <v>2240182</v>
      </c>
      <c r="C67" s="151" t="s">
        <v>593</v>
      </c>
      <c r="E67" s="46">
        <v>12965</v>
      </c>
      <c r="G67" s="46">
        <v>13633</v>
      </c>
      <c r="H67" s="123" t="s">
        <v>462</v>
      </c>
      <c r="I67" s="123" t="s">
        <v>714</v>
      </c>
      <c r="J67" s="42" t="s">
        <v>702</v>
      </c>
      <c r="K67" s="159">
        <v>12659</v>
      </c>
    </row>
    <row r="68" spans="1:11">
      <c r="A68" s="42" t="s">
        <v>334</v>
      </c>
      <c r="B68" s="42">
        <v>2259717</v>
      </c>
      <c r="C68" s="151" t="s">
        <v>593</v>
      </c>
      <c r="E68" s="46">
        <v>12993</v>
      </c>
      <c r="G68" s="46">
        <v>13808</v>
      </c>
      <c r="H68" s="167"/>
      <c r="I68" s="123" t="s">
        <v>896</v>
      </c>
      <c r="J68" s="42" t="s">
        <v>897</v>
      </c>
      <c r="K68" s="159">
        <v>11947</v>
      </c>
    </row>
    <row r="69" spans="1:11">
      <c r="A69" s="42" t="s">
        <v>334</v>
      </c>
      <c r="B69" s="42">
        <v>2328323</v>
      </c>
      <c r="C69" s="151" t="s">
        <v>593</v>
      </c>
      <c r="E69" s="46">
        <v>13000</v>
      </c>
      <c r="G69" s="46">
        <v>14487</v>
      </c>
      <c r="H69" s="207" t="s">
        <v>462</v>
      </c>
      <c r="I69" s="123" t="s">
        <v>815</v>
      </c>
      <c r="K69" s="159"/>
    </row>
    <row r="70" spans="1:11">
      <c r="A70" s="42" t="s">
        <v>334</v>
      </c>
      <c r="B70" s="42">
        <v>2264139</v>
      </c>
      <c r="C70" s="151" t="s">
        <v>593</v>
      </c>
      <c r="E70" s="46">
        <v>13017</v>
      </c>
      <c r="G70" s="46">
        <v>13843</v>
      </c>
      <c r="H70" s="123" t="s">
        <v>462</v>
      </c>
      <c r="I70" s="123" t="s">
        <v>701</v>
      </c>
      <c r="J70" s="207"/>
      <c r="K70" s="159"/>
    </row>
    <row r="71" spans="1:11">
      <c r="A71" s="42" t="s">
        <v>334</v>
      </c>
      <c r="B71" s="42">
        <v>2226743</v>
      </c>
      <c r="C71" s="151" t="s">
        <v>593</v>
      </c>
      <c r="E71" s="46">
        <v>13133</v>
      </c>
      <c r="G71" s="46">
        <v>13514</v>
      </c>
      <c r="H71" s="42" t="s">
        <v>462</v>
      </c>
      <c r="I71" s="123" t="s">
        <v>614</v>
      </c>
      <c r="K71" s="159"/>
    </row>
    <row r="72" spans="1:11">
      <c r="A72" s="42" t="s">
        <v>334</v>
      </c>
      <c r="B72" s="42">
        <v>2347318</v>
      </c>
      <c r="C72" s="151" t="s">
        <v>593</v>
      </c>
      <c r="E72" s="46">
        <v>13133</v>
      </c>
      <c r="G72" s="46">
        <v>14725</v>
      </c>
      <c r="H72" s="123" t="s">
        <v>462</v>
      </c>
      <c r="I72" s="123" t="s">
        <v>816</v>
      </c>
      <c r="K72" s="159"/>
    </row>
    <row r="73" spans="1:11">
      <c r="A73" s="42" t="s">
        <v>334</v>
      </c>
      <c r="B73" s="42">
        <v>2366898</v>
      </c>
      <c r="C73" s="151" t="s">
        <v>593</v>
      </c>
      <c r="E73" s="46">
        <v>13133</v>
      </c>
      <c r="G73" s="46">
        <v>14984</v>
      </c>
      <c r="H73" s="123" t="s">
        <v>462</v>
      </c>
      <c r="I73" s="123" t="s">
        <v>816</v>
      </c>
      <c r="K73" s="159"/>
    </row>
    <row r="74" spans="1:11">
      <c r="A74" s="42" t="s">
        <v>334</v>
      </c>
      <c r="B74" s="42">
        <v>2267841</v>
      </c>
      <c r="C74" s="151" t="s">
        <v>593</v>
      </c>
      <c r="E74" s="46">
        <v>13314</v>
      </c>
      <c r="G74" s="46">
        <v>13878</v>
      </c>
      <c r="H74" s="123" t="s">
        <v>462</v>
      </c>
      <c r="I74" s="123" t="s">
        <v>614</v>
      </c>
      <c r="K74" s="159"/>
    </row>
    <row r="75" spans="1:11">
      <c r="A75" s="42" t="s">
        <v>334</v>
      </c>
      <c r="B75" s="42">
        <v>2428418</v>
      </c>
      <c r="C75" s="151" t="s">
        <v>593</v>
      </c>
      <c r="E75" s="46">
        <v>13333</v>
      </c>
      <c r="G75" s="46">
        <v>15985</v>
      </c>
      <c r="H75" s="123" t="s">
        <v>462</v>
      </c>
      <c r="I75" s="123" t="s">
        <v>655</v>
      </c>
      <c r="K75" s="159"/>
    </row>
    <row r="76" spans="1:11">
      <c r="A76" s="42" t="s">
        <v>334</v>
      </c>
      <c r="B76" s="42">
        <v>2401924</v>
      </c>
      <c r="C76" s="151" t="s">
        <v>593</v>
      </c>
      <c r="E76" s="46">
        <v>13354</v>
      </c>
      <c r="G76" s="46">
        <v>15502</v>
      </c>
      <c r="H76" s="123" t="s">
        <v>462</v>
      </c>
      <c r="I76" s="123" t="s">
        <v>615</v>
      </c>
      <c r="K76" s="159"/>
    </row>
    <row r="77" spans="1:11">
      <c r="A77" s="42" t="s">
        <v>334</v>
      </c>
      <c r="B77" s="42">
        <v>2240116</v>
      </c>
      <c r="C77" s="151" t="s">
        <v>593</v>
      </c>
      <c r="E77" s="46">
        <v>13356</v>
      </c>
      <c r="G77" s="46">
        <v>13633</v>
      </c>
      <c r="H77" s="42" t="s">
        <v>462</v>
      </c>
      <c r="I77" s="123" t="s">
        <v>787</v>
      </c>
      <c r="J77" s="42" t="s">
        <v>702</v>
      </c>
      <c r="K77" s="159">
        <v>12879</v>
      </c>
    </row>
    <row r="78" spans="1:11">
      <c r="A78" s="42" t="s">
        <v>334</v>
      </c>
      <c r="B78" s="42">
        <v>2355402</v>
      </c>
      <c r="C78" s="151" t="s">
        <v>593</v>
      </c>
      <c r="E78" s="46">
        <v>13616</v>
      </c>
      <c r="G78" s="46">
        <v>14830</v>
      </c>
      <c r="H78" s="123" t="s">
        <v>462</v>
      </c>
      <c r="I78" s="123" t="s">
        <v>403</v>
      </c>
      <c r="K78" s="159"/>
    </row>
    <row r="79" spans="1:11">
      <c r="A79" s="42" t="s">
        <v>334</v>
      </c>
      <c r="B79" s="42">
        <v>2360195</v>
      </c>
      <c r="C79" s="151" t="s">
        <v>593</v>
      </c>
      <c r="E79" s="46">
        <v>13626</v>
      </c>
      <c r="G79" s="46">
        <v>14893</v>
      </c>
      <c r="H79" s="123" t="s">
        <v>462</v>
      </c>
      <c r="I79" s="123" t="s">
        <v>404</v>
      </c>
      <c r="K79" s="159"/>
    </row>
    <row r="80" spans="1:11">
      <c r="A80" s="42" t="s">
        <v>334</v>
      </c>
      <c r="B80" s="42">
        <v>2370772</v>
      </c>
      <c r="C80" s="151" t="s">
        <v>593</v>
      </c>
      <c r="E80" s="46">
        <v>13707</v>
      </c>
      <c r="G80" s="46">
        <v>15040</v>
      </c>
      <c r="H80" s="123" t="s">
        <v>462</v>
      </c>
      <c r="I80" s="123" t="s">
        <v>776</v>
      </c>
      <c r="K80" s="159"/>
    </row>
    <row r="81" spans="1:11">
      <c r="A81" s="42" t="s">
        <v>334</v>
      </c>
      <c r="B81" s="42">
        <v>2364775</v>
      </c>
      <c r="C81" s="151" t="s">
        <v>593</v>
      </c>
      <c r="E81" s="46">
        <v>13717</v>
      </c>
      <c r="G81" s="46">
        <v>14956</v>
      </c>
      <c r="H81" s="123" t="s">
        <v>462</v>
      </c>
      <c r="I81" s="123" t="s">
        <v>405</v>
      </c>
      <c r="K81" s="159"/>
    </row>
    <row r="82" spans="1:11">
      <c r="A82" s="42" t="s">
        <v>334</v>
      </c>
      <c r="B82" s="42">
        <v>2393269</v>
      </c>
      <c r="C82" s="151" t="s">
        <v>593</v>
      </c>
      <c r="E82" s="46">
        <v>13789</v>
      </c>
      <c r="G82" s="46">
        <v>15362</v>
      </c>
      <c r="H82" s="123" t="s">
        <v>462</v>
      </c>
      <c r="I82" s="42" t="s">
        <v>408</v>
      </c>
      <c r="K82" s="159"/>
    </row>
    <row r="83" spans="1:11">
      <c r="A83" s="42" t="s">
        <v>334</v>
      </c>
      <c r="B83" s="42">
        <v>2361235</v>
      </c>
      <c r="C83" s="151" t="s">
        <v>593</v>
      </c>
      <c r="E83" s="46">
        <v>13896</v>
      </c>
      <c r="G83" s="46">
        <v>14907</v>
      </c>
      <c r="H83" s="123" t="s">
        <v>462</v>
      </c>
      <c r="I83" s="123" t="s">
        <v>468</v>
      </c>
      <c r="K83" s="159"/>
    </row>
    <row r="84" spans="1:11">
      <c r="A84" s="42" t="s">
        <v>334</v>
      </c>
      <c r="B84" s="42">
        <v>2392105</v>
      </c>
      <c r="C84" s="151" t="s">
        <v>593</v>
      </c>
      <c r="E84" s="46">
        <v>13971</v>
      </c>
      <c r="G84" s="46">
        <v>15341</v>
      </c>
      <c r="H84" s="123" t="s">
        <v>462</v>
      </c>
      <c r="I84" s="123" t="s">
        <v>403</v>
      </c>
      <c r="K84" s="159"/>
    </row>
    <row r="85" spans="1:11">
      <c r="A85" s="42" t="s">
        <v>334</v>
      </c>
      <c r="B85" s="42">
        <v>2351835</v>
      </c>
      <c r="C85" s="151" t="s">
        <v>593</v>
      </c>
      <c r="E85" s="46">
        <v>14034</v>
      </c>
      <c r="G85" s="46">
        <v>14781</v>
      </c>
      <c r="H85" s="123" t="s">
        <v>462</v>
      </c>
      <c r="I85" s="123" t="s">
        <v>468</v>
      </c>
      <c r="J85" s="207"/>
      <c r="K85" s="159"/>
    </row>
    <row r="86" spans="1:11">
      <c r="A86" s="42" t="s">
        <v>334</v>
      </c>
      <c r="B86" s="42">
        <v>2442989</v>
      </c>
      <c r="C86" s="151" t="s">
        <v>593</v>
      </c>
      <c r="E86" s="46">
        <v>14046</v>
      </c>
      <c r="G86" s="46">
        <v>16230</v>
      </c>
      <c r="H86" s="123" t="s">
        <v>462</v>
      </c>
      <c r="I86" s="207" t="s">
        <v>403</v>
      </c>
      <c r="K86" s="159"/>
    </row>
    <row r="87" spans="1:11">
      <c r="A87" s="42" t="s">
        <v>334</v>
      </c>
      <c r="B87" s="42">
        <v>2442584</v>
      </c>
      <c r="C87" s="151" t="s">
        <v>593</v>
      </c>
      <c r="E87" s="46">
        <v>14067</v>
      </c>
      <c r="G87" s="46">
        <v>16223</v>
      </c>
      <c r="H87" s="123" t="s">
        <v>462</v>
      </c>
      <c r="I87" s="123" t="s">
        <v>656</v>
      </c>
      <c r="K87" s="159"/>
    </row>
    <row r="88" spans="1:11">
      <c r="A88" s="42" t="s">
        <v>334</v>
      </c>
      <c r="B88" s="42">
        <v>2393249</v>
      </c>
      <c r="C88" s="151" t="s">
        <v>593</v>
      </c>
      <c r="E88" s="46">
        <v>14127</v>
      </c>
      <c r="G88" s="46">
        <v>15362</v>
      </c>
      <c r="H88" s="123" t="s">
        <v>462</v>
      </c>
      <c r="I88" s="123" t="s">
        <v>787</v>
      </c>
      <c r="J88" s="42" t="s">
        <v>702</v>
      </c>
      <c r="K88" s="159">
        <v>13767</v>
      </c>
    </row>
    <row r="89" spans="1:11">
      <c r="A89" s="42" t="s">
        <v>334</v>
      </c>
      <c r="B89" s="42">
        <v>2422054</v>
      </c>
      <c r="C89" s="151" t="s">
        <v>593</v>
      </c>
      <c r="E89" s="46">
        <v>14222</v>
      </c>
      <c r="G89" s="46">
        <v>15866</v>
      </c>
      <c r="H89" s="123" t="s">
        <v>462</v>
      </c>
      <c r="I89" s="123" t="s">
        <v>605</v>
      </c>
      <c r="K89" s="159"/>
    </row>
    <row r="90" spans="1:11">
      <c r="A90" s="42" t="s">
        <v>334</v>
      </c>
      <c r="B90" s="42">
        <v>2382334</v>
      </c>
      <c r="C90" s="151" t="s">
        <v>593</v>
      </c>
      <c r="E90" s="46">
        <v>14393</v>
      </c>
      <c r="G90" s="46">
        <v>15201</v>
      </c>
      <c r="H90" s="123" t="s">
        <v>462</v>
      </c>
      <c r="I90" s="123" t="s">
        <v>407</v>
      </c>
      <c r="K90" s="159"/>
    </row>
    <row r="91" spans="1:11">
      <c r="A91" s="42" t="s">
        <v>334</v>
      </c>
      <c r="B91" s="42">
        <v>2371427</v>
      </c>
      <c r="C91" s="151" t="s">
        <v>593</v>
      </c>
      <c r="E91" s="46">
        <v>14545</v>
      </c>
      <c r="G91" s="46">
        <v>15047</v>
      </c>
      <c r="H91" s="123" t="s">
        <v>462</v>
      </c>
      <c r="I91" s="123" t="s">
        <v>406</v>
      </c>
      <c r="J91" s="207"/>
      <c r="K91" s="159"/>
    </row>
    <row r="92" spans="1:11">
      <c r="A92" s="42" t="s">
        <v>334</v>
      </c>
      <c r="B92" s="42">
        <v>2372391</v>
      </c>
      <c r="C92" s="151" t="s">
        <v>593</v>
      </c>
      <c r="E92" s="46">
        <v>14545</v>
      </c>
      <c r="G92" s="46">
        <v>15061</v>
      </c>
      <c r="H92" s="123" t="s">
        <v>462</v>
      </c>
      <c r="I92" s="123" t="s">
        <v>468</v>
      </c>
      <c r="K92" s="159"/>
    </row>
    <row r="93" spans="1:11">
      <c r="A93" s="42" t="s">
        <v>334</v>
      </c>
      <c r="B93" s="42">
        <v>2431251</v>
      </c>
      <c r="C93" s="151" t="s">
        <v>593</v>
      </c>
      <c r="E93" s="46">
        <v>14642</v>
      </c>
      <c r="G93" s="46">
        <v>16027</v>
      </c>
      <c r="H93" s="123" t="s">
        <v>462</v>
      </c>
      <c r="I93" s="123" t="s">
        <v>787</v>
      </c>
      <c r="J93" s="42" t="s">
        <v>702</v>
      </c>
      <c r="K93" s="159">
        <v>14279</v>
      </c>
    </row>
    <row r="94" spans="1:11">
      <c r="A94" s="42" t="s">
        <v>334</v>
      </c>
      <c r="B94" s="42">
        <v>2469472</v>
      </c>
      <c r="C94" s="151" t="s">
        <v>593</v>
      </c>
      <c r="E94" s="46">
        <v>14684</v>
      </c>
      <c r="G94" s="46">
        <v>16566</v>
      </c>
      <c r="H94" s="123" t="s">
        <v>462</v>
      </c>
      <c r="I94" s="123" t="s">
        <v>659</v>
      </c>
      <c r="K94" s="159"/>
    </row>
    <row r="95" spans="1:11">
      <c r="A95" s="42" t="s">
        <v>334</v>
      </c>
      <c r="B95" s="42">
        <v>2472616</v>
      </c>
      <c r="C95" s="151" t="s">
        <v>593</v>
      </c>
      <c r="E95" s="46">
        <v>14875</v>
      </c>
      <c r="G95" s="46">
        <v>16594</v>
      </c>
      <c r="H95" s="123" t="s">
        <v>462</v>
      </c>
      <c r="I95" s="123" t="s">
        <v>549</v>
      </c>
      <c r="J95" s="123" t="s">
        <v>550</v>
      </c>
      <c r="K95" s="159"/>
    </row>
    <row r="96" spans="1:11">
      <c r="A96" s="42" t="s">
        <v>334</v>
      </c>
      <c r="B96" s="42">
        <v>2494784</v>
      </c>
      <c r="C96" s="151" t="s">
        <v>593</v>
      </c>
      <c r="E96" s="46">
        <v>14960</v>
      </c>
      <c r="F96" s="207"/>
      <c r="G96" s="46">
        <v>16818</v>
      </c>
      <c r="H96" s="207" t="s">
        <v>462</v>
      </c>
      <c r="I96" s="123" t="s">
        <v>605</v>
      </c>
      <c r="J96" s="207"/>
      <c r="K96" s="159"/>
    </row>
    <row r="97" spans="1:12">
      <c r="A97" s="42" t="s">
        <v>334</v>
      </c>
      <c r="B97" s="42">
        <v>2512053</v>
      </c>
      <c r="C97" s="151" t="s">
        <v>593</v>
      </c>
      <c r="E97" s="46">
        <v>14962</v>
      </c>
      <c r="G97" s="46">
        <v>16972</v>
      </c>
      <c r="H97" s="123" t="s">
        <v>462</v>
      </c>
      <c r="I97" s="123" t="s">
        <v>656</v>
      </c>
      <c r="K97" s="159"/>
    </row>
    <row r="98" spans="1:12">
      <c r="A98" s="42" t="s">
        <v>334</v>
      </c>
      <c r="B98" s="42">
        <v>2518956</v>
      </c>
      <c r="C98" s="151" t="s">
        <v>593</v>
      </c>
      <c r="E98" s="46">
        <v>15167</v>
      </c>
      <c r="G98" s="46">
        <v>17028</v>
      </c>
      <c r="H98" s="123" t="s">
        <v>462</v>
      </c>
      <c r="I98" s="123" t="s">
        <v>403</v>
      </c>
      <c r="K98" s="159"/>
    </row>
    <row r="99" spans="1:12">
      <c r="A99" s="42" t="s">
        <v>334</v>
      </c>
      <c r="B99" s="42">
        <v>2447135</v>
      </c>
      <c r="C99" s="151" t="s">
        <v>593</v>
      </c>
      <c r="E99" s="46">
        <v>15511</v>
      </c>
      <c r="G99" s="46">
        <v>16300</v>
      </c>
      <c r="H99" s="123" t="s">
        <v>462</v>
      </c>
      <c r="I99" s="123" t="s">
        <v>657</v>
      </c>
      <c r="K99" s="159"/>
    </row>
    <row r="100" spans="1:12">
      <c r="A100" s="42" t="s">
        <v>334</v>
      </c>
      <c r="B100" s="42">
        <v>2463304</v>
      </c>
      <c r="C100" s="151" t="s">
        <v>593</v>
      </c>
      <c r="E100" s="46">
        <v>15511</v>
      </c>
      <c r="G100" s="46">
        <v>16496</v>
      </c>
      <c r="H100" s="123" t="s">
        <v>462</v>
      </c>
      <c r="I100" s="123" t="s">
        <v>468</v>
      </c>
      <c r="K100" s="159"/>
    </row>
    <row r="101" spans="1:12">
      <c r="A101" s="42" t="s">
        <v>334</v>
      </c>
      <c r="B101" s="42">
        <v>2606870</v>
      </c>
      <c r="C101" s="151" t="s">
        <v>593</v>
      </c>
      <c r="D101" s="123">
        <v>691152</v>
      </c>
      <c r="E101" s="46">
        <v>15568</v>
      </c>
      <c r="G101" s="46">
        <v>17756</v>
      </c>
      <c r="H101" s="123" t="s">
        <v>462</v>
      </c>
      <c r="I101" s="123" t="s">
        <v>669</v>
      </c>
      <c r="J101" s="123" t="s">
        <v>702</v>
      </c>
      <c r="K101" s="159">
        <v>15211</v>
      </c>
    </row>
    <row r="102" spans="1:12">
      <c r="A102" s="42" t="s">
        <v>334</v>
      </c>
      <c r="B102" s="42">
        <v>2575518</v>
      </c>
      <c r="C102" s="151" t="s">
        <v>593</v>
      </c>
      <c r="D102" s="123">
        <v>713386</v>
      </c>
      <c r="E102" s="46">
        <v>15674</v>
      </c>
      <c r="G102" s="46">
        <v>17490</v>
      </c>
      <c r="H102" s="168"/>
      <c r="I102" s="123" t="s">
        <v>666</v>
      </c>
      <c r="J102" s="123" t="s">
        <v>702</v>
      </c>
      <c r="K102" s="159">
        <v>15560</v>
      </c>
      <c r="L102" s="123" t="s">
        <v>664</v>
      </c>
    </row>
    <row r="103" spans="1:12">
      <c r="A103" s="42" t="s">
        <v>334</v>
      </c>
      <c r="B103" s="42">
        <v>2469304</v>
      </c>
      <c r="C103" s="151" t="s">
        <v>593</v>
      </c>
      <c r="E103" s="46">
        <v>15715</v>
      </c>
      <c r="F103" s="46"/>
      <c r="G103" s="46">
        <v>16559</v>
      </c>
      <c r="H103" s="167"/>
      <c r="I103" s="123" t="s">
        <v>658</v>
      </c>
      <c r="J103" s="42"/>
      <c r="K103" s="159"/>
    </row>
    <row r="104" spans="1:12">
      <c r="A104" s="42" t="s">
        <v>334</v>
      </c>
      <c r="B104" s="42">
        <v>2524635</v>
      </c>
      <c r="C104" s="151" t="s">
        <v>593</v>
      </c>
      <c r="E104" s="46">
        <v>15863</v>
      </c>
      <c r="G104" s="46">
        <v>17077</v>
      </c>
      <c r="H104" s="123" t="s">
        <v>462</v>
      </c>
      <c r="I104" s="123" t="s">
        <v>468</v>
      </c>
      <c r="K104" s="159"/>
    </row>
    <row r="105" spans="1:12">
      <c r="A105" s="42" t="s">
        <v>334</v>
      </c>
      <c r="B105" s="42">
        <v>2581878</v>
      </c>
      <c r="C105" s="151" t="s">
        <v>593</v>
      </c>
      <c r="D105" s="123">
        <v>754985</v>
      </c>
      <c r="E105" s="46">
        <v>15872</v>
      </c>
      <c r="G105" s="46">
        <v>17539</v>
      </c>
      <c r="H105" s="123" t="s">
        <v>462</v>
      </c>
      <c r="I105" s="123" t="s">
        <v>468</v>
      </c>
      <c r="K105" s="159"/>
    </row>
    <row r="106" spans="1:12">
      <c r="A106" s="42" t="s">
        <v>334</v>
      </c>
      <c r="B106" s="42">
        <v>2505916</v>
      </c>
      <c r="C106" s="151" t="s">
        <v>593</v>
      </c>
      <c r="E106" s="46">
        <v>15880</v>
      </c>
      <c r="G106" s="46">
        <v>16923</v>
      </c>
      <c r="H106" s="207" t="s">
        <v>462</v>
      </c>
      <c r="I106" s="123" t="s">
        <v>551</v>
      </c>
      <c r="K106" s="159"/>
    </row>
    <row r="107" spans="1:12">
      <c r="A107" s="42" t="s">
        <v>334</v>
      </c>
      <c r="B107" s="42">
        <v>2535181</v>
      </c>
      <c r="C107" s="151" t="s">
        <v>593</v>
      </c>
      <c r="E107" s="46">
        <v>15907</v>
      </c>
      <c r="G107" s="46">
        <v>17161</v>
      </c>
      <c r="H107" s="123" t="s">
        <v>462</v>
      </c>
      <c r="I107" s="123" t="s">
        <v>553</v>
      </c>
      <c r="K107" s="159"/>
    </row>
    <row r="108" spans="1:12">
      <c r="A108" s="42" t="s">
        <v>334</v>
      </c>
      <c r="B108" s="42">
        <v>2562735</v>
      </c>
      <c r="C108" s="151" t="s">
        <v>593</v>
      </c>
      <c r="D108" s="123">
        <v>786229</v>
      </c>
      <c r="E108" s="46">
        <v>16024</v>
      </c>
      <c r="G108" s="46">
        <v>17378</v>
      </c>
      <c r="H108" s="123" t="s">
        <v>462</v>
      </c>
      <c r="I108" s="123" t="s">
        <v>468</v>
      </c>
      <c r="K108" s="159"/>
    </row>
    <row r="109" spans="1:12">
      <c r="A109" s="42" t="s">
        <v>334</v>
      </c>
      <c r="B109" s="42">
        <v>2628191</v>
      </c>
      <c r="C109" s="151" t="s">
        <v>593</v>
      </c>
      <c r="D109" s="123">
        <v>9302</v>
      </c>
      <c r="E109" s="46">
        <v>16119</v>
      </c>
      <c r="G109" s="46">
        <v>17938</v>
      </c>
      <c r="H109" s="123" t="s">
        <v>462</v>
      </c>
      <c r="I109" s="123" t="s">
        <v>665</v>
      </c>
      <c r="J109" s="123" t="s">
        <v>702</v>
      </c>
      <c r="K109" s="159">
        <v>15642</v>
      </c>
      <c r="L109" s="123" t="s">
        <v>715</v>
      </c>
    </row>
    <row r="110" spans="1:12">
      <c r="A110" s="42" t="s">
        <v>334</v>
      </c>
      <c r="B110" s="42">
        <v>2596915</v>
      </c>
      <c r="C110" s="151" t="s">
        <v>593</v>
      </c>
      <c r="D110" s="123">
        <v>40528</v>
      </c>
      <c r="E110" s="46">
        <v>16276</v>
      </c>
      <c r="G110" s="46">
        <v>17665</v>
      </c>
      <c r="H110" s="123" t="s">
        <v>462</v>
      </c>
      <c r="I110" s="123" t="s">
        <v>468</v>
      </c>
      <c r="K110" s="159"/>
    </row>
    <row r="111" spans="1:12">
      <c r="A111" s="42" t="s">
        <v>334</v>
      </c>
      <c r="B111" s="42">
        <v>2570822</v>
      </c>
      <c r="C111" s="151" t="s">
        <v>593</v>
      </c>
      <c r="D111" s="123">
        <v>43550</v>
      </c>
      <c r="E111" s="46">
        <v>16293</v>
      </c>
      <c r="G111" s="46">
        <v>17448</v>
      </c>
      <c r="H111" s="123" t="s">
        <v>462</v>
      </c>
      <c r="I111" s="123" t="s">
        <v>759</v>
      </c>
      <c r="J111" s="123" t="s">
        <v>702</v>
      </c>
      <c r="K111" s="159">
        <v>15931</v>
      </c>
    </row>
    <row r="112" spans="1:12">
      <c r="A112" s="42" t="s">
        <v>334</v>
      </c>
      <c r="B112" s="42">
        <v>2676922</v>
      </c>
      <c r="C112" s="151" t="s">
        <v>593</v>
      </c>
      <c r="D112" s="123">
        <v>49305</v>
      </c>
      <c r="E112" s="46">
        <v>16328</v>
      </c>
      <c r="G112" s="46">
        <v>18379</v>
      </c>
      <c r="H112" s="123" t="s">
        <v>462</v>
      </c>
      <c r="I112" s="123" t="s">
        <v>717</v>
      </c>
      <c r="K112" s="159"/>
    </row>
    <row r="113" spans="1:11">
      <c r="A113" s="42" t="s">
        <v>334</v>
      </c>
      <c r="B113" s="42">
        <v>2596822</v>
      </c>
      <c r="C113" s="151" t="s">
        <v>593</v>
      </c>
      <c r="D113" s="123">
        <v>79389</v>
      </c>
      <c r="E113" s="46">
        <v>16498</v>
      </c>
      <c r="G113" s="46">
        <v>17665</v>
      </c>
      <c r="H113" s="123" t="s">
        <v>462</v>
      </c>
      <c r="I113" s="123" t="s">
        <v>468</v>
      </c>
      <c r="K113" s="159"/>
    </row>
    <row r="114" spans="1:11">
      <c r="A114" s="42" t="s">
        <v>334</v>
      </c>
      <c r="B114" s="42">
        <v>2677390</v>
      </c>
      <c r="C114" s="151" t="s">
        <v>593</v>
      </c>
      <c r="D114" s="123">
        <v>79498</v>
      </c>
      <c r="E114" s="46">
        <v>16498</v>
      </c>
      <c r="G114" s="46">
        <v>18386</v>
      </c>
      <c r="H114" s="123" t="s">
        <v>462</v>
      </c>
      <c r="I114" s="123" t="s">
        <v>718</v>
      </c>
      <c r="K114" s="159"/>
    </row>
    <row r="115" spans="1:11">
      <c r="A115" s="42" t="s">
        <v>334</v>
      </c>
      <c r="B115" s="42">
        <v>2562699</v>
      </c>
      <c r="C115" s="151" t="s">
        <v>593</v>
      </c>
      <c r="D115" s="123">
        <v>99602</v>
      </c>
      <c r="E115" s="46">
        <v>16604</v>
      </c>
      <c r="G115" s="46">
        <v>17378</v>
      </c>
      <c r="H115" s="123" t="s">
        <v>462</v>
      </c>
      <c r="I115" s="123" t="s">
        <v>733</v>
      </c>
      <c r="K115" s="159"/>
    </row>
    <row r="116" spans="1:11">
      <c r="A116" s="42" t="s">
        <v>334</v>
      </c>
      <c r="B116" s="42">
        <v>2562730</v>
      </c>
      <c r="C116" s="151" t="s">
        <v>593</v>
      </c>
      <c r="D116" s="123">
        <v>99634</v>
      </c>
      <c r="E116" s="46">
        <v>16604</v>
      </c>
      <c r="G116" s="46">
        <v>17378</v>
      </c>
      <c r="H116" s="123" t="s">
        <v>462</v>
      </c>
      <c r="I116" s="123" t="s">
        <v>734</v>
      </c>
      <c r="K116" s="159"/>
    </row>
    <row r="117" spans="1:11">
      <c r="A117" s="42" t="s">
        <v>334</v>
      </c>
      <c r="B117" s="42">
        <v>2681892</v>
      </c>
      <c r="C117" s="151" t="s">
        <v>593</v>
      </c>
      <c r="D117" s="123">
        <v>104375</v>
      </c>
      <c r="E117" s="46">
        <v>16629</v>
      </c>
      <c r="G117" s="46">
        <v>18435</v>
      </c>
      <c r="H117" s="123" t="s">
        <v>462</v>
      </c>
      <c r="I117" s="123" t="s">
        <v>735</v>
      </c>
      <c r="J117" s="123" t="s">
        <v>702</v>
      </c>
      <c r="K117" s="159">
        <v>16267</v>
      </c>
    </row>
    <row r="118" spans="1:11">
      <c r="A118" s="42" t="s">
        <v>334</v>
      </c>
      <c r="B118" s="42">
        <v>2689829</v>
      </c>
      <c r="C118" s="151" t="s">
        <v>593</v>
      </c>
      <c r="D118" s="123">
        <v>108059</v>
      </c>
      <c r="E118" s="46">
        <v>16649</v>
      </c>
      <c r="G118" s="46">
        <v>18526</v>
      </c>
      <c r="H118" s="123" t="s">
        <v>462</v>
      </c>
      <c r="I118" s="123" t="s">
        <v>656</v>
      </c>
      <c r="K118" s="159"/>
    </row>
    <row r="119" spans="1:11">
      <c r="A119" s="42" t="s">
        <v>334</v>
      </c>
      <c r="B119" s="42">
        <v>2600719</v>
      </c>
      <c r="C119" s="151" t="s">
        <v>593</v>
      </c>
      <c r="D119" s="123">
        <v>131497</v>
      </c>
      <c r="E119" s="46">
        <v>16776</v>
      </c>
      <c r="G119" s="46">
        <v>17703</v>
      </c>
      <c r="H119" s="123" t="s">
        <v>462</v>
      </c>
      <c r="I119" s="123" t="s">
        <v>736</v>
      </c>
      <c r="K119" s="159"/>
    </row>
    <row r="120" spans="1:11">
      <c r="A120" s="42" t="s">
        <v>334</v>
      </c>
      <c r="B120" s="42">
        <v>2643771</v>
      </c>
      <c r="C120" s="151" t="s">
        <v>593</v>
      </c>
      <c r="D120" s="123">
        <v>145069</v>
      </c>
      <c r="E120" s="46">
        <v>16850</v>
      </c>
      <c r="G120" s="46">
        <v>18078</v>
      </c>
      <c r="H120" s="123" t="s">
        <v>462</v>
      </c>
      <c r="I120" s="123" t="s">
        <v>468</v>
      </c>
      <c r="K120" s="159"/>
    </row>
    <row r="121" spans="1:11">
      <c r="A121" s="42" t="s">
        <v>334</v>
      </c>
      <c r="B121" s="42">
        <v>2648439</v>
      </c>
      <c r="C121" s="151" t="s">
        <v>593</v>
      </c>
      <c r="D121" s="123">
        <v>193457</v>
      </c>
      <c r="E121" s="46">
        <v>17106</v>
      </c>
      <c r="G121" s="46">
        <v>18120</v>
      </c>
      <c r="H121" s="123" t="s">
        <v>462</v>
      </c>
      <c r="I121" s="123" t="s">
        <v>734</v>
      </c>
      <c r="K121" s="159"/>
    </row>
    <row r="122" spans="1:11">
      <c r="A122" s="42" t="s">
        <v>334</v>
      </c>
      <c r="B122" s="42">
        <v>2628194</v>
      </c>
      <c r="C122" s="151" t="s">
        <v>593</v>
      </c>
      <c r="D122" s="123">
        <v>203165</v>
      </c>
      <c r="E122" s="46">
        <v>17163</v>
      </c>
      <c r="G122" s="46">
        <v>17938</v>
      </c>
      <c r="H122" s="123" t="s">
        <v>462</v>
      </c>
      <c r="I122" s="123" t="s">
        <v>744</v>
      </c>
      <c r="J122" s="123" t="s">
        <v>702</v>
      </c>
      <c r="K122" s="159">
        <v>16800</v>
      </c>
    </row>
    <row r="124" spans="1:11">
      <c r="A124" s="42" t="s">
        <v>746</v>
      </c>
    </row>
    <row r="125" spans="1:11">
      <c r="A125" s="42" t="s">
        <v>334</v>
      </c>
      <c r="B125" s="42">
        <v>2191060</v>
      </c>
      <c r="C125" s="151" t="s">
        <v>594</v>
      </c>
      <c r="D125" s="123" t="s">
        <v>846</v>
      </c>
      <c r="E125" s="46">
        <v>11389</v>
      </c>
      <c r="F125" s="46">
        <v>12866</v>
      </c>
      <c r="G125" s="46">
        <v>13199</v>
      </c>
      <c r="H125" s="123" t="s">
        <v>462</v>
      </c>
      <c r="I125" s="123" t="s">
        <v>844</v>
      </c>
      <c r="J125" s="123" t="s">
        <v>845</v>
      </c>
      <c r="K125" s="159">
        <v>11060</v>
      </c>
    </row>
    <row r="126" spans="1:11">
      <c r="A126" s="42" t="s">
        <v>334</v>
      </c>
      <c r="B126" s="42">
        <v>2206007</v>
      </c>
      <c r="C126" s="151" t="s">
        <v>594</v>
      </c>
      <c r="E126" s="46">
        <v>11389</v>
      </c>
      <c r="G126" s="46">
        <v>13325</v>
      </c>
      <c r="H126" s="123" t="s">
        <v>462</v>
      </c>
      <c r="I126" s="123" t="s">
        <v>844</v>
      </c>
      <c r="J126" s="123" t="s">
        <v>845</v>
      </c>
      <c r="K126" s="200">
        <v>11060</v>
      </c>
    </row>
    <row r="127" spans="1:11">
      <c r="A127" s="42" t="s">
        <v>334</v>
      </c>
      <c r="B127" s="42">
        <v>2155318</v>
      </c>
      <c r="C127" s="151" t="s">
        <v>594</v>
      </c>
      <c r="E127" s="46">
        <v>11893</v>
      </c>
      <c r="G127" s="46">
        <v>12891</v>
      </c>
      <c r="H127" s="123" t="s">
        <v>462</v>
      </c>
      <c r="I127" s="123" t="s">
        <v>844</v>
      </c>
      <c r="J127" s="123" t="s">
        <v>845</v>
      </c>
      <c r="K127" s="159">
        <v>11530</v>
      </c>
    </row>
    <row r="128" spans="1:11">
      <c r="A128" s="42" t="s">
        <v>334</v>
      </c>
      <c r="B128" s="42">
        <v>2164156</v>
      </c>
      <c r="C128" s="151" t="s">
        <v>594</v>
      </c>
      <c r="E128" s="46">
        <v>12177</v>
      </c>
      <c r="F128" s="207"/>
      <c r="G128" s="46">
        <v>12961</v>
      </c>
      <c r="H128" s="123" t="s">
        <v>462</v>
      </c>
      <c r="I128" s="123" t="s">
        <v>844</v>
      </c>
      <c r="J128" s="123" t="s">
        <v>845</v>
      </c>
      <c r="K128" s="181">
        <v>11815</v>
      </c>
    </row>
    <row r="129" spans="1:12">
      <c r="A129" s="42" t="s">
        <v>334</v>
      </c>
      <c r="B129" s="42">
        <v>2226134</v>
      </c>
      <c r="C129" s="151" t="s">
        <v>594</v>
      </c>
      <c r="E129" s="46">
        <v>12298</v>
      </c>
      <c r="G129" s="46">
        <v>13507</v>
      </c>
      <c r="H129" s="123" t="s">
        <v>462</v>
      </c>
      <c r="I129" s="123" t="s">
        <v>741</v>
      </c>
      <c r="J129" s="123" t="s">
        <v>845</v>
      </c>
      <c r="K129" s="159">
        <v>11939</v>
      </c>
    </row>
    <row r="130" spans="1:12">
      <c r="A130" s="42" t="s">
        <v>334</v>
      </c>
      <c r="B130" s="42">
        <v>2378307</v>
      </c>
      <c r="C130" s="151" t="s">
        <v>594</v>
      </c>
      <c r="E130" s="46">
        <v>12513</v>
      </c>
      <c r="G130" s="46">
        <v>15138</v>
      </c>
      <c r="H130" s="123" t="s">
        <v>462</v>
      </c>
      <c r="I130" s="123" t="s">
        <v>844</v>
      </c>
      <c r="J130" s="123" t="s">
        <v>845</v>
      </c>
      <c r="K130" s="159">
        <v>12163</v>
      </c>
    </row>
    <row r="131" spans="1:12">
      <c r="A131" s="42" t="s">
        <v>334</v>
      </c>
      <c r="B131" s="42">
        <v>2191059</v>
      </c>
      <c r="C131" s="151" t="s">
        <v>594</v>
      </c>
      <c r="E131" s="46">
        <v>12684</v>
      </c>
      <c r="G131" s="46">
        <v>13199</v>
      </c>
      <c r="H131" s="123" t="s">
        <v>462</v>
      </c>
      <c r="I131" s="123" t="s">
        <v>844</v>
      </c>
      <c r="J131" s="123" t="s">
        <v>845</v>
      </c>
      <c r="K131" s="159">
        <v>11060</v>
      </c>
    </row>
    <row r="132" spans="1:12">
      <c r="A132" s="42" t="s">
        <v>334</v>
      </c>
      <c r="B132" s="42">
        <v>2267831</v>
      </c>
      <c r="C132" s="151" t="s">
        <v>594</v>
      </c>
      <c r="E132" s="46">
        <v>12776</v>
      </c>
      <c r="G132" s="46">
        <v>13878</v>
      </c>
      <c r="H132" s="123" t="s">
        <v>462</v>
      </c>
      <c r="I132" s="123" t="s">
        <v>742</v>
      </c>
      <c r="J132" s="123" t="s">
        <v>845</v>
      </c>
      <c r="K132" s="159">
        <v>12444</v>
      </c>
    </row>
    <row r="133" spans="1:12">
      <c r="A133" s="42" t="s">
        <v>334</v>
      </c>
      <c r="B133" s="42">
        <v>2298707</v>
      </c>
      <c r="C133" s="151" t="s">
        <v>594</v>
      </c>
      <c r="E133" s="46">
        <v>13311</v>
      </c>
      <c r="G133" s="46">
        <v>14165</v>
      </c>
      <c r="H133" s="123" t="s">
        <v>462</v>
      </c>
      <c r="I133" s="123" t="s">
        <v>844</v>
      </c>
      <c r="J133" s="123" t="s">
        <v>845</v>
      </c>
      <c r="K133" s="159">
        <v>10820</v>
      </c>
    </row>
    <row r="134" spans="1:12">
      <c r="A134" s="42" t="s">
        <v>334</v>
      </c>
      <c r="B134" s="42">
        <v>2323990</v>
      </c>
      <c r="C134" s="151" t="s">
        <v>594</v>
      </c>
      <c r="E134" s="46">
        <v>13647</v>
      </c>
      <c r="G134" s="46">
        <v>14437</v>
      </c>
      <c r="H134" s="123" t="s">
        <v>462</v>
      </c>
      <c r="I134" s="123" t="s">
        <v>682</v>
      </c>
      <c r="J134" s="123" t="s">
        <v>845</v>
      </c>
      <c r="K134" s="159">
        <v>13360</v>
      </c>
    </row>
    <row r="135" spans="1:12">
      <c r="E135" s="46"/>
      <c r="G135" s="46"/>
      <c r="K135" s="159"/>
    </row>
    <row r="136" spans="1:12" s="42" customFormat="1">
      <c r="A136" s="42" t="s">
        <v>334</v>
      </c>
      <c r="B136" s="42" t="s">
        <v>668</v>
      </c>
      <c r="D136" s="42">
        <v>762396</v>
      </c>
      <c r="E136" s="112"/>
      <c r="G136" s="112"/>
      <c r="K136" s="164"/>
    </row>
    <row r="137" spans="1:12" s="42" customFormat="1">
      <c r="A137" s="42" t="s">
        <v>334</v>
      </c>
      <c r="B137" s="42" t="s">
        <v>668</v>
      </c>
      <c r="D137" s="42">
        <v>93671</v>
      </c>
      <c r="K137" s="164"/>
    </row>
    <row r="138" spans="1:12" s="42" customFormat="1">
      <c r="A138" s="42" t="s">
        <v>334</v>
      </c>
      <c r="B138" s="42" t="s">
        <v>668</v>
      </c>
      <c r="D138" s="42">
        <v>195442</v>
      </c>
      <c r="K138" s="164"/>
    </row>
    <row r="139" spans="1:12" s="42" customFormat="1">
      <c r="A139" s="42" t="s">
        <v>334</v>
      </c>
      <c r="B139" s="42" t="s">
        <v>668</v>
      </c>
      <c r="D139" s="42">
        <v>214220</v>
      </c>
      <c r="K139" s="164"/>
    </row>
    <row r="140" spans="1:12" s="42" customFormat="1">
      <c r="A140" s="42" t="s">
        <v>334</v>
      </c>
      <c r="B140" s="42" t="s">
        <v>668</v>
      </c>
      <c r="D140" s="42" t="s">
        <v>1332</v>
      </c>
      <c r="K140" s="164"/>
      <c r="L140" s="42" t="s">
        <v>745</v>
      </c>
    </row>
    <row r="141" spans="1:12" s="42" customFormat="1">
      <c r="A141" s="42" t="s">
        <v>334</v>
      </c>
      <c r="B141" s="42" t="s">
        <v>668</v>
      </c>
      <c r="D141" s="42" t="s">
        <v>1332</v>
      </c>
      <c r="K141" s="164"/>
      <c r="L141" s="42" t="s">
        <v>745</v>
      </c>
    </row>
    <row r="142" spans="1:12">
      <c r="A142" s="42" t="s">
        <v>334</v>
      </c>
      <c r="B142" s="42" t="s">
        <v>335</v>
      </c>
      <c r="C142" s="42" t="s">
        <v>552</v>
      </c>
      <c r="E142" s="46">
        <v>16619</v>
      </c>
      <c r="G142" s="46">
        <v>16986</v>
      </c>
      <c r="H142" s="123" t="s">
        <v>462</v>
      </c>
      <c r="I142" s="123" t="s">
        <v>468</v>
      </c>
      <c r="K142" s="159"/>
    </row>
    <row r="144" spans="1:12">
      <c r="A144" s="126" t="s">
        <v>1637</v>
      </c>
    </row>
    <row r="145" spans="1:3">
      <c r="A145" s="127" t="s">
        <v>2406</v>
      </c>
    </row>
    <row r="147" spans="1:3">
      <c r="A147" s="42" t="s">
        <v>1023</v>
      </c>
    </row>
    <row r="148" spans="1:3">
      <c r="A148" s="42" t="s">
        <v>955</v>
      </c>
    </row>
    <row r="149" spans="1:3">
      <c r="A149" s="42" t="s">
        <v>1103</v>
      </c>
    </row>
    <row r="150" spans="1:3">
      <c r="A150" s="42" t="s">
        <v>1102</v>
      </c>
    </row>
    <row r="151" spans="1:3">
      <c r="A151" s="42" t="s">
        <v>3938</v>
      </c>
    </row>
    <row r="152" spans="1:3">
      <c r="A152" s="42" t="s">
        <v>1369</v>
      </c>
    </row>
    <row r="153" spans="1:3">
      <c r="A153" s="42" t="s">
        <v>1026</v>
      </c>
    </row>
    <row r="154" spans="1:3">
      <c r="A154" s="42" t="s">
        <v>1027</v>
      </c>
    </row>
    <row r="155" spans="1:3">
      <c r="A155" s="42" t="s">
        <v>1101</v>
      </c>
    </row>
    <row r="156" spans="1:3">
      <c r="A156" s="42" t="s">
        <v>1143</v>
      </c>
    </row>
    <row r="157" spans="1:3">
      <c r="A157" s="42" t="s">
        <v>78</v>
      </c>
    </row>
    <row r="158" spans="1:3" s="203" customFormat="1">
      <c r="A158" s="42" t="s">
        <v>183</v>
      </c>
      <c r="B158" s="42"/>
      <c r="C158" s="42"/>
    </row>
    <row r="160" spans="1:3">
      <c r="A160" s="126" t="s">
        <v>2410</v>
      </c>
    </row>
    <row r="161" spans="1:2">
      <c r="A161" s="42" t="s">
        <v>2411</v>
      </c>
    </row>
    <row r="163" spans="1:2">
      <c r="A163" s="126" t="s">
        <v>1112</v>
      </c>
    </row>
    <row r="164" spans="1:2">
      <c r="A164" s="42" t="s">
        <v>30</v>
      </c>
      <c r="B164" s="42">
        <v>1930</v>
      </c>
    </row>
    <row r="165" spans="1:2">
      <c r="A165" s="42" t="s">
        <v>44</v>
      </c>
      <c r="B165" s="42">
        <v>1930</v>
      </c>
    </row>
    <row r="166" spans="1:2">
      <c r="A166" s="42" t="s">
        <v>43</v>
      </c>
      <c r="B166" s="42">
        <v>1930</v>
      </c>
    </row>
    <row r="167" spans="1:2">
      <c r="A167" s="42" t="s">
        <v>23</v>
      </c>
      <c r="B167" s="42">
        <v>1932</v>
      </c>
    </row>
    <row r="169" spans="1:2">
      <c r="A169" s="126" t="s">
        <v>176</v>
      </c>
    </row>
    <row r="170" spans="1:2">
      <c r="A170" s="42" t="s">
        <v>2741</v>
      </c>
    </row>
  </sheetData>
  <sortState ref="A125:L134">
    <sortCondition ref="E125:E134"/>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N220"/>
  <sheetViews>
    <sheetView topLeftCell="A124" workbookViewId="0">
      <selection activeCell="A202" sqref="A202"/>
    </sheetView>
  </sheetViews>
  <sheetFormatPr baseColWidth="10" defaultRowHeight="13"/>
  <cols>
    <col min="1" max="2" width="10.7109375" style="127"/>
    <col min="3" max="3" width="8.7109375" style="127" customWidth="1"/>
    <col min="4" max="4" width="10.7109375" style="127"/>
    <col min="5" max="7" width="10.7109375" style="83"/>
    <col min="8" max="8" width="39.140625" style="83" customWidth="1"/>
    <col min="9" max="16384" width="10.7109375" style="83"/>
  </cols>
  <sheetData>
    <row r="1" spans="1:14" s="123" customFormat="1" ht="26">
      <c r="A1" s="100" t="s">
        <v>1869</v>
      </c>
      <c r="B1" s="100" t="s">
        <v>2173</v>
      </c>
      <c r="C1" s="237" t="s">
        <v>591</v>
      </c>
      <c r="D1" s="100" t="s">
        <v>820</v>
      </c>
      <c r="E1" s="169" t="s">
        <v>2174</v>
      </c>
      <c r="F1" s="82" t="s">
        <v>807</v>
      </c>
      <c r="G1" s="82" t="s">
        <v>2022</v>
      </c>
      <c r="H1" s="82" t="s">
        <v>590</v>
      </c>
      <c r="I1" s="82" t="s">
        <v>809</v>
      </c>
      <c r="J1" s="82" t="s">
        <v>459</v>
      </c>
      <c r="K1" s="82" t="s">
        <v>460</v>
      </c>
      <c r="L1" s="82" t="s">
        <v>757</v>
      </c>
      <c r="M1" s="82"/>
      <c r="N1" s="82"/>
    </row>
    <row r="2" spans="1:14">
      <c r="A2" s="212" t="s">
        <v>690</v>
      </c>
      <c r="B2" s="100"/>
      <c r="C2" s="100"/>
      <c r="D2" s="100"/>
      <c r="E2" s="82"/>
    </row>
    <row r="3" spans="1:14" s="123" customFormat="1">
      <c r="A3" s="238" t="s">
        <v>686</v>
      </c>
      <c r="B3" s="238">
        <v>1807340</v>
      </c>
      <c r="C3" s="221" t="s">
        <v>691</v>
      </c>
      <c r="D3" s="177"/>
      <c r="E3" s="171">
        <v>8828</v>
      </c>
      <c r="F3" s="171"/>
      <c r="G3" s="171">
        <v>10007</v>
      </c>
      <c r="H3" s="170" t="s">
        <v>688</v>
      </c>
      <c r="I3" s="170" t="s">
        <v>822</v>
      </c>
    </row>
    <row r="4" spans="1:14" s="123" customFormat="1">
      <c r="A4" s="238" t="s">
        <v>686</v>
      </c>
      <c r="B4" s="238">
        <v>1805874</v>
      </c>
      <c r="C4" s="221" t="s">
        <v>691</v>
      </c>
      <c r="D4" s="177"/>
      <c r="E4" s="171">
        <v>9283</v>
      </c>
      <c r="F4" s="171"/>
      <c r="G4" s="171">
        <v>10000</v>
      </c>
      <c r="H4" s="170" t="s">
        <v>688</v>
      </c>
      <c r="I4" s="170" t="s">
        <v>789</v>
      </c>
    </row>
    <row r="5" spans="1:14" s="123" customFormat="1">
      <c r="A5" s="220" t="s">
        <v>686</v>
      </c>
      <c r="B5" s="238">
        <v>1891369</v>
      </c>
      <c r="C5" s="221" t="s">
        <v>691</v>
      </c>
      <c r="D5" s="177"/>
      <c r="E5" s="171">
        <v>9366</v>
      </c>
      <c r="F5" s="171"/>
      <c r="G5" s="171">
        <v>10581</v>
      </c>
      <c r="H5" s="170" t="s">
        <v>688</v>
      </c>
      <c r="I5" s="170" t="s">
        <v>826</v>
      </c>
    </row>
    <row r="6" spans="1:14" s="123" customFormat="1">
      <c r="A6" s="238" t="s">
        <v>686</v>
      </c>
      <c r="B6" s="238">
        <v>1810367</v>
      </c>
      <c r="C6" s="221" t="s">
        <v>691</v>
      </c>
      <c r="D6" s="177"/>
      <c r="E6" s="171">
        <v>9520</v>
      </c>
      <c r="F6" s="171"/>
      <c r="G6" s="171">
        <v>10028</v>
      </c>
      <c r="H6" s="170" t="s">
        <v>688</v>
      </c>
      <c r="I6" s="170" t="s">
        <v>823</v>
      </c>
    </row>
    <row r="7" spans="1:14" s="123" customFormat="1">
      <c r="A7" s="220" t="s">
        <v>686</v>
      </c>
      <c r="B7" s="238">
        <v>1818721</v>
      </c>
      <c r="C7" s="221" t="s">
        <v>691</v>
      </c>
      <c r="D7" s="177"/>
      <c r="E7" s="171">
        <v>9520</v>
      </c>
      <c r="F7" s="171"/>
      <c r="G7" s="171">
        <v>10084</v>
      </c>
      <c r="H7" s="170" t="s">
        <v>688</v>
      </c>
      <c r="I7" s="170" t="s">
        <v>783</v>
      </c>
    </row>
    <row r="8" spans="1:14" s="123" customFormat="1">
      <c r="A8" s="220" t="s">
        <v>686</v>
      </c>
      <c r="B8" s="238">
        <v>1887522</v>
      </c>
      <c r="C8" s="221" t="s">
        <v>691</v>
      </c>
      <c r="D8" s="177"/>
      <c r="E8" s="171">
        <v>9552</v>
      </c>
      <c r="F8" s="171"/>
      <c r="G8" s="171">
        <v>10546</v>
      </c>
      <c r="H8" s="170" t="s">
        <v>688</v>
      </c>
      <c r="I8" s="170" t="s">
        <v>797</v>
      </c>
    </row>
    <row r="9" spans="1:14" s="123" customFormat="1">
      <c r="A9" s="238" t="s">
        <v>686</v>
      </c>
      <c r="B9" s="238">
        <v>1890305</v>
      </c>
      <c r="C9" s="221" t="s">
        <v>691</v>
      </c>
      <c r="D9" s="177"/>
      <c r="E9" s="171">
        <v>9577</v>
      </c>
      <c r="F9" s="171"/>
      <c r="G9" s="171">
        <v>10567</v>
      </c>
      <c r="H9" s="170" t="s">
        <v>688</v>
      </c>
      <c r="I9" s="170" t="s">
        <v>797</v>
      </c>
    </row>
    <row r="10" spans="1:14" s="123" customFormat="1">
      <c r="A10" s="238" t="s">
        <v>686</v>
      </c>
      <c r="B10" s="238">
        <v>1890306</v>
      </c>
      <c r="C10" s="221" t="s">
        <v>691</v>
      </c>
      <c r="D10" s="177"/>
      <c r="E10" s="171">
        <v>9577</v>
      </c>
      <c r="F10" s="171"/>
      <c r="G10" s="171">
        <v>10567</v>
      </c>
      <c r="H10" s="170" t="s">
        <v>688</v>
      </c>
      <c r="I10" s="170" t="s">
        <v>797</v>
      </c>
    </row>
    <row r="11" spans="1:14" s="123" customFormat="1">
      <c r="A11" s="220" t="s">
        <v>686</v>
      </c>
      <c r="B11" s="238">
        <v>1818693</v>
      </c>
      <c r="C11" s="221" t="s">
        <v>691</v>
      </c>
      <c r="D11" s="177"/>
      <c r="E11" s="171">
        <v>9624</v>
      </c>
      <c r="F11" s="171"/>
      <c r="G11" s="171">
        <v>10084</v>
      </c>
      <c r="H11" s="170" t="s">
        <v>688</v>
      </c>
      <c r="I11" s="170" t="s">
        <v>782</v>
      </c>
    </row>
    <row r="12" spans="1:14" s="123" customFormat="1">
      <c r="A12" s="220" t="s">
        <v>686</v>
      </c>
      <c r="B12" s="238">
        <v>1887320</v>
      </c>
      <c r="C12" s="221" t="s">
        <v>691</v>
      </c>
      <c r="D12" s="177"/>
      <c r="E12" s="171">
        <v>9724</v>
      </c>
      <c r="F12" s="171"/>
      <c r="G12" s="171">
        <v>10539</v>
      </c>
      <c r="H12" s="170" t="s">
        <v>688</v>
      </c>
      <c r="I12" s="170" t="s">
        <v>823</v>
      </c>
    </row>
    <row r="13" spans="1:14" s="123" customFormat="1">
      <c r="A13" s="238" t="s">
        <v>686</v>
      </c>
      <c r="B13" s="238">
        <v>1890518</v>
      </c>
      <c r="C13" s="221" t="s">
        <v>691</v>
      </c>
      <c r="D13" s="177"/>
      <c r="E13" s="171">
        <v>9724</v>
      </c>
      <c r="F13" s="171"/>
      <c r="G13" s="171">
        <v>10574</v>
      </c>
      <c r="H13" s="170" t="s">
        <v>688</v>
      </c>
      <c r="I13" s="170" t="s">
        <v>783</v>
      </c>
    </row>
    <row r="14" spans="1:14" s="123" customFormat="1">
      <c r="A14" s="220" t="s">
        <v>686</v>
      </c>
      <c r="B14" s="238">
        <v>1837231</v>
      </c>
      <c r="C14" s="221" t="s">
        <v>691</v>
      </c>
      <c r="D14" s="177"/>
      <c r="E14" s="171">
        <v>9754</v>
      </c>
      <c r="F14" s="171"/>
      <c r="G14" s="171">
        <v>10217</v>
      </c>
      <c r="H14" s="170" t="s">
        <v>688</v>
      </c>
      <c r="I14" s="170" t="s">
        <v>793</v>
      </c>
    </row>
    <row r="15" spans="1:14" s="123" customFormat="1">
      <c r="A15" s="238" t="s">
        <v>686</v>
      </c>
      <c r="B15" s="238">
        <v>2020302</v>
      </c>
      <c r="C15" s="221" t="s">
        <v>691</v>
      </c>
      <c r="D15" s="177"/>
      <c r="E15" s="171">
        <v>9758</v>
      </c>
      <c r="F15" s="171"/>
      <c r="G15" s="171">
        <v>11638</v>
      </c>
      <c r="H15" s="178" t="s">
        <v>737</v>
      </c>
      <c r="I15" s="170" t="s">
        <v>738</v>
      </c>
      <c r="L15" s="42"/>
    </row>
    <row r="16" spans="1:14" s="123" customFormat="1">
      <c r="A16" s="220" t="s">
        <v>686</v>
      </c>
      <c r="B16" s="238">
        <v>1913586</v>
      </c>
      <c r="C16" s="221" t="s">
        <v>691</v>
      </c>
      <c r="D16" s="177"/>
      <c r="E16" s="180">
        <v>9762</v>
      </c>
      <c r="F16" s="180"/>
      <c r="G16" s="171">
        <v>10756</v>
      </c>
      <c r="H16" s="170" t="s">
        <v>827</v>
      </c>
      <c r="I16" s="170" t="s">
        <v>639</v>
      </c>
    </row>
    <row r="17" spans="1:9" s="123" customFormat="1">
      <c r="A17" s="220" t="s">
        <v>686</v>
      </c>
      <c r="B17" s="238">
        <v>1856774</v>
      </c>
      <c r="C17" s="221" t="s">
        <v>691</v>
      </c>
      <c r="D17" s="177"/>
      <c r="E17" s="171">
        <v>9815</v>
      </c>
      <c r="F17" s="171"/>
      <c r="G17" s="171">
        <v>10350</v>
      </c>
      <c r="H17" s="170" t="s">
        <v>688</v>
      </c>
      <c r="I17" s="170" t="s">
        <v>794</v>
      </c>
    </row>
    <row r="18" spans="1:9" s="123" customFormat="1">
      <c r="A18" s="220" t="s">
        <v>686</v>
      </c>
      <c r="B18" s="238">
        <v>1858675</v>
      </c>
      <c r="C18" s="221" t="s">
        <v>691</v>
      </c>
      <c r="D18" s="177"/>
      <c r="E18" s="171">
        <v>9832</v>
      </c>
      <c r="F18" s="171"/>
      <c r="G18" s="171">
        <v>10364</v>
      </c>
      <c r="H18" s="170" t="s">
        <v>688</v>
      </c>
      <c r="I18" s="170" t="s">
        <v>795</v>
      </c>
    </row>
    <row r="19" spans="1:9" s="123" customFormat="1">
      <c r="A19" s="220" t="s">
        <v>686</v>
      </c>
      <c r="B19" s="238">
        <v>1892802</v>
      </c>
      <c r="C19" s="221" t="s">
        <v>691</v>
      </c>
      <c r="D19" s="177"/>
      <c r="E19" s="171">
        <v>9834</v>
      </c>
      <c r="F19" s="171"/>
      <c r="G19" s="171">
        <v>10595</v>
      </c>
      <c r="H19" s="170" t="s">
        <v>827</v>
      </c>
      <c r="I19" s="170" t="s">
        <v>632</v>
      </c>
    </row>
    <row r="20" spans="1:9" s="123" customFormat="1">
      <c r="A20" s="220" t="s">
        <v>686</v>
      </c>
      <c r="B20" s="238">
        <v>1893840</v>
      </c>
      <c r="C20" s="221" t="s">
        <v>691</v>
      </c>
      <c r="D20" s="177"/>
      <c r="E20" s="171">
        <v>9918</v>
      </c>
      <c r="F20" s="171"/>
      <c r="G20" s="171">
        <v>10602</v>
      </c>
      <c r="H20" s="170" t="s">
        <v>698</v>
      </c>
      <c r="I20" s="170" t="s">
        <v>699</v>
      </c>
    </row>
    <row r="21" spans="1:9" s="123" customFormat="1">
      <c r="A21" s="220" t="s">
        <v>686</v>
      </c>
      <c r="B21" s="238">
        <v>1902874</v>
      </c>
      <c r="C21" s="221" t="s">
        <v>691</v>
      </c>
      <c r="D21" s="177"/>
      <c r="E21" s="171">
        <v>9918</v>
      </c>
      <c r="F21" s="171"/>
      <c r="G21" s="171">
        <v>10679</v>
      </c>
      <c r="H21" s="170" t="s">
        <v>698</v>
      </c>
      <c r="I21" s="170" t="s">
        <v>699</v>
      </c>
    </row>
    <row r="22" spans="1:9" s="123" customFormat="1">
      <c r="A22" s="220" t="s">
        <v>686</v>
      </c>
      <c r="B22" s="238">
        <v>1902655</v>
      </c>
      <c r="C22" s="221" t="s">
        <v>691</v>
      </c>
      <c r="D22" s="177"/>
      <c r="E22" s="180">
        <v>10130</v>
      </c>
      <c r="F22" s="171"/>
      <c r="G22" s="171">
        <v>10672</v>
      </c>
      <c r="H22" s="170" t="s">
        <v>698</v>
      </c>
      <c r="I22" s="170" t="s">
        <v>699</v>
      </c>
    </row>
    <row r="23" spans="1:9" s="123" customFormat="1">
      <c r="A23" s="220" t="s">
        <v>686</v>
      </c>
      <c r="B23" s="238">
        <v>1960479</v>
      </c>
      <c r="C23" s="221" t="s">
        <v>691</v>
      </c>
      <c r="D23" s="177"/>
      <c r="E23" s="171">
        <v>10162</v>
      </c>
      <c r="F23" s="171"/>
      <c r="G23" s="171">
        <v>11106</v>
      </c>
      <c r="H23" s="170" t="s">
        <v>698</v>
      </c>
      <c r="I23" s="170" t="s">
        <v>524</v>
      </c>
    </row>
    <row r="24" spans="1:9" s="123" customFormat="1">
      <c r="A24" s="238" t="s">
        <v>686</v>
      </c>
      <c r="B24" s="238">
        <v>1920743</v>
      </c>
      <c r="C24" s="221" t="s">
        <v>691</v>
      </c>
      <c r="D24" s="177"/>
      <c r="E24" s="172">
        <v>10197</v>
      </c>
      <c r="F24" s="180"/>
      <c r="G24" s="171">
        <v>10805</v>
      </c>
      <c r="H24" s="170" t="s">
        <v>698</v>
      </c>
      <c r="I24" s="170" t="s">
        <v>709</v>
      </c>
    </row>
    <row r="25" spans="1:9" s="123" customFormat="1">
      <c r="A25" s="42" t="s">
        <v>686</v>
      </c>
      <c r="B25" s="177">
        <v>1914808</v>
      </c>
      <c r="C25" s="151" t="s">
        <v>691</v>
      </c>
      <c r="D25" s="177"/>
      <c r="E25" s="171">
        <v>10298</v>
      </c>
      <c r="F25" s="171"/>
      <c r="G25" s="171">
        <v>10763</v>
      </c>
      <c r="H25" s="170" t="s">
        <v>698</v>
      </c>
      <c r="I25" s="170" t="s">
        <v>633</v>
      </c>
    </row>
    <row r="26" spans="1:9" s="123" customFormat="1">
      <c r="A26" s="177" t="s">
        <v>686</v>
      </c>
      <c r="B26" s="177">
        <v>1922655</v>
      </c>
      <c r="C26" s="151" t="s">
        <v>691</v>
      </c>
      <c r="D26" s="177"/>
      <c r="E26" s="171">
        <v>10308</v>
      </c>
      <c r="F26" s="171"/>
      <c r="G26" s="171">
        <v>10819</v>
      </c>
      <c r="H26" s="170" t="s">
        <v>698</v>
      </c>
      <c r="I26" s="170" t="s">
        <v>515</v>
      </c>
    </row>
    <row r="27" spans="1:9" s="123" customFormat="1">
      <c r="A27" s="177" t="s">
        <v>686</v>
      </c>
      <c r="B27" s="177">
        <v>1904692</v>
      </c>
      <c r="C27" s="151" t="s">
        <v>691</v>
      </c>
      <c r="D27" s="177"/>
      <c r="E27" s="171">
        <v>10323</v>
      </c>
      <c r="F27" s="171"/>
      <c r="G27" s="171">
        <v>10700</v>
      </c>
      <c r="H27" s="170" t="s">
        <v>698</v>
      </c>
      <c r="I27" s="170" t="s">
        <v>699</v>
      </c>
    </row>
    <row r="28" spans="1:9" s="123" customFormat="1">
      <c r="A28" s="42" t="s">
        <v>686</v>
      </c>
      <c r="B28" s="177">
        <v>1890898</v>
      </c>
      <c r="C28" s="151" t="s">
        <v>691</v>
      </c>
      <c r="D28" s="177"/>
      <c r="E28" s="171">
        <v>10340</v>
      </c>
      <c r="F28" s="171"/>
      <c r="G28" s="171">
        <v>10574</v>
      </c>
      <c r="H28" s="170" t="s">
        <v>688</v>
      </c>
      <c r="I28" s="170" t="s">
        <v>825</v>
      </c>
    </row>
    <row r="29" spans="1:9" s="123" customFormat="1">
      <c r="A29" s="42" t="s">
        <v>686</v>
      </c>
      <c r="B29" s="177">
        <v>1877228</v>
      </c>
      <c r="C29" s="151" t="s">
        <v>691</v>
      </c>
      <c r="D29" s="177"/>
      <c r="E29" s="171">
        <v>10351</v>
      </c>
      <c r="F29" s="171"/>
      <c r="G29" s="171">
        <v>10483</v>
      </c>
      <c r="H29" s="170" t="s">
        <v>688</v>
      </c>
      <c r="I29" s="170" t="s">
        <v>796</v>
      </c>
    </row>
    <row r="30" spans="1:9" s="123" customFormat="1">
      <c r="A30" s="42" t="s">
        <v>686</v>
      </c>
      <c r="B30" s="177">
        <v>1916694</v>
      </c>
      <c r="C30" s="151" t="s">
        <v>691</v>
      </c>
      <c r="D30" s="177"/>
      <c r="E30" s="171">
        <v>10353</v>
      </c>
      <c r="F30" s="171"/>
      <c r="G30" s="171">
        <v>10777</v>
      </c>
      <c r="H30" s="170" t="s">
        <v>698</v>
      </c>
      <c r="I30" s="170" t="s">
        <v>707</v>
      </c>
    </row>
    <row r="31" spans="1:9" s="123" customFormat="1">
      <c r="A31" s="42" t="s">
        <v>686</v>
      </c>
      <c r="B31" s="177">
        <v>1889755</v>
      </c>
      <c r="C31" s="151" t="s">
        <v>691</v>
      </c>
      <c r="D31" s="177"/>
      <c r="E31" s="171">
        <v>10359</v>
      </c>
      <c r="F31" s="171"/>
      <c r="G31" s="171">
        <v>10567</v>
      </c>
      <c r="H31" s="170" t="s">
        <v>824</v>
      </c>
      <c r="I31" s="170" t="s">
        <v>823</v>
      </c>
    </row>
    <row r="32" spans="1:9" s="123" customFormat="1">
      <c r="A32" s="42" t="s">
        <v>686</v>
      </c>
      <c r="B32" s="177">
        <v>1898835</v>
      </c>
      <c r="C32" s="151" t="s">
        <v>691</v>
      </c>
      <c r="D32" s="177"/>
      <c r="E32" s="171">
        <v>10359</v>
      </c>
      <c r="F32" s="171"/>
      <c r="G32" s="171">
        <v>10644</v>
      </c>
      <c r="H32" s="170" t="s">
        <v>698</v>
      </c>
      <c r="I32" s="170" t="s">
        <v>700</v>
      </c>
    </row>
    <row r="33" spans="1:9" s="123" customFormat="1">
      <c r="A33" s="177" t="s">
        <v>686</v>
      </c>
      <c r="B33" s="177">
        <v>1908119</v>
      </c>
      <c r="C33" s="151" t="s">
        <v>691</v>
      </c>
      <c r="D33" s="177"/>
      <c r="E33" s="171">
        <v>10371</v>
      </c>
      <c r="F33" s="171"/>
      <c r="G33" s="171">
        <v>10721</v>
      </c>
      <c r="H33" s="170" t="s">
        <v>698</v>
      </c>
      <c r="I33" s="170" t="s">
        <v>637</v>
      </c>
    </row>
    <row r="34" spans="1:9" s="123" customFormat="1">
      <c r="A34" s="42" t="s">
        <v>686</v>
      </c>
      <c r="B34" s="177">
        <v>1914809</v>
      </c>
      <c r="C34" s="151" t="s">
        <v>691</v>
      </c>
      <c r="D34" s="177"/>
      <c r="E34" s="171">
        <v>10387</v>
      </c>
      <c r="F34" s="171"/>
      <c r="G34" s="171">
        <v>10763</v>
      </c>
      <c r="H34" s="170" t="s">
        <v>698</v>
      </c>
      <c r="I34" s="170" t="s">
        <v>633</v>
      </c>
    </row>
    <row r="35" spans="1:9" s="123" customFormat="1">
      <c r="A35" s="42" t="s">
        <v>686</v>
      </c>
      <c r="B35" s="177">
        <v>1902331</v>
      </c>
      <c r="C35" s="151" t="s">
        <v>691</v>
      </c>
      <c r="D35" s="177"/>
      <c r="E35" s="171">
        <v>10392</v>
      </c>
      <c r="F35" s="171"/>
      <c r="G35" s="171">
        <v>10672</v>
      </c>
      <c r="H35" s="170" t="s">
        <v>698</v>
      </c>
      <c r="I35" s="170" t="s">
        <v>633</v>
      </c>
    </row>
    <row r="36" spans="1:9" s="123" customFormat="1">
      <c r="A36" s="42" t="s">
        <v>686</v>
      </c>
      <c r="B36" s="177">
        <v>1913575</v>
      </c>
      <c r="C36" s="151" t="s">
        <v>691</v>
      </c>
      <c r="D36" s="177"/>
      <c r="E36" s="171">
        <v>10401</v>
      </c>
      <c r="F36" s="171"/>
      <c r="G36" s="171">
        <v>10756</v>
      </c>
      <c r="H36" s="170" t="s">
        <v>698</v>
      </c>
      <c r="I36" s="170" t="s">
        <v>638</v>
      </c>
    </row>
    <row r="37" spans="1:9" s="123" customFormat="1">
      <c r="A37" s="177" t="s">
        <v>686</v>
      </c>
      <c r="B37" s="177">
        <v>1907428</v>
      </c>
      <c r="C37" s="151" t="s">
        <v>691</v>
      </c>
      <c r="D37" s="177"/>
      <c r="E37" s="171">
        <v>10415</v>
      </c>
      <c r="F37" s="171"/>
      <c r="G37" s="171">
        <v>10721</v>
      </c>
      <c r="H37" s="170" t="s">
        <v>698</v>
      </c>
      <c r="I37" s="170" t="s">
        <v>699</v>
      </c>
    </row>
    <row r="38" spans="1:9" s="123" customFormat="1">
      <c r="A38" s="42" t="s">
        <v>686</v>
      </c>
      <c r="B38" s="177">
        <v>1934199</v>
      </c>
      <c r="C38" s="151" t="s">
        <v>691</v>
      </c>
      <c r="D38" s="177"/>
      <c r="E38" s="171">
        <v>10415</v>
      </c>
      <c r="F38" s="171"/>
      <c r="G38" s="171">
        <v>10903</v>
      </c>
      <c r="H38" s="170" t="s">
        <v>698</v>
      </c>
      <c r="I38" s="170" t="s">
        <v>699</v>
      </c>
    </row>
    <row r="39" spans="1:9" s="123" customFormat="1">
      <c r="A39" s="42" t="s">
        <v>686</v>
      </c>
      <c r="B39" s="177">
        <v>1917690</v>
      </c>
      <c r="C39" s="151" t="s">
        <v>691</v>
      </c>
      <c r="D39" s="177"/>
      <c r="E39" s="171">
        <v>10420</v>
      </c>
      <c r="F39" s="171"/>
      <c r="G39" s="171">
        <v>10784</v>
      </c>
      <c r="H39" s="170" t="s">
        <v>698</v>
      </c>
      <c r="I39" s="170" t="s">
        <v>708</v>
      </c>
    </row>
    <row r="40" spans="1:9" s="123" customFormat="1">
      <c r="A40" s="42" t="s">
        <v>686</v>
      </c>
      <c r="B40" s="177">
        <v>1968224</v>
      </c>
      <c r="C40" s="151" t="s">
        <v>691</v>
      </c>
      <c r="D40" s="177"/>
      <c r="E40" s="171">
        <v>10448</v>
      </c>
      <c r="F40" s="171"/>
      <c r="G40" s="171">
        <v>11169</v>
      </c>
      <c r="H40" s="170" t="s">
        <v>698</v>
      </c>
      <c r="I40" s="170" t="s">
        <v>707</v>
      </c>
    </row>
    <row r="41" spans="1:9" s="123" customFormat="1">
      <c r="A41" s="177" t="s">
        <v>686</v>
      </c>
      <c r="B41" s="177">
        <v>1917907</v>
      </c>
      <c r="C41" s="151" t="s">
        <v>691</v>
      </c>
      <c r="D41" s="177"/>
      <c r="E41" s="180">
        <v>10452</v>
      </c>
      <c r="F41" s="180"/>
      <c r="G41" s="171">
        <v>10784</v>
      </c>
      <c r="H41" s="170" t="s">
        <v>698</v>
      </c>
      <c r="I41" s="170" t="s">
        <v>707</v>
      </c>
    </row>
    <row r="42" spans="1:9" s="123" customFormat="1">
      <c r="A42" s="42" t="s">
        <v>686</v>
      </c>
      <c r="B42" s="177">
        <v>1917046</v>
      </c>
      <c r="C42" s="151" t="s">
        <v>691</v>
      </c>
      <c r="D42" s="177"/>
      <c r="E42" s="171">
        <v>10466</v>
      </c>
      <c r="F42" s="171"/>
      <c r="G42" s="171">
        <v>10777</v>
      </c>
      <c r="H42" s="170" t="s">
        <v>698</v>
      </c>
      <c r="I42" s="170" t="s">
        <v>699</v>
      </c>
    </row>
    <row r="43" spans="1:9" s="123" customFormat="1">
      <c r="A43" s="42" t="s">
        <v>686</v>
      </c>
      <c r="B43" s="177">
        <v>1914812</v>
      </c>
      <c r="C43" s="151" t="s">
        <v>691</v>
      </c>
      <c r="D43" s="177"/>
      <c r="E43" s="171">
        <v>10472</v>
      </c>
      <c r="F43" s="171"/>
      <c r="G43" s="171">
        <v>10763</v>
      </c>
      <c r="H43" s="170" t="s">
        <v>698</v>
      </c>
      <c r="I43" s="170" t="s">
        <v>640</v>
      </c>
    </row>
    <row r="44" spans="1:9" s="123" customFormat="1">
      <c r="A44" s="42" t="s">
        <v>686</v>
      </c>
      <c r="B44" s="177">
        <v>1973378</v>
      </c>
      <c r="C44" s="151" t="s">
        <v>691</v>
      </c>
      <c r="D44" s="177"/>
      <c r="E44" s="171">
        <v>10472</v>
      </c>
      <c r="F44" s="171"/>
      <c r="G44" s="171">
        <v>11211</v>
      </c>
      <c r="H44" s="170" t="s">
        <v>698</v>
      </c>
      <c r="I44" s="170" t="s">
        <v>402</v>
      </c>
    </row>
    <row r="45" spans="1:9" s="123" customFormat="1">
      <c r="A45" s="42" t="s">
        <v>686</v>
      </c>
      <c r="B45" s="177">
        <v>1989057</v>
      </c>
      <c r="C45" s="151" t="s">
        <v>691</v>
      </c>
      <c r="D45" s="177"/>
      <c r="E45" s="171">
        <v>10472</v>
      </c>
      <c r="F45" s="171"/>
      <c r="G45" s="171">
        <v>11344</v>
      </c>
      <c r="H45" s="170" t="s">
        <v>698</v>
      </c>
      <c r="I45" s="170" t="s">
        <v>633</v>
      </c>
    </row>
    <row r="46" spans="1:9" s="123" customFormat="1">
      <c r="A46" s="42" t="s">
        <v>686</v>
      </c>
      <c r="B46" s="177">
        <v>2005806</v>
      </c>
      <c r="C46" s="151" t="s">
        <v>691</v>
      </c>
      <c r="D46" s="177"/>
      <c r="E46" s="171">
        <v>10486</v>
      </c>
      <c r="F46" s="171"/>
      <c r="G46" s="171">
        <v>11498</v>
      </c>
      <c r="H46" s="170" t="s">
        <v>698</v>
      </c>
      <c r="I46" s="170" t="s">
        <v>707</v>
      </c>
    </row>
    <row r="47" spans="1:9" s="123" customFormat="1">
      <c r="A47" s="42" t="s">
        <v>686</v>
      </c>
      <c r="B47" s="177">
        <v>1980178</v>
      </c>
      <c r="C47" s="151" t="s">
        <v>691</v>
      </c>
      <c r="D47" s="177"/>
      <c r="E47" s="171">
        <v>10499</v>
      </c>
      <c r="F47" s="171"/>
      <c r="G47" s="171">
        <v>11274</v>
      </c>
      <c r="H47" s="170" t="s">
        <v>698</v>
      </c>
      <c r="I47" s="170" t="s">
        <v>716</v>
      </c>
    </row>
    <row r="48" spans="1:9" s="123" customFormat="1">
      <c r="A48" s="42" t="s">
        <v>686</v>
      </c>
      <c r="B48" s="177">
        <v>1978159</v>
      </c>
      <c r="C48" s="151" t="s">
        <v>691</v>
      </c>
      <c r="D48" s="177"/>
      <c r="E48" s="171">
        <v>10506</v>
      </c>
      <c r="F48" s="171"/>
      <c r="G48" s="171">
        <v>11253</v>
      </c>
      <c r="H48" s="170" t="s">
        <v>698</v>
      </c>
      <c r="I48" s="170" t="s">
        <v>556</v>
      </c>
    </row>
    <row r="49" spans="1:12" s="123" customFormat="1">
      <c r="A49" s="177" t="s">
        <v>686</v>
      </c>
      <c r="B49" s="177">
        <v>1993765</v>
      </c>
      <c r="C49" s="151" t="s">
        <v>691</v>
      </c>
      <c r="D49" s="177"/>
      <c r="E49" s="171">
        <v>10512</v>
      </c>
      <c r="F49" s="171"/>
      <c r="G49" s="171">
        <v>11393</v>
      </c>
      <c r="H49" s="170" t="s">
        <v>698</v>
      </c>
      <c r="I49" s="170" t="s">
        <v>519</v>
      </c>
    </row>
    <row r="50" spans="1:12" s="123" customFormat="1">
      <c r="A50" s="42" t="s">
        <v>686</v>
      </c>
      <c r="B50" s="177">
        <v>2025093</v>
      </c>
      <c r="C50" s="151" t="s">
        <v>691</v>
      </c>
      <c r="D50" s="177"/>
      <c r="E50" s="171">
        <v>10526</v>
      </c>
      <c r="F50" s="171"/>
      <c r="G50" s="171">
        <v>11680</v>
      </c>
      <c r="H50" s="170" t="s">
        <v>698</v>
      </c>
      <c r="I50" s="170" t="s">
        <v>731</v>
      </c>
    </row>
    <row r="51" spans="1:12" s="123" customFormat="1">
      <c r="A51" s="177" t="s">
        <v>686</v>
      </c>
      <c r="B51" s="177">
        <v>2049487</v>
      </c>
      <c r="C51" s="151" t="s">
        <v>691</v>
      </c>
      <c r="D51" s="177"/>
      <c r="E51" s="171">
        <v>10549</v>
      </c>
      <c r="F51" s="171"/>
      <c r="G51" s="171">
        <v>11904</v>
      </c>
      <c r="H51" s="170" t="s">
        <v>698</v>
      </c>
      <c r="I51" s="170" t="s">
        <v>708</v>
      </c>
    </row>
    <row r="52" spans="1:12" s="123" customFormat="1">
      <c r="A52" s="42" t="s">
        <v>686</v>
      </c>
      <c r="B52" s="177">
        <v>1968433</v>
      </c>
      <c r="C52" s="151" t="s">
        <v>691</v>
      </c>
      <c r="D52" s="177"/>
      <c r="E52" s="171">
        <v>10570</v>
      </c>
      <c r="F52" s="171"/>
      <c r="G52" s="171">
        <v>11169</v>
      </c>
      <c r="H52" s="170" t="s">
        <v>698</v>
      </c>
      <c r="I52" s="170" t="s">
        <v>515</v>
      </c>
    </row>
    <row r="53" spans="1:12" s="123" customFormat="1">
      <c r="A53" s="177" t="s">
        <v>686</v>
      </c>
      <c r="B53" s="177">
        <v>1954087</v>
      </c>
      <c r="C53" s="151" t="s">
        <v>691</v>
      </c>
      <c r="D53" s="177"/>
      <c r="E53" s="171">
        <v>10595</v>
      </c>
      <c r="F53" s="171"/>
      <c r="G53" s="171">
        <v>11057</v>
      </c>
      <c r="H53" s="170" t="s">
        <v>518</v>
      </c>
      <c r="I53" s="170" t="s">
        <v>699</v>
      </c>
    </row>
    <row r="54" spans="1:12" s="123" customFormat="1">
      <c r="A54" s="42" t="s">
        <v>686</v>
      </c>
      <c r="B54" s="177">
        <v>1990563</v>
      </c>
      <c r="C54" s="151" t="s">
        <v>691</v>
      </c>
      <c r="D54" s="177"/>
      <c r="E54" s="171">
        <v>10619</v>
      </c>
      <c r="F54" s="171"/>
      <c r="G54" s="171">
        <v>11365</v>
      </c>
      <c r="H54" s="170" t="s">
        <v>698</v>
      </c>
      <c r="I54" s="170" t="s">
        <v>676</v>
      </c>
    </row>
    <row r="55" spans="1:12" s="123" customFormat="1">
      <c r="A55" s="42" t="s">
        <v>686</v>
      </c>
      <c r="B55" s="177">
        <v>2087296</v>
      </c>
      <c r="C55" s="151" t="s">
        <v>691</v>
      </c>
      <c r="D55" s="177"/>
      <c r="E55" s="171">
        <v>10623</v>
      </c>
      <c r="F55" s="171"/>
      <c r="G55" s="171">
        <v>12254</v>
      </c>
      <c r="H55" s="170" t="s">
        <v>518</v>
      </c>
      <c r="I55" s="170" t="s">
        <v>676</v>
      </c>
      <c r="J55" s="207"/>
      <c r="K55" s="207"/>
      <c r="L55" s="207"/>
    </row>
    <row r="56" spans="1:12" s="123" customFormat="1">
      <c r="A56" s="42" t="s">
        <v>686</v>
      </c>
      <c r="B56" s="177">
        <v>1978161</v>
      </c>
      <c r="C56" s="151" t="s">
        <v>691</v>
      </c>
      <c r="D56" s="177"/>
      <c r="E56" s="171">
        <v>10673</v>
      </c>
      <c r="F56" s="171"/>
      <c r="G56" s="171">
        <v>11253</v>
      </c>
      <c r="H56" s="170" t="s">
        <v>557</v>
      </c>
      <c r="I56" s="170" t="s">
        <v>699</v>
      </c>
    </row>
    <row r="57" spans="1:12" s="123" customFormat="1">
      <c r="A57" s="177" t="s">
        <v>686</v>
      </c>
      <c r="B57" s="177">
        <v>1979313</v>
      </c>
      <c r="C57" s="151" t="s">
        <v>691</v>
      </c>
      <c r="D57" s="177"/>
      <c r="E57" s="171">
        <v>10674</v>
      </c>
      <c r="F57" s="171"/>
      <c r="G57" s="171">
        <v>11267</v>
      </c>
      <c r="H57" s="170" t="s">
        <v>667</v>
      </c>
      <c r="I57" s="170" t="s">
        <v>731</v>
      </c>
    </row>
    <row r="58" spans="1:12" s="123" customFormat="1">
      <c r="A58" s="42" t="s">
        <v>686</v>
      </c>
      <c r="B58" s="177">
        <v>1979314</v>
      </c>
      <c r="C58" s="151" t="s">
        <v>691</v>
      </c>
      <c r="D58" s="177"/>
      <c r="E58" s="171">
        <v>10674</v>
      </c>
      <c r="F58" s="171"/>
      <c r="G58" s="171">
        <v>11267</v>
      </c>
      <c r="H58" s="170" t="s">
        <v>698</v>
      </c>
      <c r="I58" s="170" t="s">
        <v>731</v>
      </c>
    </row>
    <row r="59" spans="1:12" s="123" customFormat="1">
      <c r="A59" s="42" t="s">
        <v>686</v>
      </c>
      <c r="B59" s="177">
        <v>1979317</v>
      </c>
      <c r="C59" s="151" t="s">
        <v>691</v>
      </c>
      <c r="D59" s="177"/>
      <c r="E59" s="171">
        <v>10674</v>
      </c>
      <c r="F59" s="171"/>
      <c r="G59" s="171">
        <v>11267</v>
      </c>
      <c r="H59" s="170" t="s">
        <v>698</v>
      </c>
      <c r="I59" s="170" t="s">
        <v>732</v>
      </c>
    </row>
    <row r="60" spans="1:12" s="123" customFormat="1">
      <c r="A60" s="42" t="s">
        <v>686</v>
      </c>
      <c r="B60" s="177">
        <v>1979453</v>
      </c>
      <c r="C60" s="151" t="s">
        <v>691</v>
      </c>
      <c r="D60" s="177"/>
      <c r="E60" s="171">
        <v>10674</v>
      </c>
      <c r="F60" s="171" t="s">
        <v>674</v>
      </c>
      <c r="G60" s="171">
        <v>11267</v>
      </c>
      <c r="H60" s="170" t="s">
        <v>698</v>
      </c>
      <c r="I60" s="170" t="s">
        <v>731</v>
      </c>
      <c r="L60" s="42"/>
    </row>
    <row r="61" spans="1:12" s="123" customFormat="1">
      <c r="A61" s="42" t="s">
        <v>686</v>
      </c>
      <c r="B61" s="177">
        <v>1980038</v>
      </c>
      <c r="C61" s="151" t="s">
        <v>691</v>
      </c>
      <c r="D61" s="177"/>
      <c r="E61" s="171">
        <v>10674</v>
      </c>
      <c r="F61" s="171"/>
      <c r="G61" s="171">
        <v>11267</v>
      </c>
      <c r="H61" s="170" t="s">
        <v>698</v>
      </c>
      <c r="I61" s="170" t="s">
        <v>731</v>
      </c>
    </row>
    <row r="62" spans="1:12" s="123" customFormat="1">
      <c r="A62" s="42" t="s">
        <v>686</v>
      </c>
      <c r="B62" s="177">
        <v>1935610</v>
      </c>
      <c r="C62" s="151" t="s">
        <v>691</v>
      </c>
      <c r="D62" s="177"/>
      <c r="E62" s="171">
        <v>10695</v>
      </c>
      <c r="F62" s="171"/>
      <c r="G62" s="171">
        <v>10917</v>
      </c>
      <c r="H62" s="86" t="s">
        <v>698</v>
      </c>
      <c r="I62" s="170" t="s">
        <v>515</v>
      </c>
    </row>
    <row r="63" spans="1:12" s="123" customFormat="1">
      <c r="A63" s="42" t="s">
        <v>686</v>
      </c>
      <c r="B63" s="177">
        <v>1951744</v>
      </c>
      <c r="C63" s="151" t="s">
        <v>691</v>
      </c>
      <c r="D63" s="177"/>
      <c r="E63" s="171">
        <v>10710</v>
      </c>
      <c r="F63" s="171"/>
      <c r="G63" s="171">
        <v>11036</v>
      </c>
      <c r="H63" s="170" t="s">
        <v>518</v>
      </c>
      <c r="I63" s="170" t="s">
        <v>519</v>
      </c>
    </row>
    <row r="64" spans="1:12" s="123" customFormat="1">
      <c r="A64" s="42" t="s">
        <v>686</v>
      </c>
      <c r="B64" s="177">
        <v>1938655</v>
      </c>
      <c r="C64" s="151" t="s">
        <v>691</v>
      </c>
      <c r="D64" s="177"/>
      <c r="E64" s="171">
        <v>10728</v>
      </c>
      <c r="F64" s="171"/>
      <c r="G64" s="171">
        <v>10938</v>
      </c>
      <c r="H64" s="170" t="s">
        <v>698</v>
      </c>
      <c r="I64" s="170" t="s">
        <v>514</v>
      </c>
    </row>
    <row r="65" spans="1:12" s="123" customFormat="1">
      <c r="A65" s="42" t="s">
        <v>686</v>
      </c>
      <c r="B65" s="177">
        <v>1968930</v>
      </c>
      <c r="C65" s="151" t="s">
        <v>691</v>
      </c>
      <c r="D65" s="177"/>
      <c r="E65" s="171">
        <v>10738</v>
      </c>
      <c r="F65" s="171"/>
      <c r="G65" s="171">
        <v>11176</v>
      </c>
      <c r="H65" s="170" t="s">
        <v>698</v>
      </c>
      <c r="I65" s="170" t="s">
        <v>525</v>
      </c>
      <c r="L65" s="207"/>
    </row>
    <row r="66" spans="1:12" s="123" customFormat="1">
      <c r="A66" s="42" t="s">
        <v>686</v>
      </c>
      <c r="B66" s="177">
        <v>1944687</v>
      </c>
      <c r="C66" s="151" t="s">
        <v>691</v>
      </c>
      <c r="D66" s="177"/>
      <c r="E66" s="171">
        <v>10739</v>
      </c>
      <c r="F66" s="171"/>
      <c r="G66" s="171">
        <v>10980</v>
      </c>
      <c r="H66" s="170" t="s">
        <v>698</v>
      </c>
      <c r="I66" s="170" t="s">
        <v>700</v>
      </c>
    </row>
    <row r="67" spans="1:12" s="123" customFormat="1">
      <c r="A67" s="42" t="s">
        <v>686</v>
      </c>
      <c r="B67" s="177">
        <v>1950986</v>
      </c>
      <c r="C67" s="151" t="s">
        <v>691</v>
      </c>
      <c r="D67" s="177"/>
      <c r="E67" s="171">
        <v>10746</v>
      </c>
      <c r="F67" s="171"/>
      <c r="G67" s="171">
        <v>11029</v>
      </c>
      <c r="H67" s="170" t="s">
        <v>698</v>
      </c>
      <c r="I67" s="170" t="s">
        <v>633</v>
      </c>
    </row>
    <row r="68" spans="1:12" s="123" customFormat="1">
      <c r="A68" s="177" t="s">
        <v>686</v>
      </c>
      <c r="B68" s="177">
        <v>1952321</v>
      </c>
      <c r="C68" s="151" t="s">
        <v>691</v>
      </c>
      <c r="D68" s="177"/>
      <c r="E68" s="171">
        <v>10746</v>
      </c>
      <c r="F68" s="171"/>
      <c r="G68" s="171">
        <v>11043</v>
      </c>
      <c r="H68" s="170" t="s">
        <v>698</v>
      </c>
      <c r="I68" s="170" t="s">
        <v>392</v>
      </c>
    </row>
    <row r="69" spans="1:12" s="123" customFormat="1">
      <c r="A69" s="42" t="s">
        <v>686</v>
      </c>
      <c r="B69" s="177">
        <v>2005098</v>
      </c>
      <c r="C69" s="151" t="s">
        <v>691</v>
      </c>
      <c r="D69" s="177"/>
      <c r="E69" s="171">
        <v>10779</v>
      </c>
      <c r="F69" s="171"/>
      <c r="G69" s="171">
        <v>11491</v>
      </c>
      <c r="H69" s="170" t="s">
        <v>698</v>
      </c>
      <c r="I69" s="170" t="s">
        <v>679</v>
      </c>
    </row>
    <row r="70" spans="1:12" s="123" customFormat="1">
      <c r="A70" s="42" t="s">
        <v>686</v>
      </c>
      <c r="B70" s="177">
        <v>1969866</v>
      </c>
      <c r="C70" s="151" t="s">
        <v>691</v>
      </c>
      <c r="D70" s="177"/>
      <c r="E70" s="171">
        <v>10781</v>
      </c>
      <c r="F70" s="171"/>
      <c r="G70" s="171">
        <v>11183</v>
      </c>
      <c r="H70" s="170" t="s">
        <v>698</v>
      </c>
      <c r="I70" s="170" t="s">
        <v>401</v>
      </c>
    </row>
    <row r="71" spans="1:12" s="123" customFormat="1">
      <c r="A71" s="42" t="s">
        <v>686</v>
      </c>
      <c r="B71" s="177">
        <v>1944590</v>
      </c>
      <c r="C71" s="151" t="s">
        <v>691</v>
      </c>
      <c r="D71" s="177"/>
      <c r="E71" s="171">
        <v>10794</v>
      </c>
      <c r="F71" s="171"/>
      <c r="G71" s="171">
        <v>10980</v>
      </c>
      <c r="H71" s="170" t="s">
        <v>698</v>
      </c>
      <c r="I71" s="170" t="s">
        <v>708</v>
      </c>
    </row>
    <row r="72" spans="1:12" s="123" customFormat="1">
      <c r="A72" s="177" t="s">
        <v>686</v>
      </c>
      <c r="B72" s="177">
        <v>1954088</v>
      </c>
      <c r="C72" s="151" t="s">
        <v>691</v>
      </c>
      <c r="D72" s="177"/>
      <c r="E72" s="171">
        <v>10821</v>
      </c>
      <c r="F72" s="171"/>
      <c r="G72" s="171">
        <v>11057</v>
      </c>
      <c r="H72" s="170" t="s">
        <v>698</v>
      </c>
      <c r="I72" s="170" t="s">
        <v>393</v>
      </c>
    </row>
    <row r="73" spans="1:12" s="123" customFormat="1">
      <c r="A73" s="42" t="s">
        <v>686</v>
      </c>
      <c r="B73" s="177">
        <v>1950987</v>
      </c>
      <c r="C73" s="151" t="s">
        <v>691</v>
      </c>
      <c r="D73" s="177"/>
      <c r="E73" s="171">
        <v>10833</v>
      </c>
      <c r="F73" s="171"/>
      <c r="G73" s="171">
        <v>11029</v>
      </c>
      <c r="H73" s="170" t="s">
        <v>698</v>
      </c>
      <c r="I73" s="170" t="s">
        <v>633</v>
      </c>
    </row>
    <row r="74" spans="1:12" s="123" customFormat="1">
      <c r="A74" s="42" t="s">
        <v>686</v>
      </c>
      <c r="B74" s="177">
        <v>2030453</v>
      </c>
      <c r="C74" s="151" t="s">
        <v>691</v>
      </c>
      <c r="D74" s="177"/>
      <c r="E74" s="171">
        <v>10855</v>
      </c>
      <c r="F74" s="171"/>
      <c r="G74" s="171">
        <v>11729</v>
      </c>
      <c r="H74" s="170" t="s">
        <v>698</v>
      </c>
      <c r="I74" s="170" t="s">
        <v>640</v>
      </c>
    </row>
    <row r="75" spans="1:12" s="123" customFormat="1">
      <c r="A75" s="177" t="s">
        <v>686</v>
      </c>
      <c r="B75" s="177">
        <v>1978162</v>
      </c>
      <c r="C75" s="151" t="s">
        <v>691</v>
      </c>
      <c r="D75" s="177"/>
      <c r="E75" s="171">
        <v>10872</v>
      </c>
      <c r="F75" s="171"/>
      <c r="G75" s="171">
        <v>11253</v>
      </c>
      <c r="H75" s="170" t="s">
        <v>557</v>
      </c>
      <c r="I75" s="170" t="s">
        <v>699</v>
      </c>
    </row>
    <row r="76" spans="1:12" s="123" customFormat="1">
      <c r="A76" s="42" t="s">
        <v>686</v>
      </c>
      <c r="B76" s="177">
        <v>2007373</v>
      </c>
      <c r="C76" s="151" t="s">
        <v>691</v>
      </c>
      <c r="D76" s="177"/>
      <c r="E76" s="171">
        <v>10910</v>
      </c>
      <c r="F76" s="171"/>
      <c r="G76" s="171">
        <v>11512</v>
      </c>
      <c r="H76" s="170" t="s">
        <v>698</v>
      </c>
      <c r="I76" s="170" t="s">
        <v>633</v>
      </c>
    </row>
    <row r="77" spans="1:12" s="123" customFormat="1">
      <c r="A77" s="42" t="s">
        <v>686</v>
      </c>
      <c r="B77" s="177">
        <v>1979315</v>
      </c>
      <c r="C77" s="151" t="s">
        <v>691</v>
      </c>
      <c r="D77" s="177"/>
      <c r="E77" s="171">
        <v>10924</v>
      </c>
      <c r="F77" s="171"/>
      <c r="G77" s="171">
        <v>11267</v>
      </c>
      <c r="H77" s="170" t="s">
        <v>698</v>
      </c>
      <c r="I77" s="170" t="s">
        <v>637</v>
      </c>
    </row>
    <row r="78" spans="1:12" s="123" customFormat="1">
      <c r="A78" s="42" t="s">
        <v>686</v>
      </c>
      <c r="B78" s="177">
        <v>2031625</v>
      </c>
      <c r="C78" s="151" t="s">
        <v>691</v>
      </c>
      <c r="D78" s="177"/>
      <c r="E78" s="171">
        <v>10924</v>
      </c>
      <c r="F78" s="171"/>
      <c r="G78" s="171">
        <v>11743</v>
      </c>
      <c r="H78" s="170" t="s">
        <v>698</v>
      </c>
      <c r="I78" s="170" t="s">
        <v>401</v>
      </c>
    </row>
    <row r="79" spans="1:12" s="123" customFormat="1">
      <c r="A79" s="177" t="s">
        <v>686</v>
      </c>
      <c r="B79" s="177">
        <v>1996946</v>
      </c>
      <c r="C79" s="151" t="s">
        <v>691</v>
      </c>
      <c r="D79" s="177"/>
      <c r="E79" s="171">
        <v>10940</v>
      </c>
      <c r="F79" s="171"/>
      <c r="G79" s="171">
        <v>11421</v>
      </c>
      <c r="H79" s="170" t="s">
        <v>698</v>
      </c>
      <c r="I79" s="170" t="s">
        <v>708</v>
      </c>
    </row>
    <row r="80" spans="1:12" s="123" customFormat="1">
      <c r="A80" s="42" t="s">
        <v>686</v>
      </c>
      <c r="B80" s="177">
        <v>1988132</v>
      </c>
      <c r="C80" s="151" t="s">
        <v>691</v>
      </c>
      <c r="D80" s="177"/>
      <c r="E80" s="171">
        <v>10949</v>
      </c>
      <c r="F80" s="171"/>
      <c r="G80" s="171">
        <v>11337</v>
      </c>
      <c r="H80" s="170" t="s">
        <v>698</v>
      </c>
      <c r="I80" s="170" t="s">
        <v>675</v>
      </c>
    </row>
    <row r="81" spans="1:12" s="123" customFormat="1">
      <c r="A81" s="42" t="s">
        <v>686</v>
      </c>
      <c r="B81" s="177">
        <v>1996947</v>
      </c>
      <c r="C81" s="151" t="s">
        <v>691</v>
      </c>
      <c r="D81" s="177"/>
      <c r="E81" s="171">
        <v>10949</v>
      </c>
      <c r="F81" s="171"/>
      <c r="G81" s="171">
        <v>11421</v>
      </c>
      <c r="H81" s="170" t="s">
        <v>518</v>
      </c>
      <c r="I81" s="170" t="s">
        <v>708</v>
      </c>
    </row>
    <row r="82" spans="1:12" s="123" customFormat="1">
      <c r="A82" s="177" t="s">
        <v>686</v>
      </c>
      <c r="B82" s="177">
        <v>1993560</v>
      </c>
      <c r="C82" s="151" t="s">
        <v>691</v>
      </c>
      <c r="D82" s="177"/>
      <c r="E82" s="171">
        <v>10963</v>
      </c>
      <c r="F82" s="171"/>
      <c r="G82" s="171">
        <v>11386</v>
      </c>
      <c r="H82" s="170" t="s">
        <v>698</v>
      </c>
      <c r="I82" s="170" t="s">
        <v>677</v>
      </c>
      <c r="L82" s="207"/>
    </row>
    <row r="83" spans="1:12" s="123" customFormat="1">
      <c r="A83" s="42" t="s">
        <v>686</v>
      </c>
      <c r="B83" s="177">
        <v>1996948</v>
      </c>
      <c r="C83" s="151" t="s">
        <v>691</v>
      </c>
      <c r="D83" s="177"/>
      <c r="E83" s="171">
        <v>10998</v>
      </c>
      <c r="F83" s="171"/>
      <c r="G83" s="171">
        <v>11421</v>
      </c>
      <c r="H83" s="170" t="s">
        <v>698</v>
      </c>
      <c r="I83" s="170" t="s">
        <v>708</v>
      </c>
    </row>
    <row r="84" spans="1:12" s="123" customFormat="1">
      <c r="A84" s="42" t="s">
        <v>686</v>
      </c>
      <c r="B84" s="177">
        <v>2005063</v>
      </c>
      <c r="C84" s="151" t="s">
        <v>691</v>
      </c>
      <c r="D84" s="177"/>
      <c r="E84" s="171">
        <v>11029</v>
      </c>
      <c r="F84" s="171"/>
      <c r="G84" s="171">
        <v>11491</v>
      </c>
      <c r="H84" s="170" t="s">
        <v>518</v>
      </c>
      <c r="I84" s="170" t="s">
        <v>678</v>
      </c>
    </row>
    <row r="85" spans="1:12" s="123" customFormat="1">
      <c r="A85" s="177" t="s">
        <v>686</v>
      </c>
      <c r="B85" s="177">
        <v>2021380</v>
      </c>
      <c r="C85" s="151" t="s">
        <v>691</v>
      </c>
      <c r="D85" s="177"/>
      <c r="E85" s="171">
        <v>11086</v>
      </c>
      <c r="F85" s="171"/>
      <c r="G85" s="171">
        <v>11645</v>
      </c>
      <c r="H85" s="170" t="s">
        <v>698</v>
      </c>
      <c r="I85" s="170" t="s">
        <v>739</v>
      </c>
    </row>
    <row r="86" spans="1:12" s="123" customFormat="1">
      <c r="A86" s="42" t="s">
        <v>686</v>
      </c>
      <c r="B86" s="177">
        <v>2013878</v>
      </c>
      <c r="C86" s="151" t="s">
        <v>691</v>
      </c>
      <c r="D86" s="177"/>
      <c r="E86" s="171">
        <v>11095</v>
      </c>
      <c r="F86" s="171"/>
      <c r="G86" s="171">
        <v>11575</v>
      </c>
      <c r="H86" s="170" t="s">
        <v>698</v>
      </c>
      <c r="I86" s="170" t="s">
        <v>731</v>
      </c>
    </row>
    <row r="87" spans="1:12" s="123" customFormat="1">
      <c r="A87" s="42" t="s">
        <v>686</v>
      </c>
      <c r="B87" s="177">
        <v>2034970</v>
      </c>
      <c r="C87" s="151" t="s">
        <v>691</v>
      </c>
      <c r="D87" s="177"/>
      <c r="E87" s="171">
        <v>11120</v>
      </c>
      <c r="F87" s="171"/>
      <c r="G87" s="171">
        <v>11771</v>
      </c>
      <c r="H87" s="170" t="s">
        <v>698</v>
      </c>
      <c r="I87" s="170" t="s">
        <v>569</v>
      </c>
    </row>
    <row r="88" spans="1:12" s="123" customFormat="1">
      <c r="A88" s="177" t="s">
        <v>686</v>
      </c>
      <c r="B88" s="177">
        <v>2034974</v>
      </c>
      <c r="C88" s="151" t="s">
        <v>691</v>
      </c>
      <c r="D88" s="177"/>
      <c r="E88" s="171">
        <v>11120</v>
      </c>
      <c r="F88" s="171"/>
      <c r="G88" s="171">
        <v>11771</v>
      </c>
      <c r="H88" s="170" t="s">
        <v>698</v>
      </c>
      <c r="I88" s="170" t="s">
        <v>731</v>
      </c>
    </row>
    <row r="89" spans="1:12" s="123" customFormat="1">
      <c r="A89" s="42" t="s">
        <v>686</v>
      </c>
      <c r="B89" s="177">
        <v>2026495</v>
      </c>
      <c r="C89" s="151" t="s">
        <v>691</v>
      </c>
      <c r="D89" s="177"/>
      <c r="E89" s="171">
        <v>11124</v>
      </c>
      <c r="F89" s="171"/>
      <c r="G89" s="171">
        <v>11687</v>
      </c>
      <c r="H89" s="170" t="s">
        <v>698</v>
      </c>
      <c r="I89" s="170" t="s">
        <v>732</v>
      </c>
    </row>
    <row r="90" spans="1:12" s="123" customFormat="1">
      <c r="A90" s="42" t="s">
        <v>686</v>
      </c>
      <c r="B90" s="177">
        <v>2075904</v>
      </c>
      <c r="C90" s="151" t="s">
        <v>691</v>
      </c>
      <c r="D90" s="177"/>
      <c r="E90" s="171">
        <v>11190</v>
      </c>
      <c r="F90" s="171"/>
      <c r="G90" s="171">
        <v>12149</v>
      </c>
      <c r="H90" s="170" t="s">
        <v>518</v>
      </c>
      <c r="I90" s="170" t="s">
        <v>592</v>
      </c>
    </row>
    <row r="91" spans="1:12" s="123" customFormat="1">
      <c r="A91" s="42" t="s">
        <v>686</v>
      </c>
      <c r="B91" s="177">
        <v>2029523</v>
      </c>
      <c r="C91" s="151" t="s">
        <v>691</v>
      </c>
      <c r="D91" s="177"/>
      <c r="E91" s="171">
        <v>11211</v>
      </c>
      <c r="F91" s="171"/>
      <c r="G91" s="171">
        <v>11722</v>
      </c>
      <c r="H91" s="170" t="s">
        <v>518</v>
      </c>
      <c r="I91" s="170" t="s">
        <v>732</v>
      </c>
    </row>
    <row r="92" spans="1:12" s="123" customFormat="1">
      <c r="A92" s="42" t="s">
        <v>686</v>
      </c>
      <c r="B92" s="177">
        <v>2030454</v>
      </c>
      <c r="C92" s="151" t="s">
        <v>691</v>
      </c>
      <c r="D92" s="177"/>
      <c r="E92" s="171">
        <v>11306</v>
      </c>
      <c r="F92" s="171"/>
      <c r="G92" s="171">
        <v>11729</v>
      </c>
      <c r="H92" s="170" t="s">
        <v>518</v>
      </c>
      <c r="I92" s="170" t="s">
        <v>640</v>
      </c>
    </row>
    <row r="93" spans="1:12" s="123" customFormat="1">
      <c r="A93" s="42" t="s">
        <v>686</v>
      </c>
      <c r="B93" s="177">
        <v>2073604</v>
      </c>
      <c r="C93" s="151" t="s">
        <v>691</v>
      </c>
      <c r="D93" s="177"/>
      <c r="E93" s="171">
        <v>11334</v>
      </c>
      <c r="F93" s="171"/>
      <c r="G93" s="171">
        <v>12128</v>
      </c>
      <c r="H93" s="170" t="s">
        <v>698</v>
      </c>
      <c r="I93" s="170" t="s">
        <v>708</v>
      </c>
    </row>
    <row r="94" spans="1:12" s="123" customFormat="1">
      <c r="A94" s="42" t="s">
        <v>686</v>
      </c>
      <c r="B94" s="177">
        <v>2057241</v>
      </c>
      <c r="C94" s="151" t="s">
        <v>691</v>
      </c>
      <c r="D94" s="177"/>
      <c r="E94" s="171">
        <v>11358</v>
      </c>
      <c r="F94" s="171"/>
      <c r="G94" s="171">
        <v>11974</v>
      </c>
      <c r="H94" s="170" t="s">
        <v>698</v>
      </c>
      <c r="I94" s="170" t="s">
        <v>677</v>
      </c>
    </row>
    <row r="95" spans="1:12" s="123" customFormat="1">
      <c r="A95" s="42" t="s">
        <v>686</v>
      </c>
      <c r="B95" s="177">
        <v>2013335</v>
      </c>
      <c r="C95" s="151" t="s">
        <v>691</v>
      </c>
      <c r="D95" s="177"/>
      <c r="E95" s="171">
        <v>11365</v>
      </c>
      <c r="F95" s="171"/>
      <c r="G95" s="171">
        <v>11568</v>
      </c>
      <c r="H95" s="170" t="s">
        <v>698</v>
      </c>
      <c r="I95" s="170" t="s">
        <v>680</v>
      </c>
    </row>
    <row r="96" spans="1:12" s="123" customFormat="1">
      <c r="A96" s="177" t="s">
        <v>686</v>
      </c>
      <c r="B96" s="177">
        <v>2043676</v>
      </c>
      <c r="C96" s="151" t="s">
        <v>691</v>
      </c>
      <c r="D96" s="177"/>
      <c r="E96" s="171">
        <v>11369</v>
      </c>
      <c r="F96" s="171"/>
      <c r="G96" s="171">
        <v>11848</v>
      </c>
      <c r="H96" s="170" t="s">
        <v>698</v>
      </c>
      <c r="I96" s="170" t="s">
        <v>739</v>
      </c>
    </row>
    <row r="97" spans="1:12" s="123" customFormat="1">
      <c r="A97" s="42" t="s">
        <v>686</v>
      </c>
      <c r="B97" s="177">
        <v>2033477</v>
      </c>
      <c r="C97" s="151" t="s">
        <v>691</v>
      </c>
      <c r="D97" s="177"/>
      <c r="E97" s="171">
        <v>11444</v>
      </c>
      <c r="F97" s="171"/>
      <c r="G97" s="171">
        <v>11757</v>
      </c>
      <c r="H97" s="170" t="s">
        <v>698</v>
      </c>
      <c r="I97" s="170" t="s">
        <v>568</v>
      </c>
    </row>
    <row r="98" spans="1:12" s="123" customFormat="1">
      <c r="A98" s="177" t="s">
        <v>686</v>
      </c>
      <c r="B98" s="177">
        <v>2090688</v>
      </c>
      <c r="C98" s="151" t="s">
        <v>691</v>
      </c>
      <c r="D98" s="177"/>
      <c r="E98" s="171">
        <v>11456</v>
      </c>
      <c r="F98" s="171"/>
      <c r="G98" s="171">
        <v>12289</v>
      </c>
      <c r="H98" s="170" t="s">
        <v>698</v>
      </c>
      <c r="I98" s="170" t="s">
        <v>581</v>
      </c>
    </row>
    <row r="99" spans="1:12" s="123" customFormat="1">
      <c r="A99" s="177" t="s">
        <v>686</v>
      </c>
      <c r="B99" s="177">
        <v>2023005</v>
      </c>
      <c r="C99" s="151" t="s">
        <v>691</v>
      </c>
      <c r="D99" s="177"/>
      <c r="E99" s="171">
        <v>11596</v>
      </c>
      <c r="F99" s="171"/>
      <c r="G99" s="171">
        <v>11659</v>
      </c>
      <c r="H99" s="170" t="s">
        <v>698</v>
      </c>
      <c r="I99" s="170" t="s">
        <v>740</v>
      </c>
      <c r="L99" s="207"/>
    </row>
    <row r="100" spans="1:12" s="123" customFormat="1">
      <c r="A100" s="42" t="s">
        <v>686</v>
      </c>
      <c r="B100" s="177">
        <v>2055431</v>
      </c>
      <c r="C100" s="151" t="s">
        <v>691</v>
      </c>
      <c r="D100" s="177"/>
      <c r="E100" s="171">
        <v>11663</v>
      </c>
      <c r="F100" s="171"/>
      <c r="G100" s="171">
        <v>11953</v>
      </c>
      <c r="H100" s="170" t="s">
        <v>698</v>
      </c>
      <c r="I100" s="170" t="s">
        <v>571</v>
      </c>
    </row>
    <row r="101" spans="1:12" s="123" customFormat="1">
      <c r="A101" s="177" t="s">
        <v>686</v>
      </c>
      <c r="B101" s="177">
        <v>2093477</v>
      </c>
      <c r="C101" s="151" t="s">
        <v>691</v>
      </c>
      <c r="D101" s="177"/>
      <c r="E101" s="171">
        <v>11703</v>
      </c>
      <c r="F101" s="171"/>
      <c r="G101" s="171">
        <v>12317</v>
      </c>
      <c r="H101" s="170" t="s">
        <v>698</v>
      </c>
      <c r="I101" s="170" t="s">
        <v>676</v>
      </c>
    </row>
    <row r="102" spans="1:12" s="123" customFormat="1">
      <c r="A102" s="42" t="s">
        <v>686</v>
      </c>
      <c r="B102" s="177">
        <v>2061839</v>
      </c>
      <c r="C102" s="151" t="s">
        <v>691</v>
      </c>
      <c r="D102" s="177"/>
      <c r="E102" s="171">
        <v>11709</v>
      </c>
      <c r="F102" s="171"/>
      <c r="G102" s="171">
        <v>12016</v>
      </c>
      <c r="H102" s="170" t="s">
        <v>698</v>
      </c>
      <c r="I102" s="170" t="s">
        <v>633</v>
      </c>
    </row>
    <row r="103" spans="1:12" s="123" customFormat="1">
      <c r="A103" s="42" t="s">
        <v>686</v>
      </c>
      <c r="B103" s="177">
        <v>2064520</v>
      </c>
      <c r="C103" s="151" t="s">
        <v>691</v>
      </c>
      <c r="D103" s="177"/>
      <c r="E103" s="171">
        <v>11814</v>
      </c>
      <c r="F103" s="171"/>
      <c r="G103" s="171">
        <v>12037</v>
      </c>
      <c r="H103" s="170" t="s">
        <v>698</v>
      </c>
      <c r="I103" s="170" t="s">
        <v>595</v>
      </c>
    </row>
    <row r="104" spans="1:12" s="123" customFormat="1">
      <c r="A104" s="42" t="s">
        <v>686</v>
      </c>
      <c r="B104" s="177">
        <v>2062253</v>
      </c>
      <c r="C104" s="151" t="s">
        <v>691</v>
      </c>
      <c r="D104" s="177"/>
      <c r="E104" s="171">
        <v>11848</v>
      </c>
      <c r="F104" s="171"/>
      <c r="G104" s="171">
        <v>12016</v>
      </c>
      <c r="H104" s="170" t="s">
        <v>698</v>
      </c>
      <c r="I104" s="170" t="s">
        <v>572</v>
      </c>
      <c r="L104" s="42"/>
    </row>
    <row r="105" spans="1:12" s="123" customFormat="1">
      <c r="A105" s="42" t="s">
        <v>686</v>
      </c>
      <c r="B105" s="177">
        <v>2076771</v>
      </c>
      <c r="C105" s="151" t="s">
        <v>691</v>
      </c>
      <c r="D105" s="177"/>
      <c r="E105" s="171">
        <v>11866</v>
      </c>
      <c r="F105" s="171"/>
      <c r="G105" s="171">
        <v>12156</v>
      </c>
      <c r="H105" s="170" t="s">
        <v>698</v>
      </c>
      <c r="I105" s="170" t="s">
        <v>580</v>
      </c>
    </row>
    <row r="106" spans="1:12" s="123" customFormat="1">
      <c r="A106" s="42" t="s">
        <v>686</v>
      </c>
      <c r="B106" s="177">
        <v>2134175</v>
      </c>
      <c r="C106" s="151" t="s">
        <v>691</v>
      </c>
      <c r="D106" s="177"/>
      <c r="E106" s="180">
        <v>11866</v>
      </c>
      <c r="F106" s="171"/>
      <c r="G106" s="171">
        <v>12716</v>
      </c>
      <c r="H106" s="170" t="s">
        <v>698</v>
      </c>
      <c r="I106" s="170" t="s">
        <v>732</v>
      </c>
    </row>
    <row r="107" spans="1:12" s="123" customFormat="1">
      <c r="A107" s="42" t="s">
        <v>686</v>
      </c>
      <c r="B107" s="177">
        <v>2108398</v>
      </c>
      <c r="C107" s="151" t="s">
        <v>691</v>
      </c>
      <c r="D107" s="177"/>
      <c r="E107" s="171">
        <v>11913</v>
      </c>
      <c r="F107" s="171"/>
      <c r="G107" s="171">
        <v>12464</v>
      </c>
      <c r="H107" s="170" t="s">
        <v>698</v>
      </c>
      <c r="I107" s="170" t="s">
        <v>582</v>
      </c>
    </row>
    <row r="108" spans="1:12" s="123" customFormat="1">
      <c r="A108" s="42" t="s">
        <v>686</v>
      </c>
      <c r="B108" s="177">
        <v>2149397</v>
      </c>
      <c r="C108" s="151" t="s">
        <v>691</v>
      </c>
      <c r="D108" s="177"/>
      <c r="E108" s="171">
        <v>12076</v>
      </c>
      <c r="F108" s="171"/>
      <c r="G108" s="171">
        <v>12849</v>
      </c>
      <c r="H108" s="170" t="s">
        <v>583</v>
      </c>
      <c r="I108" s="170" t="s">
        <v>633</v>
      </c>
    </row>
    <row r="109" spans="1:12" s="123" customFormat="1">
      <c r="A109" s="42" t="s">
        <v>686</v>
      </c>
      <c r="B109" s="177">
        <v>2124528</v>
      </c>
      <c r="C109" s="151" t="s">
        <v>691</v>
      </c>
      <c r="D109" s="177"/>
      <c r="E109" s="171">
        <v>12090</v>
      </c>
      <c r="F109" s="171"/>
      <c r="G109" s="171">
        <v>12625</v>
      </c>
      <c r="H109" s="170" t="s">
        <v>518</v>
      </c>
      <c r="I109" s="170" t="s">
        <v>633</v>
      </c>
    </row>
    <row r="110" spans="1:12" s="123" customFormat="1">
      <c r="A110" s="42" t="s">
        <v>686</v>
      </c>
      <c r="B110" s="177">
        <v>2148424</v>
      </c>
      <c r="C110" s="151" t="s">
        <v>691</v>
      </c>
      <c r="D110" s="177"/>
      <c r="E110" s="171">
        <v>12090</v>
      </c>
      <c r="F110" s="171"/>
      <c r="G110" s="171">
        <v>12842</v>
      </c>
      <c r="H110" s="170" t="s">
        <v>583</v>
      </c>
      <c r="I110" s="170" t="s">
        <v>588</v>
      </c>
    </row>
    <row r="111" spans="1:12" s="123" customFormat="1">
      <c r="A111" s="42" t="s">
        <v>686</v>
      </c>
      <c r="B111" s="177">
        <v>2150206</v>
      </c>
      <c r="C111" s="151" t="s">
        <v>691</v>
      </c>
      <c r="D111" s="177"/>
      <c r="E111" s="171">
        <v>12090</v>
      </c>
      <c r="F111" s="171"/>
      <c r="G111" s="171">
        <v>12856</v>
      </c>
      <c r="H111" s="170" t="s">
        <v>583</v>
      </c>
      <c r="I111" s="170" t="s">
        <v>588</v>
      </c>
    </row>
    <row r="112" spans="1:12" s="123" customFormat="1">
      <c r="A112" s="42" t="s">
        <v>686</v>
      </c>
      <c r="B112" s="177">
        <v>2118313</v>
      </c>
      <c r="C112" s="151" t="s">
        <v>691</v>
      </c>
      <c r="D112" s="177"/>
      <c r="E112" s="171">
        <v>12097</v>
      </c>
      <c r="F112" s="171"/>
      <c r="G112" s="171">
        <v>12562</v>
      </c>
      <c r="H112" s="170" t="s">
        <v>698</v>
      </c>
      <c r="I112" s="170" t="s">
        <v>633</v>
      </c>
    </row>
    <row r="113" spans="1:12" s="123" customFormat="1">
      <c r="A113" s="42" t="s">
        <v>686</v>
      </c>
      <c r="B113" s="177">
        <v>2108399</v>
      </c>
      <c r="C113" s="151" t="s">
        <v>691</v>
      </c>
      <c r="D113" s="177"/>
      <c r="E113" s="171">
        <v>12139</v>
      </c>
      <c r="F113" s="171"/>
      <c r="G113" s="171">
        <v>12464</v>
      </c>
      <c r="H113" s="170" t="s">
        <v>698</v>
      </c>
      <c r="I113" s="170" t="s">
        <v>582</v>
      </c>
    </row>
    <row r="114" spans="1:12" s="123" customFormat="1">
      <c r="A114" s="177" t="s">
        <v>686</v>
      </c>
      <c r="B114" s="177">
        <v>2151955</v>
      </c>
      <c r="C114" s="151" t="s">
        <v>691</v>
      </c>
      <c r="D114" s="177"/>
      <c r="E114" s="171">
        <v>12207</v>
      </c>
      <c r="F114" s="171"/>
      <c r="G114" s="171">
        <v>12870</v>
      </c>
      <c r="H114" s="170" t="s">
        <v>583</v>
      </c>
      <c r="I114" s="170" t="s">
        <v>588</v>
      </c>
    </row>
    <row r="115" spans="1:12" s="123" customFormat="1">
      <c r="A115" s="42" t="s">
        <v>686</v>
      </c>
      <c r="B115" s="177">
        <v>2156679</v>
      </c>
      <c r="C115" s="151" t="s">
        <v>691</v>
      </c>
      <c r="D115" s="177"/>
      <c r="E115" s="171">
        <v>12258</v>
      </c>
      <c r="F115" s="171"/>
      <c r="G115" s="171">
        <v>12905</v>
      </c>
      <c r="H115" s="170" t="s">
        <v>583</v>
      </c>
      <c r="I115" s="170" t="s">
        <v>332</v>
      </c>
    </row>
    <row r="116" spans="1:12" s="123" customFormat="1">
      <c r="A116" s="42" t="s">
        <v>686</v>
      </c>
      <c r="B116" s="177">
        <v>2161251</v>
      </c>
      <c r="C116" s="151" t="s">
        <v>691</v>
      </c>
      <c r="D116" s="177"/>
      <c r="E116" s="171">
        <v>12363</v>
      </c>
      <c r="F116" s="171"/>
      <c r="G116" s="171">
        <v>12940</v>
      </c>
      <c r="H116" s="170" t="s">
        <v>583</v>
      </c>
      <c r="I116" s="170" t="s">
        <v>514</v>
      </c>
    </row>
    <row r="117" spans="1:12" s="123" customFormat="1">
      <c r="A117" s="42" t="s">
        <v>686</v>
      </c>
      <c r="B117" s="177">
        <v>2141141</v>
      </c>
      <c r="C117" s="151" t="s">
        <v>691</v>
      </c>
      <c r="D117" s="177"/>
      <c r="E117" s="171">
        <v>12414</v>
      </c>
      <c r="F117" s="171"/>
      <c r="G117" s="171">
        <v>12772</v>
      </c>
      <c r="H117" s="170" t="s">
        <v>583</v>
      </c>
      <c r="I117" s="170" t="s">
        <v>633</v>
      </c>
    </row>
    <row r="118" spans="1:12" s="123" customFormat="1">
      <c r="A118" s="177" t="s">
        <v>686</v>
      </c>
      <c r="B118" s="177">
        <v>2156677</v>
      </c>
      <c r="C118" s="151" t="s">
        <v>691</v>
      </c>
      <c r="D118" s="177"/>
      <c r="E118" s="171">
        <v>12440</v>
      </c>
      <c r="F118" s="171"/>
      <c r="G118" s="171">
        <v>12905</v>
      </c>
      <c r="H118" s="170" t="s">
        <v>583</v>
      </c>
      <c r="I118" s="170" t="s">
        <v>331</v>
      </c>
    </row>
    <row r="119" spans="1:12" s="123" customFormat="1">
      <c r="A119" s="42" t="s">
        <v>686</v>
      </c>
      <c r="B119" s="177">
        <v>2218109</v>
      </c>
      <c r="C119" s="151" t="s">
        <v>691</v>
      </c>
      <c r="D119" s="177"/>
      <c r="E119" s="171">
        <v>12451</v>
      </c>
      <c r="F119" s="171"/>
      <c r="G119" s="171">
        <v>13437</v>
      </c>
      <c r="H119" s="170" t="s">
        <v>583</v>
      </c>
      <c r="I119" s="170" t="s">
        <v>457</v>
      </c>
    </row>
    <row r="120" spans="1:12" s="123" customFormat="1">
      <c r="A120" s="177" t="s">
        <v>686</v>
      </c>
      <c r="B120" s="177">
        <v>2150859</v>
      </c>
      <c r="C120" s="151" t="s">
        <v>691</v>
      </c>
      <c r="D120" s="177"/>
      <c r="E120" s="171">
        <v>12577</v>
      </c>
      <c r="F120" s="171"/>
      <c r="G120" s="171">
        <v>12856</v>
      </c>
      <c r="H120" s="170" t="s">
        <v>583</v>
      </c>
      <c r="I120" s="170" t="s">
        <v>455</v>
      </c>
    </row>
    <row r="121" spans="1:12" s="123" customFormat="1">
      <c r="A121" s="42" t="s">
        <v>686</v>
      </c>
      <c r="B121" s="177">
        <v>2259693</v>
      </c>
      <c r="C121" s="151" t="s">
        <v>691</v>
      </c>
      <c r="D121" s="177"/>
      <c r="E121" s="171">
        <v>13118</v>
      </c>
      <c r="F121" s="171"/>
      <c r="G121" s="171">
        <v>13808</v>
      </c>
      <c r="H121" s="170" t="s">
        <v>583</v>
      </c>
      <c r="I121" s="170" t="s">
        <v>208</v>
      </c>
    </row>
    <row r="122" spans="1:12" s="123" customFormat="1">
      <c r="A122" s="42" t="s">
        <v>686</v>
      </c>
      <c r="B122" s="177">
        <v>2395648</v>
      </c>
      <c r="C122" s="151" t="s">
        <v>691</v>
      </c>
      <c r="D122" s="177"/>
      <c r="E122" s="171">
        <v>13223</v>
      </c>
      <c r="F122" s="171"/>
      <c r="G122" s="200">
        <v>15397</v>
      </c>
      <c r="H122" s="207" t="s">
        <v>583</v>
      </c>
      <c r="I122" s="207" t="s">
        <v>607</v>
      </c>
    </row>
    <row r="123" spans="1:12" s="123" customFormat="1">
      <c r="A123" s="42" t="s">
        <v>686</v>
      </c>
      <c r="B123" s="177">
        <v>2239650</v>
      </c>
      <c r="C123" s="151" t="s">
        <v>691</v>
      </c>
      <c r="D123" s="177"/>
      <c r="E123" s="171">
        <v>13227</v>
      </c>
      <c r="F123" s="171"/>
      <c r="G123" s="171">
        <v>13626</v>
      </c>
      <c r="H123" s="170" t="s">
        <v>583</v>
      </c>
      <c r="I123" s="170" t="s">
        <v>458</v>
      </c>
    </row>
    <row r="124" spans="1:12" s="123" customFormat="1">
      <c r="A124" s="177" t="s">
        <v>686</v>
      </c>
      <c r="B124" s="177">
        <v>2250809</v>
      </c>
      <c r="C124" s="151" t="s">
        <v>691</v>
      </c>
      <c r="D124" s="177" t="s">
        <v>333</v>
      </c>
      <c r="E124" s="171">
        <v>13227</v>
      </c>
      <c r="F124" s="171">
        <v>13594</v>
      </c>
      <c r="G124" s="171">
        <v>13724</v>
      </c>
      <c r="H124" s="170" t="s">
        <v>583</v>
      </c>
      <c r="I124" s="170" t="s">
        <v>458</v>
      </c>
      <c r="L124" s="42"/>
    </row>
    <row r="125" spans="1:12" s="123" customFormat="1">
      <c r="A125" s="177" t="s">
        <v>686</v>
      </c>
      <c r="B125" s="177">
        <v>2250682</v>
      </c>
      <c r="C125" s="151" t="s">
        <v>691</v>
      </c>
      <c r="D125" s="177"/>
      <c r="E125" s="171">
        <v>13278</v>
      </c>
      <c r="F125" s="171"/>
      <c r="G125" s="171">
        <v>13724</v>
      </c>
      <c r="H125" s="170" t="s">
        <v>583</v>
      </c>
      <c r="I125" s="170" t="s">
        <v>707</v>
      </c>
    </row>
    <row r="126" spans="1:12" s="123" customFormat="1">
      <c r="A126" s="42" t="s">
        <v>686</v>
      </c>
      <c r="B126" s="177">
        <v>2243416</v>
      </c>
      <c r="C126" s="151" t="s">
        <v>691</v>
      </c>
      <c r="D126" s="177"/>
      <c r="E126" s="171">
        <v>13284</v>
      </c>
      <c r="F126" s="171"/>
      <c r="G126" s="171">
        <v>13661</v>
      </c>
      <c r="H126" s="170" t="s">
        <v>583</v>
      </c>
      <c r="I126" s="170" t="s">
        <v>588</v>
      </c>
    </row>
    <row r="127" spans="1:12" s="123" customFormat="1">
      <c r="A127" s="42" t="s">
        <v>686</v>
      </c>
      <c r="B127" s="177">
        <v>2243418</v>
      </c>
      <c r="C127" s="151" t="s">
        <v>691</v>
      </c>
      <c r="D127" s="177"/>
      <c r="E127" s="171">
        <v>13284</v>
      </c>
      <c r="F127" s="171"/>
      <c r="G127" s="171">
        <v>13661</v>
      </c>
      <c r="H127" s="170" t="s">
        <v>583</v>
      </c>
      <c r="I127" s="170" t="s">
        <v>588</v>
      </c>
    </row>
    <row r="128" spans="1:12" s="123" customFormat="1">
      <c r="A128" s="42" t="s">
        <v>686</v>
      </c>
      <c r="B128" s="177">
        <v>2240804</v>
      </c>
      <c r="C128" s="151" t="s">
        <v>691</v>
      </c>
      <c r="D128" s="177"/>
      <c r="E128" s="171">
        <v>13297</v>
      </c>
      <c r="F128" s="171"/>
      <c r="G128" s="171">
        <v>13640</v>
      </c>
      <c r="H128" s="170" t="s">
        <v>583</v>
      </c>
      <c r="I128" s="170" t="s">
        <v>707</v>
      </c>
      <c r="L128" s="207"/>
    </row>
    <row r="129" spans="1:9" s="123" customFormat="1">
      <c r="A129" s="42" t="s">
        <v>686</v>
      </c>
      <c r="B129" s="177">
        <v>2269651</v>
      </c>
      <c r="C129" s="151" t="s">
        <v>691</v>
      </c>
      <c r="D129" s="177"/>
      <c r="E129" s="171">
        <v>13385</v>
      </c>
      <c r="F129" s="171"/>
      <c r="G129" s="171">
        <v>13892</v>
      </c>
      <c r="H129" s="170" t="s">
        <v>583</v>
      </c>
      <c r="I129" s="170" t="s">
        <v>588</v>
      </c>
    </row>
    <row r="130" spans="1:9" s="123" customFormat="1">
      <c r="A130" s="42" t="s">
        <v>686</v>
      </c>
      <c r="B130" s="177">
        <v>2246901</v>
      </c>
      <c r="C130" s="151" t="s">
        <v>691</v>
      </c>
      <c r="D130" s="177"/>
      <c r="E130" s="171">
        <v>13476</v>
      </c>
      <c r="F130" s="171"/>
      <c r="G130" s="171">
        <v>13689</v>
      </c>
      <c r="H130" s="170" t="s">
        <v>583</v>
      </c>
      <c r="I130" s="170" t="s">
        <v>707</v>
      </c>
    </row>
    <row r="131" spans="1:9" s="123" customFormat="1">
      <c r="A131" s="177" t="s">
        <v>686</v>
      </c>
      <c r="B131" s="177">
        <v>2253201</v>
      </c>
      <c r="C131" s="151" t="s">
        <v>691</v>
      </c>
      <c r="D131" s="177"/>
      <c r="E131" s="171">
        <v>13490</v>
      </c>
      <c r="F131" s="171"/>
      <c r="G131" s="171">
        <v>13745</v>
      </c>
      <c r="H131" s="170" t="s">
        <v>583</v>
      </c>
      <c r="I131" s="170" t="s">
        <v>207</v>
      </c>
    </row>
    <row r="132" spans="1:9" s="123" customFormat="1">
      <c r="A132" s="42" t="s">
        <v>686</v>
      </c>
      <c r="B132" s="177">
        <v>2267396</v>
      </c>
      <c r="C132" s="151" t="s">
        <v>691</v>
      </c>
      <c r="D132" s="177"/>
      <c r="E132" s="171">
        <v>13497</v>
      </c>
      <c r="F132" s="171"/>
      <c r="G132" s="171">
        <v>13871</v>
      </c>
      <c r="H132" s="170" t="s">
        <v>583</v>
      </c>
      <c r="I132" s="170" t="s">
        <v>588</v>
      </c>
    </row>
    <row r="133" spans="1:9" s="123" customFormat="1">
      <c r="A133" s="42" t="s">
        <v>686</v>
      </c>
      <c r="B133" s="177">
        <v>2259229</v>
      </c>
      <c r="C133" s="151" t="s">
        <v>691</v>
      </c>
      <c r="D133" s="177"/>
      <c r="E133" s="171">
        <v>13546</v>
      </c>
      <c r="F133" s="171"/>
      <c r="G133" s="171">
        <v>13801</v>
      </c>
      <c r="H133" s="170" t="s">
        <v>583</v>
      </c>
      <c r="I133" s="170" t="s">
        <v>707</v>
      </c>
    </row>
    <row r="134" spans="1:9" s="123" customFormat="1">
      <c r="A134" s="42" t="s">
        <v>686</v>
      </c>
      <c r="B134" s="177">
        <v>2286301</v>
      </c>
      <c r="C134" s="151" t="s">
        <v>691</v>
      </c>
      <c r="D134" s="177"/>
      <c r="E134" s="171">
        <v>13573</v>
      </c>
      <c r="F134" s="171"/>
      <c r="G134" s="171">
        <v>14046</v>
      </c>
      <c r="H134" s="170" t="s">
        <v>583</v>
      </c>
      <c r="I134" s="170" t="s">
        <v>676</v>
      </c>
    </row>
    <row r="135" spans="1:9" s="123" customFormat="1">
      <c r="A135" s="42" t="s">
        <v>686</v>
      </c>
      <c r="B135" s="177">
        <v>2286302</v>
      </c>
      <c r="C135" s="151" t="s">
        <v>691</v>
      </c>
      <c r="D135" s="177"/>
      <c r="E135" s="171">
        <v>13573</v>
      </c>
      <c r="F135" s="171"/>
      <c r="G135" s="171">
        <v>14046</v>
      </c>
      <c r="H135" s="170" t="s">
        <v>583</v>
      </c>
      <c r="I135" s="170" t="s">
        <v>676</v>
      </c>
    </row>
    <row r="136" spans="1:9" s="123" customFormat="1">
      <c r="A136" s="177" t="s">
        <v>686</v>
      </c>
      <c r="B136" s="177">
        <v>2298652</v>
      </c>
      <c r="C136" s="151" t="s">
        <v>691</v>
      </c>
      <c r="D136" s="177"/>
      <c r="E136" s="171">
        <v>13630</v>
      </c>
      <c r="F136" s="171"/>
      <c r="G136" s="171">
        <v>14165</v>
      </c>
      <c r="H136" s="170" t="s">
        <v>583</v>
      </c>
      <c r="I136" s="170" t="s">
        <v>207</v>
      </c>
    </row>
    <row r="137" spans="1:9" s="123" customFormat="1">
      <c r="A137" s="42" t="s">
        <v>686</v>
      </c>
      <c r="B137" s="177">
        <v>2281222</v>
      </c>
      <c r="C137" s="151" t="s">
        <v>691</v>
      </c>
      <c r="D137" s="177"/>
      <c r="E137" s="171">
        <v>13784</v>
      </c>
      <c r="F137" s="171"/>
      <c r="G137" s="171">
        <v>13997</v>
      </c>
      <c r="H137" s="170" t="s">
        <v>583</v>
      </c>
      <c r="I137" s="170" t="s">
        <v>209</v>
      </c>
    </row>
    <row r="138" spans="1:9" s="123" customFormat="1">
      <c r="A138" s="42" t="s">
        <v>686</v>
      </c>
      <c r="B138" s="177">
        <v>2281862</v>
      </c>
      <c r="C138" s="151" t="s">
        <v>691</v>
      </c>
      <c r="D138" s="177"/>
      <c r="E138" s="171">
        <v>13794</v>
      </c>
      <c r="F138" s="171"/>
      <c r="G138" s="171">
        <v>14004</v>
      </c>
      <c r="H138" s="170" t="s">
        <v>583</v>
      </c>
      <c r="I138" s="170" t="s">
        <v>207</v>
      </c>
    </row>
    <row r="139" spans="1:9" s="123" customFormat="1">
      <c r="A139" s="177" t="s">
        <v>686</v>
      </c>
      <c r="B139" s="177">
        <v>2302896</v>
      </c>
      <c r="C139" s="151" t="s">
        <v>691</v>
      </c>
      <c r="D139" s="177"/>
      <c r="E139" s="171">
        <v>13805</v>
      </c>
      <c r="F139" s="171"/>
      <c r="G139" s="171">
        <v>14207</v>
      </c>
      <c r="H139" s="170" t="s">
        <v>583</v>
      </c>
      <c r="I139" s="170" t="s">
        <v>207</v>
      </c>
    </row>
    <row r="140" spans="1:9" s="123" customFormat="1">
      <c r="A140" s="42" t="s">
        <v>686</v>
      </c>
      <c r="B140" s="177">
        <v>2320947</v>
      </c>
      <c r="C140" s="151" t="s">
        <v>691</v>
      </c>
      <c r="D140" s="177"/>
      <c r="E140" s="171">
        <v>13903</v>
      </c>
      <c r="F140" s="171"/>
      <c r="G140" s="171">
        <v>14396</v>
      </c>
      <c r="H140" s="170" t="s">
        <v>583</v>
      </c>
      <c r="I140" s="170" t="s">
        <v>338</v>
      </c>
    </row>
    <row r="141" spans="1:9" s="123" customFormat="1">
      <c r="A141" s="42" t="s">
        <v>686</v>
      </c>
      <c r="B141" s="177">
        <v>2330028</v>
      </c>
      <c r="C141" s="151" t="s">
        <v>691</v>
      </c>
      <c r="D141" s="177"/>
      <c r="E141" s="171">
        <v>13920</v>
      </c>
      <c r="F141" s="171"/>
      <c r="G141" s="171">
        <v>14508</v>
      </c>
      <c r="H141" s="170" t="s">
        <v>583</v>
      </c>
      <c r="I141" s="170" t="s">
        <v>339</v>
      </c>
    </row>
    <row r="142" spans="1:9" s="123" customFormat="1">
      <c r="A142" s="42" t="s">
        <v>686</v>
      </c>
      <c r="B142" s="177">
        <v>2332665</v>
      </c>
      <c r="C142" s="151" t="s">
        <v>691</v>
      </c>
      <c r="D142" s="177"/>
      <c r="E142" s="171">
        <v>13936</v>
      </c>
      <c r="F142" s="171"/>
      <c r="G142" s="171">
        <v>14543</v>
      </c>
      <c r="H142" s="170" t="s">
        <v>583</v>
      </c>
      <c r="I142" s="170" t="s">
        <v>676</v>
      </c>
    </row>
    <row r="143" spans="1:9" s="123" customFormat="1">
      <c r="A143" s="42" t="s">
        <v>686</v>
      </c>
      <c r="B143" s="177">
        <v>2336032</v>
      </c>
      <c r="C143" s="151" t="s">
        <v>691</v>
      </c>
      <c r="D143" s="177"/>
      <c r="E143" s="171">
        <v>13936</v>
      </c>
      <c r="F143" s="171"/>
      <c r="G143" s="171">
        <v>14585</v>
      </c>
      <c r="H143" s="170" t="s">
        <v>583</v>
      </c>
      <c r="I143" s="170" t="s">
        <v>676</v>
      </c>
    </row>
    <row r="144" spans="1:9" s="123" customFormat="1">
      <c r="A144" s="42" t="s">
        <v>686</v>
      </c>
      <c r="B144" s="177">
        <v>2312447</v>
      </c>
      <c r="C144" s="151" t="s">
        <v>691</v>
      </c>
      <c r="D144" s="177"/>
      <c r="E144" s="171">
        <v>13941</v>
      </c>
      <c r="F144" s="171"/>
      <c r="G144" s="171">
        <v>14305</v>
      </c>
      <c r="H144" s="170" t="s">
        <v>583</v>
      </c>
      <c r="I144" s="170" t="s">
        <v>337</v>
      </c>
    </row>
    <row r="145" spans="1:9" s="123" customFormat="1">
      <c r="A145" s="42" t="s">
        <v>686</v>
      </c>
      <c r="B145" s="177">
        <v>2308973</v>
      </c>
      <c r="C145" s="151" t="s">
        <v>691</v>
      </c>
      <c r="D145" s="177"/>
      <c r="E145" s="171">
        <v>13952</v>
      </c>
      <c r="F145" s="171"/>
      <c r="G145" s="171">
        <v>14263</v>
      </c>
      <c r="H145" s="170" t="s">
        <v>583</v>
      </c>
      <c r="I145" s="170" t="s">
        <v>588</v>
      </c>
    </row>
    <row r="146" spans="1:9" s="123" customFormat="1">
      <c r="A146" s="177" t="s">
        <v>686</v>
      </c>
      <c r="B146" s="177">
        <v>2305448</v>
      </c>
      <c r="C146" s="151" t="s">
        <v>691</v>
      </c>
      <c r="D146" s="177"/>
      <c r="E146" s="171">
        <v>14001</v>
      </c>
      <c r="F146" s="171"/>
      <c r="G146" s="171">
        <v>14228</v>
      </c>
      <c r="H146" s="170" t="s">
        <v>583</v>
      </c>
      <c r="I146" s="170" t="s">
        <v>207</v>
      </c>
    </row>
    <row r="147" spans="1:9" s="123" customFormat="1">
      <c r="A147" s="42" t="s">
        <v>686</v>
      </c>
      <c r="B147" s="177">
        <v>2395611</v>
      </c>
      <c r="C147" s="151" t="s">
        <v>691</v>
      </c>
      <c r="D147" s="177"/>
      <c r="E147" s="171">
        <v>14174</v>
      </c>
      <c r="F147" s="171"/>
      <c r="G147" s="200">
        <v>15397</v>
      </c>
      <c r="H147" s="207" t="s">
        <v>583</v>
      </c>
      <c r="I147" s="207" t="s">
        <v>331</v>
      </c>
    </row>
    <row r="148" spans="1:9" s="123" customFormat="1">
      <c r="A148" s="42" t="s">
        <v>686</v>
      </c>
      <c r="B148" s="177">
        <v>2419683</v>
      </c>
      <c r="C148" s="151" t="s">
        <v>691</v>
      </c>
      <c r="D148" s="177"/>
      <c r="E148" s="171">
        <v>14239</v>
      </c>
      <c r="F148" s="171"/>
      <c r="G148" s="200">
        <v>15824</v>
      </c>
      <c r="H148" s="207" t="s">
        <v>583</v>
      </c>
      <c r="I148" s="207" t="s">
        <v>608</v>
      </c>
    </row>
    <row r="149" spans="1:9" s="123" customFormat="1">
      <c r="A149" s="42" t="s">
        <v>686</v>
      </c>
      <c r="B149" s="177">
        <v>2355211</v>
      </c>
      <c r="C149" s="151" t="s">
        <v>691</v>
      </c>
      <c r="D149" s="177"/>
      <c r="E149" s="171">
        <v>14267</v>
      </c>
      <c r="F149" s="171"/>
      <c r="G149" s="171">
        <v>14828</v>
      </c>
      <c r="H149" s="170" t="s">
        <v>583</v>
      </c>
      <c r="I149" s="170" t="s">
        <v>341</v>
      </c>
    </row>
    <row r="150" spans="1:9" s="123" customFormat="1">
      <c r="A150" s="177" t="s">
        <v>686</v>
      </c>
      <c r="B150" s="177">
        <v>2388681</v>
      </c>
      <c r="C150" s="151" t="s">
        <v>691</v>
      </c>
      <c r="D150" s="177"/>
      <c r="E150" s="171">
        <v>14316</v>
      </c>
      <c r="F150" s="171"/>
      <c r="G150" s="171">
        <v>15292</v>
      </c>
      <c r="H150" s="123" t="s">
        <v>344</v>
      </c>
      <c r="I150" s="123" t="s">
        <v>738</v>
      </c>
    </row>
    <row r="151" spans="1:9" s="123" customFormat="1">
      <c r="A151" s="177" t="s">
        <v>686</v>
      </c>
      <c r="B151" s="177">
        <v>2431686</v>
      </c>
      <c r="C151" s="151" t="s">
        <v>691</v>
      </c>
      <c r="D151" s="177"/>
      <c r="E151" s="171">
        <v>14446</v>
      </c>
      <c r="F151" s="171"/>
      <c r="G151" s="171">
        <v>16041</v>
      </c>
      <c r="H151" s="123" t="s">
        <v>344</v>
      </c>
      <c r="I151" s="123" t="s">
        <v>738</v>
      </c>
    </row>
    <row r="152" spans="1:9" s="123" customFormat="1">
      <c r="A152" s="42" t="s">
        <v>686</v>
      </c>
      <c r="B152" s="177">
        <v>2348896</v>
      </c>
      <c r="C152" s="151" t="s">
        <v>691</v>
      </c>
      <c r="D152" s="177"/>
      <c r="E152" s="171">
        <v>14470</v>
      </c>
      <c r="F152" s="171"/>
      <c r="G152" s="171">
        <v>14746</v>
      </c>
      <c r="H152" s="170" t="s">
        <v>583</v>
      </c>
      <c r="I152" s="170" t="s">
        <v>340</v>
      </c>
    </row>
    <row r="153" spans="1:9" s="123" customFormat="1">
      <c r="A153" s="42" t="s">
        <v>686</v>
      </c>
      <c r="B153" s="177">
        <v>2360835</v>
      </c>
      <c r="C153" s="151" t="s">
        <v>691</v>
      </c>
      <c r="D153" s="177"/>
      <c r="E153" s="171">
        <v>14540</v>
      </c>
      <c r="F153" s="171"/>
      <c r="G153" s="171">
        <v>14907</v>
      </c>
      <c r="H153" s="123" t="s">
        <v>583</v>
      </c>
      <c r="I153" s="42" t="s">
        <v>342</v>
      </c>
    </row>
    <row r="154" spans="1:9" s="123" customFormat="1">
      <c r="A154" s="42" t="s">
        <v>686</v>
      </c>
      <c r="B154" s="177">
        <v>2394234</v>
      </c>
      <c r="C154" s="151" t="s">
        <v>691</v>
      </c>
      <c r="D154" s="177"/>
      <c r="E154" s="171">
        <v>14547</v>
      </c>
      <c r="F154" s="171"/>
      <c r="G154" s="171">
        <v>15376</v>
      </c>
      <c r="H154" s="123" t="s">
        <v>583</v>
      </c>
      <c r="I154" s="123" t="s">
        <v>606</v>
      </c>
    </row>
    <row r="155" spans="1:9" s="123" customFormat="1">
      <c r="A155" s="42" t="s">
        <v>686</v>
      </c>
      <c r="B155" s="42">
        <v>2441922</v>
      </c>
      <c r="C155" s="151" t="s">
        <v>691</v>
      </c>
      <c r="D155" s="177">
        <v>511002</v>
      </c>
      <c r="E155" s="171">
        <v>14568</v>
      </c>
      <c r="F155" s="171"/>
      <c r="G155" s="159">
        <v>16209</v>
      </c>
      <c r="H155" s="123" t="s">
        <v>583</v>
      </c>
      <c r="I155" s="123" t="s">
        <v>617</v>
      </c>
    </row>
    <row r="156" spans="1:9" s="123" customFormat="1">
      <c r="A156" s="177" t="s">
        <v>686</v>
      </c>
      <c r="B156" s="177">
        <v>2393900</v>
      </c>
      <c r="C156" s="151" t="s">
        <v>691</v>
      </c>
      <c r="D156" s="177"/>
      <c r="E156" s="171">
        <v>14572</v>
      </c>
      <c r="F156" s="171"/>
      <c r="G156" s="171">
        <v>15369</v>
      </c>
      <c r="H156" s="123" t="s">
        <v>583</v>
      </c>
      <c r="I156" s="123" t="s">
        <v>345</v>
      </c>
    </row>
    <row r="157" spans="1:9" s="123" customFormat="1">
      <c r="A157" s="42" t="s">
        <v>686</v>
      </c>
      <c r="B157" s="177">
        <v>2436797</v>
      </c>
      <c r="C157" s="151" t="s">
        <v>691</v>
      </c>
      <c r="D157" s="177"/>
      <c r="E157" s="171">
        <v>14605</v>
      </c>
      <c r="F157" s="171"/>
      <c r="G157" s="159">
        <v>16132</v>
      </c>
      <c r="H157" s="123" t="s">
        <v>344</v>
      </c>
      <c r="I157" s="123" t="s">
        <v>481</v>
      </c>
    </row>
    <row r="158" spans="1:9" s="123" customFormat="1">
      <c r="A158" s="42" t="s">
        <v>686</v>
      </c>
      <c r="B158" s="177">
        <v>2395629</v>
      </c>
      <c r="C158" s="151" t="s">
        <v>691</v>
      </c>
      <c r="D158" s="177"/>
      <c r="E158" s="171">
        <v>14721</v>
      </c>
      <c r="F158" s="171"/>
      <c r="G158" s="159">
        <v>15397</v>
      </c>
      <c r="H158" s="123" t="s">
        <v>583</v>
      </c>
      <c r="I158" s="123" t="s">
        <v>633</v>
      </c>
    </row>
    <row r="159" spans="1:9" s="123" customFormat="1">
      <c r="A159" s="42" t="s">
        <v>686</v>
      </c>
      <c r="B159" s="177">
        <v>2420407</v>
      </c>
      <c r="C159" s="151" t="s">
        <v>691</v>
      </c>
      <c r="D159" s="177"/>
      <c r="E159" s="171">
        <v>14740</v>
      </c>
      <c r="F159" s="171"/>
      <c r="G159" s="159">
        <v>15838</v>
      </c>
      <c r="H159" s="123" t="s">
        <v>583</v>
      </c>
      <c r="I159" s="123" t="s">
        <v>609</v>
      </c>
    </row>
    <row r="160" spans="1:9" s="123" customFormat="1">
      <c r="A160" s="177" t="s">
        <v>686</v>
      </c>
      <c r="B160" s="177">
        <v>2434492</v>
      </c>
      <c r="C160" s="151" t="s">
        <v>691</v>
      </c>
      <c r="D160" s="177" t="s">
        <v>610</v>
      </c>
      <c r="E160" s="171">
        <v>14890</v>
      </c>
      <c r="F160" s="171">
        <v>15208</v>
      </c>
      <c r="G160" s="159">
        <v>16083</v>
      </c>
      <c r="H160" s="123" t="s">
        <v>583</v>
      </c>
      <c r="I160" s="123" t="s">
        <v>479</v>
      </c>
    </row>
    <row r="161" spans="1:12" s="123" customFormat="1">
      <c r="A161" s="177" t="s">
        <v>686</v>
      </c>
      <c r="B161" s="177">
        <v>2434511</v>
      </c>
      <c r="C161" s="151" t="s">
        <v>691</v>
      </c>
      <c r="D161" s="177"/>
      <c r="E161" s="171">
        <v>14890</v>
      </c>
      <c r="F161" s="171"/>
      <c r="G161" s="159">
        <v>16083</v>
      </c>
      <c r="H161" s="123" t="s">
        <v>583</v>
      </c>
      <c r="I161" s="123" t="s">
        <v>480</v>
      </c>
    </row>
    <row r="162" spans="1:12" s="123" customFormat="1">
      <c r="A162" s="177" t="s">
        <v>686</v>
      </c>
      <c r="B162" s="177">
        <v>2380607</v>
      </c>
      <c r="C162" s="151" t="s">
        <v>691</v>
      </c>
      <c r="D162" s="177"/>
      <c r="E162" s="171">
        <v>14994</v>
      </c>
      <c r="F162" s="171"/>
      <c r="G162" s="171">
        <v>15187</v>
      </c>
      <c r="H162" s="123" t="s">
        <v>583</v>
      </c>
      <c r="I162" s="123" t="s">
        <v>343</v>
      </c>
    </row>
    <row r="163" spans="1:12" s="123" customFormat="1">
      <c r="A163" s="42" t="s">
        <v>686</v>
      </c>
      <c r="B163" s="42">
        <v>2449397</v>
      </c>
      <c r="C163" s="151" t="s">
        <v>691</v>
      </c>
      <c r="D163" s="177">
        <v>575418</v>
      </c>
      <c r="E163" s="171">
        <v>15006</v>
      </c>
      <c r="F163" s="171"/>
      <c r="G163" s="159">
        <v>16328</v>
      </c>
      <c r="H163" s="123" t="s">
        <v>583</v>
      </c>
      <c r="I163" s="123" t="s">
        <v>482</v>
      </c>
    </row>
    <row r="164" spans="1:12" s="123" customFormat="1">
      <c r="A164" s="42" t="s">
        <v>686</v>
      </c>
      <c r="B164" s="177">
        <v>2503406</v>
      </c>
      <c r="C164" s="151" t="s">
        <v>691</v>
      </c>
      <c r="D164" s="177">
        <v>575873</v>
      </c>
      <c r="E164" s="171">
        <v>15008</v>
      </c>
      <c r="F164" s="171"/>
      <c r="G164" s="159">
        <v>16902</v>
      </c>
      <c r="H164" s="123" t="s">
        <v>583</v>
      </c>
      <c r="I164" s="123" t="s">
        <v>480</v>
      </c>
    </row>
    <row r="165" spans="1:12" s="123" customFormat="1">
      <c r="A165" s="42" t="s">
        <v>686</v>
      </c>
      <c r="B165" s="177">
        <v>2485913</v>
      </c>
      <c r="C165" s="151" t="s">
        <v>691</v>
      </c>
      <c r="D165" s="177">
        <v>575874</v>
      </c>
      <c r="E165" s="171">
        <v>15008</v>
      </c>
      <c r="F165" s="171"/>
      <c r="G165" s="159">
        <v>16734</v>
      </c>
      <c r="H165" s="123" t="s">
        <v>583</v>
      </c>
      <c r="I165" s="123" t="s">
        <v>618</v>
      </c>
    </row>
    <row r="166" spans="1:12" s="123" customFormat="1">
      <c r="A166" s="177" t="s">
        <v>686</v>
      </c>
      <c r="B166" s="42">
        <v>2531202</v>
      </c>
      <c r="C166" s="151" t="s">
        <v>691</v>
      </c>
      <c r="D166" s="177">
        <v>591914</v>
      </c>
      <c r="E166" s="171">
        <v>15099</v>
      </c>
      <c r="F166" s="171"/>
      <c r="G166" s="159">
        <v>17126</v>
      </c>
      <c r="H166" s="123" t="s">
        <v>344</v>
      </c>
      <c r="I166" s="123" t="s">
        <v>738</v>
      </c>
      <c r="L166" s="179" t="s">
        <v>619</v>
      </c>
    </row>
    <row r="167" spans="1:12" s="123" customFormat="1">
      <c r="A167" s="177" t="s">
        <v>686</v>
      </c>
      <c r="B167" s="177">
        <v>2544561</v>
      </c>
      <c r="C167" s="151" t="s">
        <v>691</v>
      </c>
      <c r="D167" s="177">
        <v>598754</v>
      </c>
      <c r="E167" s="171">
        <v>15137</v>
      </c>
      <c r="F167" s="171"/>
      <c r="G167" s="159">
        <v>17231</v>
      </c>
      <c r="H167" s="123" t="s">
        <v>583</v>
      </c>
      <c r="I167" s="123" t="s">
        <v>625</v>
      </c>
    </row>
    <row r="168" spans="1:12" s="123" customFormat="1">
      <c r="A168" s="177" t="s">
        <v>686</v>
      </c>
      <c r="B168" s="177">
        <v>2467531</v>
      </c>
      <c r="C168" s="151" t="s">
        <v>691</v>
      </c>
      <c r="D168" s="177">
        <v>603170</v>
      </c>
      <c r="E168" s="171">
        <v>15160</v>
      </c>
      <c r="F168" s="171"/>
      <c r="G168" s="159">
        <v>16545</v>
      </c>
      <c r="H168" s="123" t="s">
        <v>583</v>
      </c>
      <c r="I168" s="123" t="s">
        <v>626</v>
      </c>
      <c r="L168" s="207"/>
    </row>
    <row r="169" spans="1:12" s="123" customFormat="1">
      <c r="A169" s="42" t="s">
        <v>686</v>
      </c>
      <c r="B169" s="177">
        <v>2429806</v>
      </c>
      <c r="C169" s="151" t="s">
        <v>691</v>
      </c>
      <c r="D169" s="177"/>
      <c r="E169" s="171">
        <v>15233</v>
      </c>
      <c r="F169" s="171"/>
      <c r="G169" s="159">
        <v>16006</v>
      </c>
      <c r="H169" s="123" t="s">
        <v>344</v>
      </c>
      <c r="I169" s="123" t="s">
        <v>738</v>
      </c>
    </row>
    <row r="170" spans="1:12" s="123" customFormat="1">
      <c r="A170" s="42" t="s">
        <v>686</v>
      </c>
      <c r="B170" s="177">
        <v>2441277</v>
      </c>
      <c r="C170" s="151" t="s">
        <v>691</v>
      </c>
      <c r="D170" s="177">
        <v>622223</v>
      </c>
      <c r="E170" s="171">
        <v>15261</v>
      </c>
      <c r="F170" s="171"/>
      <c r="G170" s="159">
        <v>16202</v>
      </c>
      <c r="H170" s="123" t="s">
        <v>583</v>
      </c>
      <c r="I170" s="123" t="s">
        <v>482</v>
      </c>
    </row>
    <row r="171" spans="1:12" s="123" customFormat="1">
      <c r="A171" s="42" t="s">
        <v>686</v>
      </c>
      <c r="B171" s="177">
        <v>2508524</v>
      </c>
      <c r="C171" s="151" t="s">
        <v>691</v>
      </c>
      <c r="D171" s="177">
        <v>635371</v>
      </c>
      <c r="E171" s="171">
        <v>15324</v>
      </c>
      <c r="F171" s="171"/>
      <c r="G171" s="159">
        <v>16944</v>
      </c>
      <c r="H171" s="123" t="s">
        <v>583</v>
      </c>
      <c r="I171" s="123" t="s">
        <v>627</v>
      </c>
    </row>
    <row r="172" spans="1:12" s="123" customFormat="1">
      <c r="A172" s="42" t="s">
        <v>686</v>
      </c>
      <c r="B172" s="177">
        <v>2567753</v>
      </c>
      <c r="C172" s="151" t="s">
        <v>691</v>
      </c>
      <c r="D172" s="177">
        <v>652137</v>
      </c>
      <c r="E172" s="171">
        <v>15404</v>
      </c>
      <c r="F172" s="171"/>
      <c r="G172" s="159">
        <v>17420</v>
      </c>
      <c r="H172" s="123" t="s">
        <v>583</v>
      </c>
      <c r="I172" s="123" t="s">
        <v>628</v>
      </c>
    </row>
    <row r="173" spans="1:12" s="123" customFormat="1">
      <c r="A173" s="42" t="s">
        <v>686</v>
      </c>
      <c r="B173" s="177">
        <v>1964948</v>
      </c>
      <c r="C173" s="151" t="s">
        <v>691</v>
      </c>
      <c r="D173" s="177"/>
      <c r="E173" s="175"/>
      <c r="F173" s="175"/>
      <c r="G173" s="175"/>
      <c r="H173" s="174" t="s">
        <v>266</v>
      </c>
      <c r="I173" s="174" t="s">
        <v>267</v>
      </c>
      <c r="J173" s="173"/>
      <c r="K173" s="173"/>
      <c r="L173" s="176" t="s">
        <v>400</v>
      </c>
    </row>
    <row r="175" spans="1:12" s="42" customFormat="1">
      <c r="A175" s="42" t="s">
        <v>686</v>
      </c>
      <c r="B175" s="42" t="s">
        <v>687</v>
      </c>
      <c r="C175" s="177"/>
      <c r="D175" s="177">
        <v>503470</v>
      </c>
      <c r="E175" s="172">
        <v>14510</v>
      </c>
      <c r="F175" s="172"/>
      <c r="G175" s="164"/>
    </row>
    <row r="176" spans="1:12" s="42" customFormat="1">
      <c r="A176" s="42" t="s">
        <v>686</v>
      </c>
      <c r="B176" s="42" t="s">
        <v>687</v>
      </c>
      <c r="C176" s="177"/>
      <c r="D176" s="177">
        <v>575872</v>
      </c>
      <c r="E176" s="172">
        <v>15008</v>
      </c>
      <c r="F176" s="172"/>
      <c r="G176" s="164"/>
    </row>
    <row r="177" spans="1:7" s="42" customFormat="1">
      <c r="A177" s="42" t="s">
        <v>686</v>
      </c>
      <c r="B177" s="42" t="s">
        <v>687</v>
      </c>
      <c r="C177" s="177"/>
      <c r="D177" s="177">
        <v>587160</v>
      </c>
      <c r="E177" s="172">
        <v>15072</v>
      </c>
      <c r="F177" s="172"/>
      <c r="G177" s="164"/>
    </row>
    <row r="178" spans="1:7" s="42" customFormat="1">
      <c r="A178" s="42" t="s">
        <v>686</v>
      </c>
      <c r="B178" s="42" t="s">
        <v>687</v>
      </c>
      <c r="C178" s="177"/>
      <c r="D178" s="177">
        <v>590941</v>
      </c>
      <c r="E178" s="172">
        <v>15093</v>
      </c>
      <c r="F178" s="172"/>
      <c r="G178" s="164"/>
    </row>
    <row r="179" spans="1:7" s="42" customFormat="1">
      <c r="A179" s="42" t="s">
        <v>686</v>
      </c>
      <c r="B179" s="42" t="s">
        <v>687</v>
      </c>
      <c r="D179" s="177">
        <v>615578</v>
      </c>
      <c r="E179" s="180">
        <v>15229</v>
      </c>
      <c r="F179" s="180"/>
      <c r="G179" s="181"/>
    </row>
    <row r="180" spans="1:7" s="42" customFormat="1">
      <c r="A180" s="42" t="s">
        <v>686</v>
      </c>
      <c r="B180" s="42" t="s">
        <v>687</v>
      </c>
      <c r="C180" s="177"/>
      <c r="D180" s="177">
        <v>618635</v>
      </c>
      <c r="E180" s="180">
        <v>15244</v>
      </c>
      <c r="F180" s="180"/>
      <c r="G180" s="181"/>
    </row>
    <row r="181" spans="1:7" s="42" customFormat="1">
      <c r="A181" s="42" t="s">
        <v>686</v>
      </c>
      <c r="B181" s="42" t="s">
        <v>687</v>
      </c>
      <c r="C181" s="177"/>
      <c r="D181" s="177">
        <v>618745</v>
      </c>
      <c r="E181" s="180">
        <v>15244</v>
      </c>
      <c r="F181" s="180"/>
      <c r="G181" s="181"/>
    </row>
    <row r="182" spans="1:7" s="42" customFormat="1">
      <c r="A182" s="42" t="s">
        <v>686</v>
      </c>
      <c r="B182" s="42" t="s">
        <v>687</v>
      </c>
      <c r="C182" s="177"/>
      <c r="D182" s="177">
        <v>618746</v>
      </c>
      <c r="E182" s="180">
        <v>15244</v>
      </c>
      <c r="F182" s="180"/>
      <c r="G182" s="181"/>
    </row>
    <row r="183" spans="1:7" s="42" customFormat="1">
      <c r="A183" s="42" t="s">
        <v>686</v>
      </c>
      <c r="B183" s="42" t="s">
        <v>687</v>
      </c>
      <c r="C183" s="177"/>
      <c r="D183" s="177">
        <v>621463</v>
      </c>
      <c r="E183" s="180">
        <v>15258</v>
      </c>
      <c r="F183" s="180"/>
      <c r="G183" s="181"/>
    </row>
    <row r="185" spans="1:7">
      <c r="A185" s="126" t="s">
        <v>1637</v>
      </c>
    </row>
    <row r="186" spans="1:7">
      <c r="A186" s="127" t="s">
        <v>1131</v>
      </c>
    </row>
    <row r="187" spans="1:7">
      <c r="A187" s="42"/>
    </row>
    <row r="188" spans="1:7">
      <c r="A188" s="42" t="s">
        <v>1120</v>
      </c>
    </row>
    <row r="189" spans="1:7">
      <c r="A189" s="42" t="s">
        <v>2474</v>
      </c>
    </row>
    <row r="190" spans="1:7">
      <c r="A190" s="42" t="s">
        <v>1121</v>
      </c>
    </row>
    <row r="191" spans="1:7">
      <c r="A191" s="42" t="s">
        <v>1049</v>
      </c>
    </row>
    <row r="192" spans="1:7">
      <c r="A192" s="42" t="s">
        <v>3934</v>
      </c>
    </row>
    <row r="193" spans="1:1">
      <c r="A193" s="42" t="s">
        <v>1369</v>
      </c>
    </row>
    <row r="194" spans="1:1">
      <c r="A194" s="42" t="s">
        <v>1106</v>
      </c>
    </row>
    <row r="195" spans="1:1">
      <c r="A195" s="42" t="s">
        <v>1105</v>
      </c>
    </row>
    <row r="196" spans="1:1">
      <c r="A196" s="42" t="s">
        <v>1122</v>
      </c>
    </row>
    <row r="197" spans="1:1">
      <c r="A197" s="42" t="s">
        <v>1143</v>
      </c>
    </row>
    <row r="198" spans="1:1">
      <c r="A198" s="42" t="s">
        <v>79</v>
      </c>
    </row>
    <row r="199" spans="1:1">
      <c r="A199" s="42" t="s">
        <v>6</v>
      </c>
    </row>
    <row r="200" spans="1:1">
      <c r="A200" s="42" t="s">
        <v>116</v>
      </c>
    </row>
    <row r="201" spans="1:1">
      <c r="A201" s="42" t="s">
        <v>4193</v>
      </c>
    </row>
    <row r="202" spans="1:1">
      <c r="A202" s="42"/>
    </row>
    <row r="203" spans="1:1">
      <c r="A203" s="126" t="s">
        <v>2410</v>
      </c>
    </row>
    <row r="204" spans="1:1">
      <c r="A204" s="42" t="s">
        <v>1108</v>
      </c>
    </row>
    <row r="205" spans="1:1">
      <c r="A205" s="189" t="s">
        <v>1129</v>
      </c>
    </row>
    <row r="206" spans="1:1">
      <c r="A206" s="189" t="s">
        <v>1107</v>
      </c>
    </row>
    <row r="207" spans="1:1">
      <c r="A207" s="42" t="s">
        <v>1104</v>
      </c>
    </row>
    <row r="208" spans="1:1">
      <c r="A208" s="42" t="s">
        <v>1100</v>
      </c>
    </row>
    <row r="209" spans="1:2">
      <c r="A209" s="42" t="s">
        <v>1048</v>
      </c>
    </row>
    <row r="210" spans="1:2">
      <c r="A210" s="189" t="s">
        <v>1079</v>
      </c>
    </row>
    <row r="211" spans="1:2">
      <c r="A211" s="189"/>
    </row>
    <row r="213" spans="1:2">
      <c r="A213" s="126" t="s">
        <v>1080</v>
      </c>
    </row>
    <row r="214" spans="1:2">
      <c r="A214" s="127" t="s">
        <v>1081</v>
      </c>
      <c r="B214" s="127">
        <v>1931</v>
      </c>
    </row>
    <row r="215" spans="1:2">
      <c r="A215" s="127" t="s">
        <v>35</v>
      </c>
      <c r="B215" s="127">
        <v>1931</v>
      </c>
    </row>
    <row r="216" spans="1:2">
      <c r="A216" s="127" t="s">
        <v>0</v>
      </c>
      <c r="B216" s="127">
        <v>1931</v>
      </c>
    </row>
    <row r="217" spans="1:2">
      <c r="A217" s="127" t="s">
        <v>34</v>
      </c>
      <c r="B217" s="127">
        <v>1931</v>
      </c>
    </row>
    <row r="219" spans="1:2">
      <c r="A219" s="126" t="s">
        <v>272</v>
      </c>
    </row>
    <row r="220" spans="1:2">
      <c r="A220" s="127" t="s">
        <v>2692</v>
      </c>
    </row>
  </sheetData>
  <sortState ref="A3:L173">
    <sortCondition ref="E3:E173"/>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256"/>
  <sheetViews>
    <sheetView topLeftCell="A156" workbookViewId="0">
      <selection activeCell="D155" sqref="D155"/>
    </sheetView>
  </sheetViews>
  <sheetFormatPr baseColWidth="10" defaultRowHeight="13"/>
  <cols>
    <col min="1" max="6" width="10.7109375" style="42"/>
  </cols>
  <sheetData>
    <row r="1" spans="1:6" s="83" customFormat="1" ht="26">
      <c r="A1" s="100" t="s">
        <v>1869</v>
      </c>
      <c r="B1" s="100" t="s">
        <v>2173</v>
      </c>
      <c r="C1" s="239" t="s">
        <v>2826</v>
      </c>
      <c r="D1" s="100" t="s">
        <v>2174</v>
      </c>
      <c r="E1" s="100" t="s">
        <v>2022</v>
      </c>
      <c r="F1" s="100" t="s">
        <v>2023</v>
      </c>
    </row>
    <row r="2" spans="1:6">
      <c r="A2" s="42" t="s">
        <v>997</v>
      </c>
    </row>
    <row r="3" spans="1:6">
      <c r="A3" s="42" t="s">
        <v>2047</v>
      </c>
      <c r="B3" s="42">
        <v>2076859</v>
      </c>
      <c r="C3" s="151" t="s">
        <v>1176</v>
      </c>
      <c r="D3" s="264">
        <v>11473</v>
      </c>
      <c r="E3" s="112">
        <v>12156</v>
      </c>
      <c r="F3" s="42" t="s">
        <v>1436</v>
      </c>
    </row>
    <row r="4" spans="1:6">
      <c r="A4" s="42" t="s">
        <v>2047</v>
      </c>
      <c r="B4" s="42">
        <v>2076865</v>
      </c>
      <c r="C4" s="151" t="s">
        <v>1176</v>
      </c>
      <c r="D4" s="264">
        <v>11684</v>
      </c>
      <c r="E4" s="112">
        <v>12156</v>
      </c>
      <c r="F4" s="42" t="s">
        <v>1575</v>
      </c>
    </row>
    <row r="5" spans="1:6">
      <c r="A5" s="42" t="s">
        <v>2047</v>
      </c>
      <c r="B5" s="42">
        <v>2076944</v>
      </c>
      <c r="C5" s="151" t="s">
        <v>1176</v>
      </c>
      <c r="D5" s="264">
        <v>10879</v>
      </c>
      <c r="E5" s="112">
        <v>12156</v>
      </c>
      <c r="F5" s="42" t="s">
        <v>1522</v>
      </c>
    </row>
    <row r="6" spans="1:6">
      <c r="A6" s="42" t="s">
        <v>2047</v>
      </c>
      <c r="B6" s="42">
        <v>2079717</v>
      </c>
      <c r="C6" s="151" t="s">
        <v>1176</v>
      </c>
      <c r="D6" s="264">
        <v>11344</v>
      </c>
      <c r="E6" s="112">
        <v>12184</v>
      </c>
      <c r="F6" s="42" t="s">
        <v>1523</v>
      </c>
    </row>
    <row r="7" spans="1:6">
      <c r="A7" s="42" t="s">
        <v>2047</v>
      </c>
      <c r="B7" s="42">
        <v>2083774</v>
      </c>
      <c r="C7" s="151" t="s">
        <v>1176</v>
      </c>
      <c r="D7" s="264">
        <v>11455</v>
      </c>
      <c r="E7" s="112">
        <v>12219</v>
      </c>
      <c r="F7" s="42" t="s">
        <v>1524</v>
      </c>
    </row>
    <row r="8" spans="1:6">
      <c r="A8" s="42" t="s">
        <v>2047</v>
      </c>
      <c r="B8" s="42">
        <v>2085303</v>
      </c>
      <c r="C8" s="151" t="s">
        <v>1176</v>
      </c>
      <c r="D8" s="264">
        <v>10374</v>
      </c>
      <c r="E8" s="112">
        <v>12233</v>
      </c>
      <c r="F8" s="42" t="s">
        <v>1525</v>
      </c>
    </row>
    <row r="9" spans="1:6">
      <c r="A9" s="42" t="s">
        <v>2047</v>
      </c>
      <c r="B9" s="42">
        <v>2089099</v>
      </c>
      <c r="C9" s="151" t="s">
        <v>1176</v>
      </c>
      <c r="D9" s="264">
        <v>11695</v>
      </c>
      <c r="E9" s="112">
        <v>12268</v>
      </c>
      <c r="F9" s="42" t="s">
        <v>1523</v>
      </c>
    </row>
    <row r="10" spans="1:6">
      <c r="A10" s="42" t="s">
        <v>2047</v>
      </c>
      <c r="B10" s="42">
        <v>2090992</v>
      </c>
      <c r="C10" s="151" t="s">
        <v>1176</v>
      </c>
      <c r="D10" s="264">
        <v>11389</v>
      </c>
      <c r="E10" s="112">
        <v>12289</v>
      </c>
      <c r="F10" s="42" t="s">
        <v>1576</v>
      </c>
    </row>
    <row r="11" spans="1:6">
      <c r="A11" s="42" t="s">
        <v>2047</v>
      </c>
      <c r="B11" s="42">
        <v>2091000</v>
      </c>
      <c r="C11" s="151" t="s">
        <v>1176</v>
      </c>
      <c r="D11" s="264">
        <v>11773</v>
      </c>
      <c r="E11" s="112">
        <v>12289</v>
      </c>
      <c r="F11" s="42" t="s">
        <v>1577</v>
      </c>
    </row>
    <row r="12" spans="1:6">
      <c r="A12" s="42" t="s">
        <v>2047</v>
      </c>
      <c r="B12" s="42">
        <v>2101544</v>
      </c>
      <c r="C12" s="151" t="s">
        <v>1176</v>
      </c>
      <c r="D12" s="264">
        <v>11773</v>
      </c>
      <c r="E12" s="112">
        <v>12394</v>
      </c>
      <c r="F12" s="42" t="s">
        <v>1578</v>
      </c>
    </row>
    <row r="13" spans="1:6">
      <c r="A13" s="42" t="s">
        <v>2047</v>
      </c>
      <c r="B13" s="42">
        <v>2101712</v>
      </c>
      <c r="C13" s="151" t="s">
        <v>1176</v>
      </c>
      <c r="D13" s="264">
        <v>12080</v>
      </c>
      <c r="E13" s="112">
        <v>12394</v>
      </c>
      <c r="F13" s="42" t="s">
        <v>1579</v>
      </c>
    </row>
    <row r="14" spans="1:6">
      <c r="A14" s="42" t="s">
        <v>2047</v>
      </c>
      <c r="B14" s="42">
        <v>2107063</v>
      </c>
      <c r="C14" s="151" t="s">
        <v>1176</v>
      </c>
      <c r="D14" s="264">
        <v>12157</v>
      </c>
      <c r="E14" s="112">
        <v>12450</v>
      </c>
      <c r="F14" s="42" t="s">
        <v>1495</v>
      </c>
    </row>
    <row r="15" spans="1:6">
      <c r="A15" s="42" t="s">
        <v>2047</v>
      </c>
      <c r="B15" s="42">
        <v>2109356</v>
      </c>
      <c r="C15" s="151" t="s">
        <v>1176</v>
      </c>
      <c r="D15" s="264">
        <v>12128</v>
      </c>
      <c r="E15" s="112">
        <v>12471</v>
      </c>
      <c r="F15" s="42" t="s">
        <v>1421</v>
      </c>
    </row>
    <row r="16" spans="1:6">
      <c r="A16" s="42" t="s">
        <v>2047</v>
      </c>
      <c r="B16" s="42">
        <v>2111332</v>
      </c>
      <c r="C16" s="151" t="s">
        <v>1176</v>
      </c>
      <c r="D16" s="264">
        <v>12166</v>
      </c>
      <c r="E16" s="112">
        <v>12492</v>
      </c>
      <c r="F16" s="42" t="s">
        <v>1495</v>
      </c>
    </row>
    <row r="17" spans="1:6">
      <c r="A17" s="42" t="s">
        <v>2047</v>
      </c>
      <c r="B17" s="42">
        <v>2111288</v>
      </c>
      <c r="C17" s="151" t="s">
        <v>1176</v>
      </c>
      <c r="D17" s="264">
        <v>11648</v>
      </c>
      <c r="E17" s="112">
        <v>12492</v>
      </c>
      <c r="F17" s="42" t="s">
        <v>1601</v>
      </c>
    </row>
    <row r="18" spans="1:6">
      <c r="A18" s="42" t="s">
        <v>2047</v>
      </c>
      <c r="B18" s="42">
        <v>2111271</v>
      </c>
      <c r="C18" s="151" t="s">
        <v>1176</v>
      </c>
      <c r="D18" s="264">
        <v>11515</v>
      </c>
      <c r="E18" s="112">
        <v>12492</v>
      </c>
      <c r="F18" s="42" t="s">
        <v>1436</v>
      </c>
    </row>
    <row r="19" spans="1:6">
      <c r="A19" s="42" t="s">
        <v>2047</v>
      </c>
      <c r="B19" s="42">
        <v>2118515</v>
      </c>
      <c r="C19" s="151" t="s">
        <v>1176</v>
      </c>
      <c r="D19" s="264">
        <v>12195</v>
      </c>
      <c r="E19" s="112">
        <v>12562</v>
      </c>
      <c r="F19" s="42" t="s">
        <v>1421</v>
      </c>
    </row>
    <row r="20" spans="1:6">
      <c r="A20" s="42" t="s">
        <v>2047</v>
      </c>
      <c r="B20" s="42">
        <v>2120196</v>
      </c>
      <c r="C20" s="151" t="s">
        <v>1176</v>
      </c>
      <c r="D20" s="264">
        <v>12187</v>
      </c>
      <c r="E20" s="112">
        <v>12576</v>
      </c>
      <c r="F20" s="42" t="s">
        <v>1602</v>
      </c>
    </row>
    <row r="21" spans="1:6">
      <c r="A21" s="42" t="s">
        <v>2047</v>
      </c>
      <c r="B21" s="42">
        <v>2119902</v>
      </c>
      <c r="C21" s="151" t="s">
        <v>1176</v>
      </c>
      <c r="D21" s="264">
        <v>11217</v>
      </c>
      <c r="E21" s="112">
        <v>12576</v>
      </c>
      <c r="F21" s="42" t="s">
        <v>1639</v>
      </c>
    </row>
    <row r="22" spans="1:6">
      <c r="A22" s="42" t="s">
        <v>2047</v>
      </c>
      <c r="B22" s="42">
        <v>2137462</v>
      </c>
      <c r="C22" s="151" t="s">
        <v>1176</v>
      </c>
      <c r="D22" s="264">
        <v>11655</v>
      </c>
      <c r="E22" s="112">
        <v>12744</v>
      </c>
      <c r="F22" s="42" t="s">
        <v>1575</v>
      </c>
    </row>
    <row r="23" spans="1:6">
      <c r="A23" s="42" t="s">
        <v>2047</v>
      </c>
      <c r="B23" s="42">
        <v>2142061</v>
      </c>
      <c r="C23" s="151" t="s">
        <v>1176</v>
      </c>
      <c r="D23" s="264">
        <v>11238</v>
      </c>
      <c r="E23" s="112">
        <v>12779</v>
      </c>
      <c r="F23" s="42" t="s">
        <v>1640</v>
      </c>
    </row>
    <row r="24" spans="1:6">
      <c r="A24" s="42" t="s">
        <v>2047</v>
      </c>
      <c r="B24" s="42">
        <v>2142034</v>
      </c>
      <c r="C24" s="151" t="s">
        <v>1176</v>
      </c>
      <c r="D24" s="264">
        <v>11837</v>
      </c>
      <c r="E24" s="112">
        <v>12779</v>
      </c>
      <c r="F24" s="42" t="s">
        <v>1533</v>
      </c>
    </row>
    <row r="25" spans="1:6">
      <c r="A25" s="42" t="s">
        <v>2047</v>
      </c>
      <c r="B25" s="42">
        <v>2142029</v>
      </c>
      <c r="C25" s="151" t="s">
        <v>1176</v>
      </c>
      <c r="D25" s="264">
        <v>12227</v>
      </c>
      <c r="E25" s="112">
        <v>12779</v>
      </c>
      <c r="F25" s="42" t="s">
        <v>1601</v>
      </c>
    </row>
    <row r="26" spans="1:6">
      <c r="A26" s="42" t="s">
        <v>2047</v>
      </c>
      <c r="B26" s="42">
        <v>2154718</v>
      </c>
      <c r="C26" s="151" t="s">
        <v>1176</v>
      </c>
      <c r="D26" s="264">
        <v>12036</v>
      </c>
      <c r="E26" s="112">
        <v>12891</v>
      </c>
      <c r="F26" s="42" t="s">
        <v>1534</v>
      </c>
    </row>
    <row r="27" spans="1:6">
      <c r="A27" s="42" t="s">
        <v>2047</v>
      </c>
      <c r="B27" s="42">
        <v>2164879</v>
      </c>
      <c r="C27" s="151" t="s">
        <v>1176</v>
      </c>
      <c r="D27" s="264">
        <v>11812</v>
      </c>
      <c r="E27" s="112">
        <v>12968</v>
      </c>
      <c r="F27" s="42" t="s">
        <v>1601</v>
      </c>
    </row>
    <row r="28" spans="1:6">
      <c r="A28" s="42" t="s">
        <v>2047</v>
      </c>
      <c r="B28" s="42">
        <v>2164884</v>
      </c>
      <c r="C28" s="151" t="s">
        <v>1176</v>
      </c>
      <c r="D28" s="264">
        <v>11108</v>
      </c>
      <c r="E28" s="112">
        <v>12968</v>
      </c>
      <c r="F28" s="42" t="s">
        <v>1535</v>
      </c>
    </row>
    <row r="29" spans="1:6">
      <c r="A29" s="42" t="s">
        <v>2047</v>
      </c>
      <c r="B29" s="42">
        <v>2170503</v>
      </c>
      <c r="C29" s="151" t="s">
        <v>1176</v>
      </c>
      <c r="D29" s="264">
        <v>12379</v>
      </c>
      <c r="E29" s="112">
        <v>13017</v>
      </c>
      <c r="F29" s="42" t="s">
        <v>1536</v>
      </c>
    </row>
    <row r="30" spans="1:6">
      <c r="A30" s="42" t="s">
        <v>2047</v>
      </c>
      <c r="B30" s="42">
        <v>2170502</v>
      </c>
      <c r="C30" s="151" t="s">
        <v>1176</v>
      </c>
      <c r="D30" s="264">
        <v>11773</v>
      </c>
      <c r="E30" s="112">
        <v>13017</v>
      </c>
      <c r="F30" s="42" t="s">
        <v>1537</v>
      </c>
    </row>
    <row r="31" spans="1:6">
      <c r="A31" s="42" t="s">
        <v>2047</v>
      </c>
      <c r="B31" s="42">
        <v>2170291</v>
      </c>
      <c r="C31" s="151" t="s">
        <v>1176</v>
      </c>
      <c r="D31" s="264">
        <v>12670</v>
      </c>
      <c r="E31" s="112">
        <v>13017</v>
      </c>
      <c r="F31" s="42" t="s">
        <v>1537</v>
      </c>
    </row>
    <row r="32" spans="1:6">
      <c r="A32" s="42" t="s">
        <v>2047</v>
      </c>
      <c r="B32" s="42">
        <v>2191131</v>
      </c>
      <c r="C32" s="151" t="s">
        <v>1176</v>
      </c>
      <c r="D32" s="264">
        <v>12752</v>
      </c>
      <c r="E32" s="112">
        <v>13017</v>
      </c>
      <c r="F32" s="42" t="s">
        <v>1537</v>
      </c>
    </row>
    <row r="33" spans="1:6">
      <c r="A33" s="42" t="s">
        <v>2047</v>
      </c>
      <c r="B33" s="42">
        <v>2190988</v>
      </c>
      <c r="C33" s="151" t="s">
        <v>1176</v>
      </c>
      <c r="D33" s="264">
        <v>12080</v>
      </c>
      <c r="E33" s="112">
        <v>13199</v>
      </c>
      <c r="F33" s="42" t="s">
        <v>1579</v>
      </c>
    </row>
    <row r="34" spans="1:6">
      <c r="A34" s="42" t="s">
        <v>2047</v>
      </c>
      <c r="B34" s="42">
        <v>2192856</v>
      </c>
      <c r="C34" s="151" t="s">
        <v>1176</v>
      </c>
      <c r="D34" s="264">
        <v>12449</v>
      </c>
      <c r="E34" s="112">
        <v>13213</v>
      </c>
      <c r="F34" s="42" t="s">
        <v>1436</v>
      </c>
    </row>
    <row r="35" spans="1:6">
      <c r="A35" s="42" t="s">
        <v>2047</v>
      </c>
      <c r="B35" s="42">
        <v>2199465</v>
      </c>
      <c r="C35" s="151" t="s">
        <v>1176</v>
      </c>
      <c r="D35" s="264">
        <v>12449</v>
      </c>
      <c r="E35" s="112">
        <v>13276</v>
      </c>
      <c r="F35" s="42" t="s">
        <v>1537</v>
      </c>
    </row>
    <row r="36" spans="1:6">
      <c r="A36" s="42" t="s">
        <v>2047</v>
      </c>
      <c r="B36" s="42">
        <v>2209469</v>
      </c>
      <c r="C36" s="151" t="s">
        <v>1176</v>
      </c>
      <c r="D36" s="264">
        <v>11108</v>
      </c>
      <c r="E36" s="112">
        <v>13360</v>
      </c>
      <c r="F36" s="42" t="s">
        <v>1535</v>
      </c>
    </row>
    <row r="37" spans="1:6">
      <c r="A37" s="42" t="s">
        <v>2047</v>
      </c>
      <c r="B37" s="42">
        <v>2216550</v>
      </c>
      <c r="C37" s="151" t="s">
        <v>1176</v>
      </c>
      <c r="D37" s="264">
        <v>12631</v>
      </c>
      <c r="E37" s="112">
        <v>13423</v>
      </c>
      <c r="F37" s="42" t="s">
        <v>1525</v>
      </c>
    </row>
    <row r="38" spans="1:6">
      <c r="A38" s="42" t="s">
        <v>2047</v>
      </c>
      <c r="B38" s="42">
        <v>2218469</v>
      </c>
      <c r="C38" s="151" t="s">
        <v>1176</v>
      </c>
      <c r="D38" s="264">
        <v>12967</v>
      </c>
      <c r="E38" s="112">
        <v>13437</v>
      </c>
      <c r="F38" s="42" t="s">
        <v>1538</v>
      </c>
    </row>
    <row r="39" spans="1:6">
      <c r="A39" s="42" t="s">
        <v>2047</v>
      </c>
      <c r="B39" s="42">
        <v>2221459</v>
      </c>
      <c r="C39" s="151" t="s">
        <v>1176</v>
      </c>
      <c r="D39" s="264">
        <v>12299</v>
      </c>
      <c r="E39" s="112">
        <v>13465</v>
      </c>
      <c r="F39" s="42" t="s">
        <v>1640</v>
      </c>
    </row>
    <row r="40" spans="1:6">
      <c r="A40" s="42" t="s">
        <v>2047</v>
      </c>
      <c r="B40" s="42">
        <v>2226431</v>
      </c>
      <c r="C40" s="151" t="s">
        <v>1176</v>
      </c>
      <c r="D40" s="264">
        <v>13068</v>
      </c>
      <c r="E40" s="112">
        <v>13507</v>
      </c>
      <c r="F40" s="42" t="s">
        <v>1539</v>
      </c>
    </row>
    <row r="41" spans="1:6">
      <c r="A41" s="42" t="s">
        <v>2047</v>
      </c>
      <c r="B41" s="42">
        <v>2228902</v>
      </c>
      <c r="C41" s="151" t="s">
        <v>1176</v>
      </c>
      <c r="D41" s="264">
        <v>10351</v>
      </c>
      <c r="E41" s="112">
        <v>13528</v>
      </c>
      <c r="F41" s="42" t="s">
        <v>1540</v>
      </c>
    </row>
    <row r="42" spans="1:6">
      <c r="A42" s="42" t="s">
        <v>2047</v>
      </c>
      <c r="B42" s="42">
        <v>2235085</v>
      </c>
      <c r="C42" s="151" t="s">
        <v>1176</v>
      </c>
      <c r="D42" s="264">
        <v>13102</v>
      </c>
      <c r="E42" s="112">
        <v>13591</v>
      </c>
      <c r="F42" s="42" t="s">
        <v>1523</v>
      </c>
    </row>
    <row r="43" spans="1:6">
      <c r="A43" s="42" t="s">
        <v>2047</v>
      </c>
      <c r="B43" s="42">
        <v>2235092</v>
      </c>
      <c r="C43" s="151" t="s">
        <v>1176</v>
      </c>
      <c r="D43" s="264">
        <v>10851</v>
      </c>
      <c r="E43" s="112">
        <v>13591</v>
      </c>
      <c r="F43" s="42" t="s">
        <v>1541</v>
      </c>
    </row>
    <row r="44" spans="1:6">
      <c r="A44" s="42" t="s">
        <v>2047</v>
      </c>
      <c r="B44" s="42">
        <v>2239567</v>
      </c>
      <c r="C44" s="151" t="s">
        <v>1176</v>
      </c>
      <c r="D44" s="264">
        <v>12948</v>
      </c>
      <c r="E44" s="112">
        <v>13595</v>
      </c>
      <c r="F44" s="42" t="s">
        <v>1436</v>
      </c>
    </row>
    <row r="45" spans="1:6">
      <c r="A45" s="42" t="s">
        <v>2047</v>
      </c>
      <c r="B45" s="42">
        <v>2239625</v>
      </c>
      <c r="C45" s="151" t="s">
        <v>1176</v>
      </c>
      <c r="D45" s="264">
        <v>12827</v>
      </c>
      <c r="E45" s="112">
        <v>13595</v>
      </c>
      <c r="F45" s="42" t="s">
        <v>1523</v>
      </c>
    </row>
    <row r="46" spans="1:6">
      <c r="A46" s="42" t="s">
        <v>2047</v>
      </c>
      <c r="B46" s="42">
        <v>2257849</v>
      </c>
      <c r="C46" s="151" t="s">
        <v>1176</v>
      </c>
      <c r="D46" s="264">
        <v>13228</v>
      </c>
      <c r="E46" s="112">
        <v>13794</v>
      </c>
      <c r="F46" s="42" t="s">
        <v>1537</v>
      </c>
    </row>
    <row r="47" spans="1:6">
      <c r="A47" s="42" t="s">
        <v>2047</v>
      </c>
      <c r="B47" s="42">
        <v>2260098</v>
      </c>
      <c r="C47" s="151" t="s">
        <v>1176</v>
      </c>
      <c r="D47" s="151"/>
      <c r="E47" s="112">
        <v>13808</v>
      </c>
      <c r="F47" s="42" t="s">
        <v>1639</v>
      </c>
    </row>
    <row r="48" spans="1:6">
      <c r="A48" s="42" t="s">
        <v>2047</v>
      </c>
      <c r="B48" s="42">
        <v>2263635</v>
      </c>
      <c r="C48" s="151" t="s">
        <v>1176</v>
      </c>
      <c r="D48" s="151"/>
      <c r="E48" s="112">
        <v>13843</v>
      </c>
      <c r="F48" s="42" t="s">
        <v>1421</v>
      </c>
    </row>
    <row r="49" spans="1:6">
      <c r="A49" s="42" t="s">
        <v>2047</v>
      </c>
      <c r="B49" s="42">
        <v>2275783</v>
      </c>
      <c r="C49" s="151" t="s">
        <v>1176</v>
      </c>
      <c r="D49" s="151"/>
      <c r="E49" s="112">
        <v>13948</v>
      </c>
      <c r="F49" s="42" t="s">
        <v>1537</v>
      </c>
    </row>
    <row r="50" spans="1:6">
      <c r="A50" s="42" t="s">
        <v>2047</v>
      </c>
      <c r="B50" s="42">
        <v>2280760</v>
      </c>
      <c r="C50" s="151" t="s">
        <v>1176</v>
      </c>
      <c r="D50" s="151"/>
      <c r="E50" s="112">
        <v>13990</v>
      </c>
      <c r="F50" s="42" t="s">
        <v>1537</v>
      </c>
    </row>
    <row r="51" spans="1:6">
      <c r="A51" s="42" t="s">
        <v>2047</v>
      </c>
      <c r="B51" s="42">
        <v>2281774</v>
      </c>
      <c r="C51" s="151" t="s">
        <v>1176</v>
      </c>
      <c r="D51" s="151"/>
      <c r="E51" s="112">
        <v>14004</v>
      </c>
      <c r="F51" s="42" t="s">
        <v>1421</v>
      </c>
    </row>
    <row r="52" spans="1:6">
      <c r="A52" s="42" t="s">
        <v>2047</v>
      </c>
      <c r="B52" s="42">
        <v>2289110</v>
      </c>
      <c r="C52" s="151" t="s">
        <v>1176</v>
      </c>
      <c r="D52" s="151"/>
      <c r="E52" s="112">
        <v>14067</v>
      </c>
      <c r="F52" s="42" t="s">
        <v>1542</v>
      </c>
    </row>
    <row r="53" spans="1:6">
      <c r="A53" s="42" t="s">
        <v>2047</v>
      </c>
      <c r="B53" s="42">
        <v>2290590</v>
      </c>
      <c r="C53" s="151" t="s">
        <v>1176</v>
      </c>
      <c r="D53" s="151"/>
      <c r="E53" s="112">
        <v>14081</v>
      </c>
      <c r="F53" s="42" t="s">
        <v>1543</v>
      </c>
    </row>
    <row r="54" spans="1:6">
      <c r="A54" s="42" t="s">
        <v>2047</v>
      </c>
      <c r="B54" s="42">
        <v>2302575</v>
      </c>
      <c r="C54" s="151" t="s">
        <v>1176</v>
      </c>
      <c r="D54" s="151"/>
      <c r="E54" s="112">
        <v>14200</v>
      </c>
      <c r="F54" s="42" t="s">
        <v>1544</v>
      </c>
    </row>
    <row r="55" spans="1:6">
      <c r="A55" s="42" t="s">
        <v>2047</v>
      </c>
      <c r="B55" s="42">
        <v>2308688</v>
      </c>
      <c r="C55" s="151" t="s">
        <v>1176</v>
      </c>
      <c r="D55" s="151"/>
      <c r="E55" s="112">
        <v>14263</v>
      </c>
      <c r="F55" s="42" t="s">
        <v>1538</v>
      </c>
    </row>
    <row r="56" spans="1:6">
      <c r="A56" s="42" t="s">
        <v>2047</v>
      </c>
      <c r="B56" s="42">
        <v>2308708</v>
      </c>
      <c r="C56" s="151" t="s">
        <v>1176</v>
      </c>
      <c r="D56" s="151"/>
      <c r="E56" s="112">
        <v>14263</v>
      </c>
      <c r="F56" s="42" t="s">
        <v>1545</v>
      </c>
    </row>
    <row r="57" spans="1:6">
      <c r="A57" s="42" t="s">
        <v>2047</v>
      </c>
      <c r="B57" s="42">
        <v>2308728</v>
      </c>
      <c r="C57" s="151" t="s">
        <v>1176</v>
      </c>
      <c r="D57" s="151"/>
      <c r="E57" s="112">
        <v>14263</v>
      </c>
      <c r="F57" s="42" t="s">
        <v>1546</v>
      </c>
    </row>
    <row r="58" spans="1:6">
      <c r="A58" s="42" t="s">
        <v>2047</v>
      </c>
      <c r="B58" s="42">
        <v>2320353</v>
      </c>
      <c r="C58" s="151" t="s">
        <v>1176</v>
      </c>
      <c r="D58" s="151"/>
      <c r="E58" s="112">
        <v>14396</v>
      </c>
      <c r="F58" s="42" t="s">
        <v>1547</v>
      </c>
    </row>
    <row r="59" spans="1:6">
      <c r="A59" s="42" t="s">
        <v>2047</v>
      </c>
      <c r="B59" s="42">
        <v>2327107</v>
      </c>
      <c r="C59" s="151" t="s">
        <v>1176</v>
      </c>
      <c r="D59" s="151"/>
      <c r="E59" s="112">
        <v>14473</v>
      </c>
      <c r="F59" s="42" t="s">
        <v>1538</v>
      </c>
    </row>
    <row r="60" spans="1:6">
      <c r="A60" s="42" t="s">
        <v>2047</v>
      </c>
      <c r="B60" s="42">
        <v>2330890</v>
      </c>
      <c r="C60" s="151" t="s">
        <v>1176</v>
      </c>
      <c r="D60" s="151"/>
      <c r="E60" s="112">
        <v>14522</v>
      </c>
      <c r="F60" s="42" t="s">
        <v>1601</v>
      </c>
    </row>
    <row r="61" spans="1:6" s="73" customFormat="1">
      <c r="A61" s="42" t="s">
        <v>2047</v>
      </c>
      <c r="B61" s="42">
        <v>2331442</v>
      </c>
      <c r="C61" s="151" t="s">
        <v>1176</v>
      </c>
      <c r="D61" s="151"/>
      <c r="E61" s="112">
        <v>14164</v>
      </c>
      <c r="F61" s="42" t="s">
        <v>1550</v>
      </c>
    </row>
    <row r="62" spans="1:6">
      <c r="A62" s="42" t="s">
        <v>2047</v>
      </c>
      <c r="B62" s="42">
        <v>2331967</v>
      </c>
      <c r="C62" s="151" t="s">
        <v>1176</v>
      </c>
      <c r="D62" s="151"/>
      <c r="E62" s="112">
        <v>14529</v>
      </c>
      <c r="F62" s="42" t="s">
        <v>1549</v>
      </c>
    </row>
    <row r="63" spans="1:6">
      <c r="A63" s="42" t="s">
        <v>2047</v>
      </c>
      <c r="B63" s="42">
        <v>2332532</v>
      </c>
      <c r="C63" s="151" t="s">
        <v>1176</v>
      </c>
      <c r="D63" s="151"/>
      <c r="E63" s="112">
        <v>14536</v>
      </c>
      <c r="F63" s="42" t="s">
        <v>1468</v>
      </c>
    </row>
    <row r="64" spans="1:6">
      <c r="A64" s="42" t="s">
        <v>2047</v>
      </c>
      <c r="B64" s="42">
        <v>2332533</v>
      </c>
      <c r="C64" s="151" t="s">
        <v>1176</v>
      </c>
      <c r="D64" s="151"/>
      <c r="E64" s="112">
        <v>14543</v>
      </c>
      <c r="F64" s="42" t="s">
        <v>1495</v>
      </c>
    </row>
    <row r="65" spans="1:6">
      <c r="A65" s="42" t="s">
        <v>2047</v>
      </c>
      <c r="B65" s="42">
        <v>2349595</v>
      </c>
      <c r="C65" s="151" t="s">
        <v>1176</v>
      </c>
      <c r="D65" s="151"/>
      <c r="E65" s="112">
        <v>14543</v>
      </c>
      <c r="F65" s="42" t="s">
        <v>1537</v>
      </c>
    </row>
    <row r="66" spans="1:6">
      <c r="A66" s="42" t="s">
        <v>2047</v>
      </c>
      <c r="B66" s="42">
        <v>2349597</v>
      </c>
      <c r="C66" s="151" t="s">
        <v>1176</v>
      </c>
      <c r="D66" s="151"/>
      <c r="E66" s="112">
        <v>14753</v>
      </c>
      <c r="F66" s="42" t="s">
        <v>1551</v>
      </c>
    </row>
    <row r="67" spans="1:6">
      <c r="A67" s="42" t="s">
        <v>2047</v>
      </c>
      <c r="B67" s="42">
        <v>2365043</v>
      </c>
      <c r="C67" s="151" t="s">
        <v>1176</v>
      </c>
      <c r="D67" s="151"/>
      <c r="E67" s="112">
        <v>14956</v>
      </c>
      <c r="F67" s="42" t="s">
        <v>1552</v>
      </c>
    </row>
    <row r="68" spans="1:6">
      <c r="A68" s="42" t="s">
        <v>2047</v>
      </c>
      <c r="B68" s="42">
        <v>2365075</v>
      </c>
      <c r="C68" s="151" t="s">
        <v>1176</v>
      </c>
      <c r="D68" s="151"/>
      <c r="E68" s="112">
        <v>14956</v>
      </c>
      <c r="F68" s="42" t="s">
        <v>1538</v>
      </c>
    </row>
    <row r="69" spans="1:6">
      <c r="A69" s="42" t="s">
        <v>2047</v>
      </c>
      <c r="B69" s="42">
        <v>2365078</v>
      </c>
      <c r="C69" s="151" t="s">
        <v>1176</v>
      </c>
      <c r="D69" s="151"/>
      <c r="E69" s="112">
        <v>14956</v>
      </c>
      <c r="F69" s="42" t="s">
        <v>1577</v>
      </c>
    </row>
    <row r="70" spans="1:6">
      <c r="A70" s="42" t="s">
        <v>2047</v>
      </c>
      <c r="B70" s="42">
        <v>2368061</v>
      </c>
      <c r="C70" s="151" t="s">
        <v>1176</v>
      </c>
      <c r="D70" s="151"/>
      <c r="E70" s="112">
        <v>14998</v>
      </c>
      <c r="F70" s="42" t="s">
        <v>1553</v>
      </c>
    </row>
    <row r="71" spans="1:6">
      <c r="A71" s="42" t="s">
        <v>2047</v>
      </c>
      <c r="B71" s="42">
        <v>2393928</v>
      </c>
      <c r="C71" s="151" t="s">
        <v>1176</v>
      </c>
      <c r="D71" s="151"/>
      <c r="E71" s="112">
        <v>15369</v>
      </c>
      <c r="F71" s="42" t="s">
        <v>1551</v>
      </c>
    </row>
    <row r="72" spans="1:6">
      <c r="A72" s="42" t="s">
        <v>2047</v>
      </c>
      <c r="B72" s="42">
        <v>2393907</v>
      </c>
      <c r="C72" s="151" t="s">
        <v>1176</v>
      </c>
      <c r="D72" s="151"/>
      <c r="E72" s="112">
        <v>15369</v>
      </c>
      <c r="F72" s="42" t="s">
        <v>1554</v>
      </c>
    </row>
    <row r="73" spans="1:6">
      <c r="A73" s="42" t="s">
        <v>2047</v>
      </c>
      <c r="B73" s="42">
        <v>2402290</v>
      </c>
      <c r="C73" s="151" t="s">
        <v>1176</v>
      </c>
      <c r="D73" s="151"/>
      <c r="E73" s="112">
        <v>15509</v>
      </c>
      <c r="F73" s="42" t="s">
        <v>1551</v>
      </c>
    </row>
    <row r="74" spans="1:6">
      <c r="A74" s="42" t="s">
        <v>2047</v>
      </c>
      <c r="B74" s="42">
        <v>2412549</v>
      </c>
      <c r="C74" s="151" t="s">
        <v>1176</v>
      </c>
      <c r="D74" s="151"/>
      <c r="E74" s="112">
        <v>15684</v>
      </c>
      <c r="F74" s="42" t="s">
        <v>1618</v>
      </c>
    </row>
    <row r="75" spans="1:6">
      <c r="A75" s="42" t="s">
        <v>2047</v>
      </c>
      <c r="B75" s="42">
        <v>2412499</v>
      </c>
      <c r="C75" s="151" t="s">
        <v>1176</v>
      </c>
      <c r="D75" s="151"/>
      <c r="E75" s="112">
        <v>15684</v>
      </c>
      <c r="F75" s="42" t="s">
        <v>1619</v>
      </c>
    </row>
    <row r="76" spans="1:6">
      <c r="A76" s="42" t="s">
        <v>2047</v>
      </c>
      <c r="B76" s="42">
        <v>2416539</v>
      </c>
      <c r="C76" s="151" t="s">
        <v>1176</v>
      </c>
      <c r="D76" s="151"/>
      <c r="E76" s="112">
        <v>15761</v>
      </c>
      <c r="F76" s="42" t="s">
        <v>1551</v>
      </c>
    </row>
    <row r="77" spans="1:6">
      <c r="A77" s="42" t="s">
        <v>2047</v>
      </c>
      <c r="B77" s="42">
        <v>2422448</v>
      </c>
      <c r="C77" s="151" t="s">
        <v>1176</v>
      </c>
      <c r="D77" s="151"/>
      <c r="E77" s="112">
        <v>15873</v>
      </c>
      <c r="F77" s="42" t="s">
        <v>1548</v>
      </c>
    </row>
    <row r="78" spans="1:6">
      <c r="A78" s="42" t="s">
        <v>2047</v>
      </c>
      <c r="B78" s="42">
        <v>2422414</v>
      </c>
      <c r="C78" s="151" t="s">
        <v>1176</v>
      </c>
      <c r="D78" s="151"/>
      <c r="E78" s="112">
        <v>15873</v>
      </c>
      <c r="F78" s="42" t="s">
        <v>1577</v>
      </c>
    </row>
    <row r="79" spans="1:6">
      <c r="A79" s="42" t="s">
        <v>2047</v>
      </c>
      <c r="B79" s="42">
        <v>2425903</v>
      </c>
      <c r="C79" s="151" t="s">
        <v>1176</v>
      </c>
      <c r="D79" s="151"/>
      <c r="E79" s="112">
        <v>15936</v>
      </c>
      <c r="F79" s="42" t="s">
        <v>1620</v>
      </c>
    </row>
    <row r="80" spans="1:6">
      <c r="A80" s="42" t="s">
        <v>2047</v>
      </c>
      <c r="B80" s="42">
        <v>2430127</v>
      </c>
      <c r="C80" s="151" t="s">
        <v>1176</v>
      </c>
      <c r="D80" s="151"/>
      <c r="E80" s="112">
        <v>16013</v>
      </c>
      <c r="F80" s="42" t="s">
        <v>1501</v>
      </c>
    </row>
    <row r="81" spans="1:6">
      <c r="A81" s="42" t="s">
        <v>2047</v>
      </c>
      <c r="B81" s="42">
        <v>2443793</v>
      </c>
      <c r="C81" s="151" t="s">
        <v>1176</v>
      </c>
      <c r="D81" s="151"/>
      <c r="E81" s="112">
        <v>16244</v>
      </c>
      <c r="F81" s="42" t="s">
        <v>1502</v>
      </c>
    </row>
    <row r="82" spans="1:6">
      <c r="A82" s="42" t="s">
        <v>2047</v>
      </c>
      <c r="B82" s="42">
        <v>2447446</v>
      </c>
      <c r="C82" s="151" t="s">
        <v>1176</v>
      </c>
      <c r="D82" s="151"/>
      <c r="E82" s="112">
        <v>16300</v>
      </c>
      <c r="F82" s="42" t="s">
        <v>1503</v>
      </c>
    </row>
    <row r="83" spans="1:6">
      <c r="A83" s="42" t="s">
        <v>2047</v>
      </c>
      <c r="B83" s="42">
        <v>2452674</v>
      </c>
      <c r="C83" s="151" t="s">
        <v>1176</v>
      </c>
      <c r="D83" s="151"/>
      <c r="E83" s="112">
        <v>16377</v>
      </c>
      <c r="F83" s="42" t="s">
        <v>1413</v>
      </c>
    </row>
    <row r="84" spans="1:6">
      <c r="A84" s="42" t="s">
        <v>2047</v>
      </c>
      <c r="B84" s="42">
        <v>2453600</v>
      </c>
      <c r="C84" s="151" t="s">
        <v>1176</v>
      </c>
      <c r="D84" s="151"/>
      <c r="E84" s="112">
        <v>16384</v>
      </c>
      <c r="F84" s="42" t="s">
        <v>1422</v>
      </c>
    </row>
    <row r="85" spans="1:6">
      <c r="A85" s="42" t="s">
        <v>2047</v>
      </c>
      <c r="B85" s="42">
        <v>2458597</v>
      </c>
      <c r="C85" s="151" t="s">
        <v>1176</v>
      </c>
      <c r="D85" s="151"/>
      <c r="E85" s="112">
        <v>16447</v>
      </c>
      <c r="F85" s="42" t="s">
        <v>1507</v>
      </c>
    </row>
    <row r="86" spans="1:6">
      <c r="A86" s="42" t="s">
        <v>2047</v>
      </c>
      <c r="B86" s="42">
        <v>2459976</v>
      </c>
      <c r="C86" s="151" t="s">
        <v>1176</v>
      </c>
      <c r="D86" s="151"/>
      <c r="E86" s="112">
        <v>16461</v>
      </c>
      <c r="F86" s="42" t="s">
        <v>1620</v>
      </c>
    </row>
    <row r="87" spans="1:6">
      <c r="A87" s="42" t="s">
        <v>2047</v>
      </c>
      <c r="B87" s="42">
        <v>2459937</v>
      </c>
      <c r="C87" s="151" t="s">
        <v>1176</v>
      </c>
      <c r="D87" s="151"/>
      <c r="E87" s="112">
        <v>16461</v>
      </c>
      <c r="F87" s="42" t="s">
        <v>1603</v>
      </c>
    </row>
    <row r="88" spans="1:6">
      <c r="A88" s="42" t="s">
        <v>2047</v>
      </c>
      <c r="B88" s="42">
        <v>2459825</v>
      </c>
      <c r="C88" s="151" t="s">
        <v>1176</v>
      </c>
      <c r="D88" s="151"/>
      <c r="E88" s="112">
        <v>16461</v>
      </c>
      <c r="F88" s="42" t="s">
        <v>1537</v>
      </c>
    </row>
    <row r="89" spans="1:6">
      <c r="A89" s="42" t="s">
        <v>2047</v>
      </c>
      <c r="B89" s="42">
        <v>2459826</v>
      </c>
      <c r="C89" s="151" t="s">
        <v>1176</v>
      </c>
      <c r="D89" s="151"/>
      <c r="E89" s="112">
        <v>16461</v>
      </c>
      <c r="F89" s="42" t="s">
        <v>1537</v>
      </c>
    </row>
    <row r="90" spans="1:6">
      <c r="A90" s="42" t="s">
        <v>2047</v>
      </c>
      <c r="B90" s="42">
        <v>2471097</v>
      </c>
      <c r="C90" s="151" t="s">
        <v>1176</v>
      </c>
      <c r="D90" s="151"/>
      <c r="E90" s="112">
        <v>16580</v>
      </c>
      <c r="F90" s="42" t="s">
        <v>1604</v>
      </c>
    </row>
    <row r="91" spans="1:6">
      <c r="A91" s="42" t="s">
        <v>2047</v>
      </c>
      <c r="B91" s="42">
        <v>2473741</v>
      </c>
      <c r="C91" s="151" t="s">
        <v>1176</v>
      </c>
      <c r="D91" s="151"/>
      <c r="E91" s="112">
        <v>16608</v>
      </c>
      <c r="F91" s="42" t="s">
        <v>1508</v>
      </c>
    </row>
    <row r="92" spans="1:6">
      <c r="A92" s="42" t="s">
        <v>2047</v>
      </c>
      <c r="B92" s="42">
        <v>2484910</v>
      </c>
      <c r="C92" s="151" t="s">
        <v>1176</v>
      </c>
      <c r="D92" s="151"/>
      <c r="E92" s="112">
        <v>16727</v>
      </c>
      <c r="F92" s="42" t="s">
        <v>1544</v>
      </c>
    </row>
    <row r="93" spans="1:6">
      <c r="A93" s="42" t="s">
        <v>2047</v>
      </c>
      <c r="B93" s="42">
        <v>2484885</v>
      </c>
      <c r="C93" s="151" t="s">
        <v>1176</v>
      </c>
      <c r="D93" s="151"/>
      <c r="E93" s="112">
        <v>16727</v>
      </c>
      <c r="F93" s="42" t="s">
        <v>1603</v>
      </c>
    </row>
    <row r="94" spans="1:6">
      <c r="A94" s="42" t="s">
        <v>2047</v>
      </c>
      <c r="B94" s="42">
        <v>2489227</v>
      </c>
      <c r="C94" s="151" t="s">
        <v>1176</v>
      </c>
      <c r="D94" s="151"/>
      <c r="E94" s="112">
        <v>16762</v>
      </c>
      <c r="F94" s="42" t="s">
        <v>1523</v>
      </c>
    </row>
    <row r="95" spans="1:6">
      <c r="A95" s="42" t="s">
        <v>2047</v>
      </c>
      <c r="B95" s="42">
        <v>2492687</v>
      </c>
      <c r="C95" s="151" t="s">
        <v>1176</v>
      </c>
      <c r="D95" s="151"/>
      <c r="E95" s="112">
        <v>16797</v>
      </c>
      <c r="F95" s="42" t="s">
        <v>1509</v>
      </c>
    </row>
    <row r="96" spans="1:6">
      <c r="A96" s="42" t="s">
        <v>2047</v>
      </c>
      <c r="B96" s="42">
        <v>2492688</v>
      </c>
      <c r="C96" s="151" t="s">
        <v>1176</v>
      </c>
      <c r="D96" s="151"/>
      <c r="E96" s="112">
        <v>16797</v>
      </c>
      <c r="F96" s="42" t="s">
        <v>1509</v>
      </c>
    </row>
    <row r="97" spans="1:6">
      <c r="A97" s="42" t="s">
        <v>2047</v>
      </c>
      <c r="B97" s="42">
        <v>2504443</v>
      </c>
      <c r="C97" s="151" t="s">
        <v>1176</v>
      </c>
      <c r="D97" s="151"/>
      <c r="E97" s="112">
        <v>16909</v>
      </c>
      <c r="F97" s="42" t="s">
        <v>1551</v>
      </c>
    </row>
    <row r="98" spans="1:6">
      <c r="A98" s="42" t="s">
        <v>2047</v>
      </c>
      <c r="B98" s="42">
        <v>2504413</v>
      </c>
      <c r="C98" s="151" t="s">
        <v>1176</v>
      </c>
      <c r="D98" s="151"/>
      <c r="E98" s="112">
        <v>16909</v>
      </c>
      <c r="F98" s="42" t="s">
        <v>1539</v>
      </c>
    </row>
    <row r="99" spans="1:6">
      <c r="A99" s="42" t="s">
        <v>2047</v>
      </c>
      <c r="B99" s="42">
        <v>2535896</v>
      </c>
      <c r="C99" s="151" t="s">
        <v>1176</v>
      </c>
      <c r="D99" s="151"/>
      <c r="E99" s="112">
        <v>17161</v>
      </c>
      <c r="F99" s="42" t="s">
        <v>1414</v>
      </c>
    </row>
    <row r="100" spans="1:6">
      <c r="A100" s="42" t="s">
        <v>2047</v>
      </c>
      <c r="B100" s="42">
        <v>2535895</v>
      </c>
      <c r="C100" s="151" t="s">
        <v>1176</v>
      </c>
      <c r="D100" s="151"/>
      <c r="E100" s="112">
        <v>17161</v>
      </c>
      <c r="F100" s="42" t="s">
        <v>1510</v>
      </c>
    </row>
    <row r="101" spans="1:6">
      <c r="A101" s="42" t="s">
        <v>2047</v>
      </c>
      <c r="B101" s="42">
        <v>2535909</v>
      </c>
      <c r="C101" s="151" t="s">
        <v>1176</v>
      </c>
      <c r="D101" s="151"/>
      <c r="E101" s="112">
        <v>17161</v>
      </c>
      <c r="F101" s="42" t="s">
        <v>1542</v>
      </c>
    </row>
    <row r="102" spans="1:6">
      <c r="A102" s="42" t="s">
        <v>2047</v>
      </c>
      <c r="B102" s="42">
        <v>2535957</v>
      </c>
      <c r="C102" s="151" t="s">
        <v>1176</v>
      </c>
      <c r="D102" s="151"/>
      <c r="E102" s="112">
        <v>17161</v>
      </c>
      <c r="F102" s="42" t="s">
        <v>1544</v>
      </c>
    </row>
    <row r="103" spans="1:6">
      <c r="A103" s="42" t="s">
        <v>2047</v>
      </c>
      <c r="B103" s="42">
        <v>2536965</v>
      </c>
      <c r="C103" s="151" t="s">
        <v>1176</v>
      </c>
      <c r="D103" s="151"/>
      <c r="E103" s="112">
        <v>17168</v>
      </c>
      <c r="F103" s="42" t="s">
        <v>1415</v>
      </c>
    </row>
    <row r="104" spans="1:6">
      <c r="A104" s="42" t="s">
        <v>2047</v>
      </c>
      <c r="B104" s="42">
        <v>2550672</v>
      </c>
      <c r="C104" s="151" t="s">
        <v>1176</v>
      </c>
      <c r="D104" s="151"/>
      <c r="E104" s="112">
        <v>17287</v>
      </c>
      <c r="F104" s="42" t="s">
        <v>1416</v>
      </c>
    </row>
    <row r="105" spans="1:6">
      <c r="A105" s="42" t="s">
        <v>2047</v>
      </c>
      <c r="B105" s="42">
        <v>2537409</v>
      </c>
      <c r="C105" s="151" t="s">
        <v>1176</v>
      </c>
      <c r="D105" s="151"/>
      <c r="E105" s="112">
        <v>17175</v>
      </c>
      <c r="F105" s="42" t="s">
        <v>1539</v>
      </c>
    </row>
    <row r="106" spans="1:6">
      <c r="A106" s="42" t="s">
        <v>2047</v>
      </c>
      <c r="B106" s="42">
        <v>2546062</v>
      </c>
      <c r="C106" s="151" t="s">
        <v>1176</v>
      </c>
      <c r="D106" s="151"/>
      <c r="E106" s="112">
        <v>17245</v>
      </c>
      <c r="F106" s="42" t="s">
        <v>1525</v>
      </c>
    </row>
    <row r="107" spans="1:6">
      <c r="A107" s="42" t="s">
        <v>2047</v>
      </c>
      <c r="B107" s="42">
        <v>2555242</v>
      </c>
      <c r="C107" s="151" t="s">
        <v>1176</v>
      </c>
      <c r="D107" s="151"/>
      <c r="E107" s="112">
        <v>17315</v>
      </c>
      <c r="F107" s="42" t="s">
        <v>1551</v>
      </c>
    </row>
    <row r="108" spans="1:6">
      <c r="A108" s="42" t="s">
        <v>2047</v>
      </c>
      <c r="B108" s="42">
        <v>2555223</v>
      </c>
      <c r="C108" s="151" t="s">
        <v>1176</v>
      </c>
      <c r="D108" s="151"/>
      <c r="E108" s="112">
        <v>17315</v>
      </c>
      <c r="F108" s="42" t="s">
        <v>1417</v>
      </c>
    </row>
    <row r="109" spans="1:6">
      <c r="A109" s="42" t="s">
        <v>2047</v>
      </c>
      <c r="B109" s="42">
        <v>2559089</v>
      </c>
      <c r="C109" s="151" t="s">
        <v>1176</v>
      </c>
      <c r="D109" s="151"/>
      <c r="E109" s="112">
        <v>17350</v>
      </c>
      <c r="F109" s="42" t="s">
        <v>1418</v>
      </c>
    </row>
    <row r="110" spans="1:6">
      <c r="A110" s="42" t="s">
        <v>2047</v>
      </c>
      <c r="B110" s="42">
        <v>2559097</v>
      </c>
      <c r="C110" s="151" t="s">
        <v>1176</v>
      </c>
      <c r="D110" s="151"/>
      <c r="E110" s="112">
        <v>17350</v>
      </c>
      <c r="F110" s="42" t="s">
        <v>1419</v>
      </c>
    </row>
    <row r="111" spans="1:6">
      <c r="A111" s="42" t="s">
        <v>2047</v>
      </c>
      <c r="B111" s="42">
        <v>2572756</v>
      </c>
      <c r="C111" s="151" t="s">
        <v>1176</v>
      </c>
      <c r="D111" s="151"/>
      <c r="E111" s="112">
        <v>17462</v>
      </c>
      <c r="F111" s="42" t="s">
        <v>1431</v>
      </c>
    </row>
    <row r="112" spans="1:6">
      <c r="A112" s="42" t="s">
        <v>2047</v>
      </c>
      <c r="B112" s="42">
        <v>2573098</v>
      </c>
      <c r="C112" s="151" t="s">
        <v>1176</v>
      </c>
      <c r="D112" s="151"/>
      <c r="E112" s="112">
        <v>17470</v>
      </c>
      <c r="F112" s="42" t="s">
        <v>1512</v>
      </c>
    </row>
    <row r="113" spans="1:6">
      <c r="A113" s="42" t="s">
        <v>2047</v>
      </c>
      <c r="B113" s="42">
        <v>2578713</v>
      </c>
      <c r="C113" s="151" t="s">
        <v>1176</v>
      </c>
      <c r="D113" s="151"/>
      <c r="E113" s="112">
        <v>17518</v>
      </c>
      <c r="F113" s="42" t="s">
        <v>1537</v>
      </c>
    </row>
    <row r="114" spans="1:6">
      <c r="A114" s="42" t="s">
        <v>2047</v>
      </c>
      <c r="B114" s="42">
        <v>2578712</v>
      </c>
      <c r="C114" s="151" t="s">
        <v>1176</v>
      </c>
      <c r="D114" s="151"/>
      <c r="E114" s="112">
        <v>17518</v>
      </c>
      <c r="F114" s="42" t="s">
        <v>1537</v>
      </c>
    </row>
    <row r="115" spans="1:6">
      <c r="A115" s="42" t="s">
        <v>2047</v>
      </c>
      <c r="B115" s="42">
        <v>2612184</v>
      </c>
      <c r="C115" s="151" t="s">
        <v>1176</v>
      </c>
      <c r="D115" s="151"/>
      <c r="E115" s="112">
        <v>17805</v>
      </c>
      <c r="F115" s="42" t="s">
        <v>1513</v>
      </c>
    </row>
    <row r="116" spans="1:6">
      <c r="A116" s="42" t="s">
        <v>2047</v>
      </c>
      <c r="B116" s="42">
        <v>2618244</v>
      </c>
      <c r="C116" s="151" t="s">
        <v>1176</v>
      </c>
      <c r="D116" s="151"/>
      <c r="E116" s="112">
        <v>17854</v>
      </c>
      <c r="F116" s="42" t="s">
        <v>1495</v>
      </c>
    </row>
    <row r="117" spans="1:6">
      <c r="A117" s="42" t="s">
        <v>2047</v>
      </c>
      <c r="B117" s="42">
        <v>2620823</v>
      </c>
      <c r="C117" s="151" t="s">
        <v>1176</v>
      </c>
      <c r="D117" s="151"/>
      <c r="E117" s="112">
        <v>17875</v>
      </c>
      <c r="F117" s="42" t="s">
        <v>1474</v>
      </c>
    </row>
    <row r="118" spans="1:6">
      <c r="A118" s="42" t="s">
        <v>2047</v>
      </c>
      <c r="B118" s="42">
        <v>2622486</v>
      </c>
      <c r="C118" s="151" t="s">
        <v>1176</v>
      </c>
      <c r="D118" s="151"/>
      <c r="E118" s="112">
        <v>17889</v>
      </c>
      <c r="F118" s="42" t="s">
        <v>1523</v>
      </c>
    </row>
    <row r="119" spans="1:6">
      <c r="A119" s="42" t="s">
        <v>2047</v>
      </c>
      <c r="B119" s="42">
        <v>2622454</v>
      </c>
      <c r="C119" s="151" t="s">
        <v>1176</v>
      </c>
      <c r="D119" s="151"/>
      <c r="E119" s="112">
        <v>17889</v>
      </c>
      <c r="F119" s="42" t="s">
        <v>1495</v>
      </c>
    </row>
    <row r="120" spans="1:6">
      <c r="A120" s="42" t="s">
        <v>2047</v>
      </c>
      <c r="B120" s="42">
        <v>2622537</v>
      </c>
      <c r="C120" s="151" t="s">
        <v>1176</v>
      </c>
      <c r="D120" s="151"/>
      <c r="E120" s="112">
        <v>17889</v>
      </c>
      <c r="F120" s="42" t="s">
        <v>1553</v>
      </c>
    </row>
    <row r="121" spans="1:6">
      <c r="A121" s="42" t="s">
        <v>2047</v>
      </c>
      <c r="B121" s="42">
        <v>2622614</v>
      </c>
      <c r="C121" s="151" t="s">
        <v>1176</v>
      </c>
      <c r="D121" s="151"/>
      <c r="E121" s="112">
        <v>17889</v>
      </c>
      <c r="F121" s="42" t="s">
        <v>1417</v>
      </c>
    </row>
    <row r="122" spans="1:6">
      <c r="A122" s="42" t="s">
        <v>2047</v>
      </c>
      <c r="B122" s="42">
        <v>2622489</v>
      </c>
      <c r="C122" s="151" t="s">
        <v>1176</v>
      </c>
      <c r="D122" s="151"/>
      <c r="E122" s="112">
        <v>17889</v>
      </c>
      <c r="F122" s="42" t="s">
        <v>1495</v>
      </c>
    </row>
    <row r="123" spans="1:6">
      <c r="A123" s="42" t="s">
        <v>2047</v>
      </c>
      <c r="B123" s="42">
        <v>2633061</v>
      </c>
      <c r="C123" s="151" t="s">
        <v>1176</v>
      </c>
      <c r="D123" s="151"/>
      <c r="E123" s="112">
        <v>17987</v>
      </c>
      <c r="F123" s="42" t="s">
        <v>1523</v>
      </c>
    </row>
    <row r="124" spans="1:6">
      <c r="A124" s="42" t="s">
        <v>2047</v>
      </c>
      <c r="B124" s="42">
        <v>2641969</v>
      </c>
      <c r="C124" s="151" t="s">
        <v>1176</v>
      </c>
      <c r="D124" s="151"/>
      <c r="E124" s="112">
        <v>18064</v>
      </c>
      <c r="F124" s="42" t="s">
        <v>1495</v>
      </c>
    </row>
    <row r="125" spans="1:6">
      <c r="A125" s="42" t="s">
        <v>2047</v>
      </c>
      <c r="B125" s="42">
        <v>2641970</v>
      </c>
      <c r="C125" s="151" t="s">
        <v>1176</v>
      </c>
      <c r="D125" s="151"/>
      <c r="E125" s="112">
        <v>18064</v>
      </c>
      <c r="F125" s="42" t="s">
        <v>1418</v>
      </c>
    </row>
    <row r="126" spans="1:6">
      <c r="A126" s="42" t="s">
        <v>2047</v>
      </c>
      <c r="B126" s="42">
        <v>2660985</v>
      </c>
      <c r="C126" s="151" t="s">
        <v>1176</v>
      </c>
      <c r="D126" s="151"/>
      <c r="E126" s="112">
        <v>18232</v>
      </c>
      <c r="F126" s="42" t="s">
        <v>1525</v>
      </c>
    </row>
    <row r="128" spans="1:6">
      <c r="A128" s="42" t="s">
        <v>1000</v>
      </c>
    </row>
    <row r="129" spans="1:6">
      <c r="A129" s="42" t="s">
        <v>2047</v>
      </c>
      <c r="B129" s="42">
        <v>2077434</v>
      </c>
      <c r="C129" s="151" t="s">
        <v>1176</v>
      </c>
      <c r="D129" s="264">
        <v>11553</v>
      </c>
      <c r="E129" s="112">
        <v>12163</v>
      </c>
      <c r="F129" s="42" t="s">
        <v>1475</v>
      </c>
    </row>
    <row r="130" spans="1:6">
      <c r="A130" s="42" t="s">
        <v>2047</v>
      </c>
      <c r="B130" s="42">
        <v>2077435</v>
      </c>
      <c r="C130" s="151" t="s">
        <v>1176</v>
      </c>
      <c r="D130" s="264">
        <v>11599</v>
      </c>
      <c r="E130" s="112">
        <v>12163</v>
      </c>
      <c r="F130" s="42" t="s">
        <v>1476</v>
      </c>
    </row>
    <row r="131" spans="1:6">
      <c r="A131" s="42" t="s">
        <v>2047</v>
      </c>
      <c r="B131" s="42">
        <v>2078859</v>
      </c>
      <c r="C131" s="151" t="s">
        <v>1176</v>
      </c>
      <c r="D131" s="264">
        <v>11404</v>
      </c>
      <c r="E131" s="112">
        <v>12170</v>
      </c>
      <c r="F131" s="42" t="s">
        <v>1477</v>
      </c>
    </row>
    <row r="132" spans="1:6">
      <c r="A132" s="42" t="s">
        <v>2047</v>
      </c>
      <c r="B132" s="42">
        <v>2081288</v>
      </c>
      <c r="C132" s="151" t="s">
        <v>1176</v>
      </c>
      <c r="D132" s="264">
        <v>11458</v>
      </c>
      <c r="E132" s="112">
        <v>12198</v>
      </c>
      <c r="F132" s="42" t="s">
        <v>1478</v>
      </c>
    </row>
    <row r="133" spans="1:6">
      <c r="A133" s="42" t="s">
        <v>2047</v>
      </c>
      <c r="B133" s="42">
        <v>2085272</v>
      </c>
      <c r="C133" s="151" t="s">
        <v>1176</v>
      </c>
      <c r="D133" s="264">
        <v>11525</v>
      </c>
      <c r="E133" s="112">
        <v>12233</v>
      </c>
      <c r="F133" s="42" t="s">
        <v>1479</v>
      </c>
    </row>
    <row r="134" spans="1:6">
      <c r="A134" s="42" t="s">
        <v>2047</v>
      </c>
      <c r="B134" s="42">
        <v>2085888</v>
      </c>
      <c r="C134" s="151" t="s">
        <v>1176</v>
      </c>
      <c r="D134" s="264">
        <v>10554</v>
      </c>
      <c r="E134" s="112">
        <v>12240</v>
      </c>
      <c r="F134" s="42" t="s">
        <v>1478</v>
      </c>
    </row>
    <row r="135" spans="1:6">
      <c r="A135" s="42" t="s">
        <v>2047</v>
      </c>
      <c r="B135" s="42">
        <v>2110173</v>
      </c>
      <c r="C135" s="151" t="s">
        <v>1176</v>
      </c>
      <c r="D135" s="264">
        <v>10619</v>
      </c>
      <c r="E135" s="112">
        <v>12485</v>
      </c>
      <c r="F135" s="42" t="s">
        <v>1480</v>
      </c>
    </row>
    <row r="136" spans="1:6">
      <c r="A136" s="42" t="s">
        <v>2047</v>
      </c>
      <c r="B136" s="42">
        <v>2115058</v>
      </c>
      <c r="C136" s="151" t="s">
        <v>1176</v>
      </c>
      <c r="D136" s="264">
        <v>11166</v>
      </c>
      <c r="E136" s="112">
        <v>12534</v>
      </c>
      <c r="F136" s="42" t="s">
        <v>1478</v>
      </c>
    </row>
    <row r="137" spans="1:6">
      <c r="A137" s="42" t="s">
        <v>2047</v>
      </c>
      <c r="B137" s="42">
        <v>2118357</v>
      </c>
      <c r="C137" s="151" t="s">
        <v>1176</v>
      </c>
      <c r="D137" s="264">
        <v>11744</v>
      </c>
      <c r="E137" s="112">
        <v>12562</v>
      </c>
      <c r="F137" s="42" t="s">
        <v>1481</v>
      </c>
    </row>
    <row r="138" spans="1:6">
      <c r="A138" s="42" t="s">
        <v>2047</v>
      </c>
      <c r="B138" s="42">
        <v>2118358</v>
      </c>
      <c r="C138" s="151" t="s">
        <v>1176</v>
      </c>
      <c r="D138" s="264">
        <v>11996</v>
      </c>
      <c r="E138" s="112">
        <v>12562</v>
      </c>
      <c r="F138" s="42" t="s">
        <v>1481</v>
      </c>
    </row>
    <row r="139" spans="1:6">
      <c r="A139" s="42" t="s">
        <v>2047</v>
      </c>
      <c r="B139" s="42">
        <v>2141263</v>
      </c>
      <c r="C139" s="151" t="s">
        <v>1176</v>
      </c>
      <c r="D139" s="264">
        <v>11655</v>
      </c>
      <c r="E139" s="112">
        <v>12779</v>
      </c>
      <c r="F139" s="42" t="s">
        <v>1482</v>
      </c>
    </row>
    <row r="140" spans="1:6">
      <c r="A140" s="42" t="s">
        <v>2047</v>
      </c>
      <c r="B140" s="42">
        <v>2153424</v>
      </c>
      <c r="C140" s="151" t="s">
        <v>1176</v>
      </c>
      <c r="D140" s="264">
        <v>12333</v>
      </c>
      <c r="E140" s="112">
        <v>12877</v>
      </c>
      <c r="F140" s="42" t="s">
        <v>1483</v>
      </c>
    </row>
    <row r="141" spans="1:6">
      <c r="A141" s="42" t="s">
        <v>2047</v>
      </c>
      <c r="B141" s="42">
        <v>2157471</v>
      </c>
      <c r="C141" s="151" t="s">
        <v>1176</v>
      </c>
      <c r="D141" s="264">
        <v>11625</v>
      </c>
      <c r="E141" s="112">
        <v>12912</v>
      </c>
      <c r="F141" s="42" t="s">
        <v>1478</v>
      </c>
    </row>
    <row r="142" spans="1:6">
      <c r="A142" s="42" t="s">
        <v>2047</v>
      </c>
      <c r="B142" s="42">
        <v>2158649</v>
      </c>
      <c r="C142" s="151" t="s">
        <v>1176</v>
      </c>
      <c r="D142" s="264">
        <v>11941</v>
      </c>
      <c r="E142" s="112">
        <v>12919</v>
      </c>
      <c r="F142" s="42" t="s">
        <v>1478</v>
      </c>
    </row>
    <row r="143" spans="1:6">
      <c r="A143" s="42" t="s">
        <v>2047</v>
      </c>
      <c r="B143" s="42">
        <v>2169484</v>
      </c>
      <c r="C143" s="151" t="s">
        <v>1176</v>
      </c>
      <c r="D143" s="264">
        <v>12215</v>
      </c>
      <c r="E143" s="112">
        <v>13010</v>
      </c>
      <c r="F143" s="42" t="s">
        <v>1478</v>
      </c>
    </row>
    <row r="144" spans="1:6">
      <c r="A144" s="42" t="s">
        <v>2047</v>
      </c>
      <c r="B144" s="42">
        <v>2182421</v>
      </c>
      <c r="C144" s="151" t="s">
        <v>1176</v>
      </c>
      <c r="D144" s="264">
        <v>11859</v>
      </c>
      <c r="E144" s="112">
        <v>13122</v>
      </c>
      <c r="F144" s="42" t="s">
        <v>1478</v>
      </c>
    </row>
    <row r="145" spans="1:6">
      <c r="A145" s="42" t="s">
        <v>2047</v>
      </c>
      <c r="B145" s="42">
        <v>2195799</v>
      </c>
      <c r="C145" s="151" t="s">
        <v>1176</v>
      </c>
      <c r="D145" s="264">
        <v>12852</v>
      </c>
      <c r="E145" s="112">
        <v>13241</v>
      </c>
      <c r="F145" s="42" t="s">
        <v>1475</v>
      </c>
    </row>
    <row r="146" spans="1:6">
      <c r="A146" s="42" t="s">
        <v>2047</v>
      </c>
      <c r="B146" s="42">
        <v>2198102</v>
      </c>
      <c r="C146" s="151" t="s">
        <v>1176</v>
      </c>
      <c r="D146" s="264">
        <v>12127</v>
      </c>
      <c r="E146" s="112">
        <v>13262</v>
      </c>
      <c r="F146" s="42" t="s">
        <v>1478</v>
      </c>
    </row>
    <row r="147" spans="1:6">
      <c r="A147" s="42" t="s">
        <v>2047</v>
      </c>
      <c r="B147" s="42">
        <v>2205361</v>
      </c>
      <c r="C147" s="151" t="s">
        <v>1176</v>
      </c>
      <c r="D147" s="264">
        <v>10657</v>
      </c>
      <c r="E147" s="112">
        <v>13318</v>
      </c>
      <c r="F147" s="42" t="s">
        <v>1484</v>
      </c>
    </row>
    <row r="148" spans="1:6">
      <c r="A148" s="42" t="s">
        <v>2047</v>
      </c>
      <c r="B148" s="42">
        <v>2215684</v>
      </c>
      <c r="C148" s="151" t="s">
        <v>1176</v>
      </c>
      <c r="D148" s="264">
        <v>11861</v>
      </c>
      <c r="E148" s="112">
        <v>13416</v>
      </c>
      <c r="F148" s="42" t="s">
        <v>1478</v>
      </c>
    </row>
    <row r="149" spans="1:6">
      <c r="A149" s="42" t="s">
        <v>2047</v>
      </c>
      <c r="B149" s="42">
        <v>2217938</v>
      </c>
      <c r="C149" s="151" t="s">
        <v>1176</v>
      </c>
      <c r="D149" s="264">
        <v>12325</v>
      </c>
      <c r="E149" s="112">
        <v>13437</v>
      </c>
      <c r="F149" s="42" t="s">
        <v>1478</v>
      </c>
    </row>
    <row r="150" spans="1:6">
      <c r="A150" s="42" t="s">
        <v>2047</v>
      </c>
      <c r="B150" s="42">
        <v>2227620</v>
      </c>
      <c r="C150" s="151" t="s">
        <v>1176</v>
      </c>
      <c r="D150" s="264">
        <v>12036</v>
      </c>
      <c r="E150" s="112">
        <v>13521</v>
      </c>
      <c r="F150" s="42" t="s">
        <v>1485</v>
      </c>
    </row>
    <row r="151" spans="1:6">
      <c r="A151" s="42" t="s">
        <v>2047</v>
      </c>
      <c r="B151" s="42">
        <v>2228583</v>
      </c>
      <c r="C151" s="151" t="s">
        <v>1176</v>
      </c>
      <c r="D151" s="264">
        <v>12074</v>
      </c>
      <c r="E151" s="112">
        <v>13528</v>
      </c>
      <c r="F151" s="42" t="s">
        <v>1475</v>
      </c>
    </row>
    <row r="152" spans="1:6">
      <c r="A152" s="42" t="s">
        <v>2047</v>
      </c>
      <c r="B152" s="42">
        <v>2234775</v>
      </c>
      <c r="C152" s="151" t="s">
        <v>1176</v>
      </c>
      <c r="D152" s="264">
        <v>12617</v>
      </c>
      <c r="E152" s="112">
        <v>13584</v>
      </c>
      <c r="F152" s="42" t="s">
        <v>1475</v>
      </c>
    </row>
    <row r="153" spans="1:6">
      <c r="A153" s="42" t="s">
        <v>2047</v>
      </c>
      <c r="B153" s="42">
        <v>2240973</v>
      </c>
      <c r="C153" s="151" t="s">
        <v>1176</v>
      </c>
      <c r="D153" s="264">
        <v>12209</v>
      </c>
      <c r="E153" s="112">
        <v>13640</v>
      </c>
      <c r="F153" s="42" t="s">
        <v>1478</v>
      </c>
    </row>
    <row r="154" spans="1:6">
      <c r="A154" s="42" t="s">
        <v>2047</v>
      </c>
      <c r="B154" s="42">
        <v>2242445</v>
      </c>
      <c r="C154" s="151" t="s">
        <v>1176</v>
      </c>
      <c r="D154" s="264">
        <v>12103</v>
      </c>
      <c r="E154" s="112">
        <v>13654</v>
      </c>
      <c r="F154" s="42" t="s">
        <v>1478</v>
      </c>
    </row>
    <row r="155" spans="1:6">
      <c r="A155" s="42" t="s">
        <v>2047</v>
      </c>
      <c r="B155" s="42">
        <v>2244413</v>
      </c>
      <c r="C155" s="151" t="s">
        <v>1176</v>
      </c>
      <c r="D155" s="151"/>
      <c r="E155" s="112">
        <v>13668</v>
      </c>
      <c r="F155" s="42" t="s">
        <v>1478</v>
      </c>
    </row>
    <row r="156" spans="1:6">
      <c r="A156" s="42" t="s">
        <v>2047</v>
      </c>
      <c r="B156" s="42">
        <v>2244985</v>
      </c>
      <c r="C156" s="151" t="s">
        <v>1176</v>
      </c>
      <c r="D156" s="151"/>
      <c r="E156" s="112">
        <v>13675</v>
      </c>
      <c r="F156" s="42" t="s">
        <v>1485</v>
      </c>
    </row>
    <row r="157" spans="1:6">
      <c r="A157" s="42" t="s">
        <v>2047</v>
      </c>
      <c r="B157" s="42">
        <v>2263404</v>
      </c>
      <c r="C157" s="151" t="s">
        <v>1176</v>
      </c>
      <c r="D157" s="151"/>
      <c r="E157" s="112">
        <v>13836</v>
      </c>
      <c r="F157" s="42" t="s">
        <v>1485</v>
      </c>
    </row>
    <row r="158" spans="1:6">
      <c r="A158" s="42" t="s">
        <v>2047</v>
      </c>
      <c r="B158" s="42">
        <v>2275241</v>
      </c>
      <c r="C158" s="151" t="s">
        <v>1176</v>
      </c>
      <c r="D158" s="151"/>
      <c r="E158" s="112">
        <v>13941</v>
      </c>
      <c r="F158" s="42" t="s">
        <v>1485</v>
      </c>
    </row>
    <row r="159" spans="1:6">
      <c r="A159" s="42" t="s">
        <v>2047</v>
      </c>
      <c r="B159" s="42">
        <v>2293880</v>
      </c>
      <c r="C159" s="151" t="s">
        <v>1176</v>
      </c>
      <c r="D159" s="151"/>
      <c r="E159" s="112">
        <v>14116</v>
      </c>
      <c r="F159" s="42" t="s">
        <v>1485</v>
      </c>
    </row>
    <row r="160" spans="1:6">
      <c r="A160" s="42" t="s">
        <v>2047</v>
      </c>
      <c r="B160" s="42">
        <v>2319480</v>
      </c>
      <c r="C160" s="151" t="s">
        <v>1176</v>
      </c>
      <c r="D160" s="151"/>
      <c r="E160" s="112">
        <v>14382</v>
      </c>
      <c r="F160" s="42" t="s">
        <v>1486</v>
      </c>
    </row>
    <row r="161" spans="1:6">
      <c r="A161" s="42" t="s">
        <v>2047</v>
      </c>
      <c r="B161" s="42">
        <v>2332684</v>
      </c>
      <c r="C161" s="151" t="s">
        <v>1176</v>
      </c>
      <c r="D161" s="151"/>
      <c r="E161" s="112">
        <v>14543</v>
      </c>
      <c r="F161" s="42" t="s">
        <v>1478</v>
      </c>
    </row>
    <row r="162" spans="1:6">
      <c r="A162" s="42" t="s">
        <v>2047</v>
      </c>
      <c r="B162" s="42">
        <v>2335304</v>
      </c>
      <c r="C162" s="151" t="s">
        <v>1176</v>
      </c>
      <c r="D162" s="151"/>
      <c r="E162" s="112">
        <v>14578</v>
      </c>
      <c r="F162" s="42" t="s">
        <v>1475</v>
      </c>
    </row>
    <row r="163" spans="1:6">
      <c r="A163" s="42" t="s">
        <v>2047</v>
      </c>
      <c r="B163" s="42">
        <v>2335305</v>
      </c>
      <c r="C163" s="151" t="s">
        <v>1176</v>
      </c>
      <c r="D163" s="151"/>
      <c r="E163" s="112">
        <v>14578</v>
      </c>
      <c r="F163" s="42" t="s">
        <v>1475</v>
      </c>
    </row>
    <row r="164" spans="1:6">
      <c r="A164" s="42" t="s">
        <v>2047</v>
      </c>
      <c r="B164" s="42">
        <v>2337223</v>
      </c>
      <c r="C164" s="151" t="s">
        <v>1176</v>
      </c>
      <c r="D164" s="151"/>
      <c r="E164" s="112">
        <v>14599</v>
      </c>
      <c r="F164" s="42" t="s">
        <v>1478</v>
      </c>
    </row>
    <row r="165" spans="1:6">
      <c r="A165" s="42" t="s">
        <v>2047</v>
      </c>
      <c r="B165" s="42">
        <v>2339102</v>
      </c>
      <c r="C165" s="151" t="s">
        <v>1176</v>
      </c>
      <c r="D165" s="151"/>
      <c r="E165" s="112">
        <v>14620</v>
      </c>
      <c r="F165" s="42" t="s">
        <v>1475</v>
      </c>
    </row>
    <row r="166" spans="1:6">
      <c r="A166" s="42" t="s">
        <v>2047</v>
      </c>
      <c r="B166" s="42">
        <v>2340210</v>
      </c>
      <c r="C166" s="151" t="s">
        <v>1176</v>
      </c>
      <c r="D166" s="151"/>
      <c r="E166" s="112">
        <v>14634</v>
      </c>
      <c r="F166" s="42" t="s">
        <v>1485</v>
      </c>
    </row>
    <row r="167" spans="1:6">
      <c r="A167" s="42" t="s">
        <v>2047</v>
      </c>
      <c r="B167" s="42">
        <v>2342829</v>
      </c>
      <c r="C167" s="151" t="s">
        <v>1176</v>
      </c>
      <c r="D167" s="151"/>
      <c r="E167" s="112">
        <v>14669</v>
      </c>
      <c r="F167" s="42" t="s">
        <v>1478</v>
      </c>
    </row>
    <row r="168" spans="1:6">
      <c r="A168" s="42" t="s">
        <v>2047</v>
      </c>
      <c r="B168" s="42">
        <v>2344529</v>
      </c>
      <c r="C168" s="151" t="s">
        <v>1176</v>
      </c>
      <c r="D168" s="151"/>
      <c r="E168" s="112">
        <v>14690</v>
      </c>
      <c r="F168" s="42" t="s">
        <v>1478</v>
      </c>
    </row>
    <row r="169" spans="1:6">
      <c r="A169" s="42" t="s">
        <v>2047</v>
      </c>
      <c r="B169" s="42">
        <v>2345171</v>
      </c>
      <c r="C169" s="151" t="s">
        <v>1176</v>
      </c>
      <c r="D169" s="151"/>
      <c r="E169" s="112">
        <v>14697</v>
      </c>
      <c r="F169" s="42" t="s">
        <v>1485</v>
      </c>
    </row>
    <row r="170" spans="1:6">
      <c r="A170" s="42" t="s">
        <v>2047</v>
      </c>
      <c r="B170" s="42">
        <v>2349959</v>
      </c>
      <c r="C170" s="151" t="s">
        <v>1176</v>
      </c>
      <c r="D170" s="151"/>
      <c r="E170" s="112">
        <v>14760</v>
      </c>
      <c r="F170" s="42" t="s">
        <v>1590</v>
      </c>
    </row>
    <row r="171" spans="1:6">
      <c r="A171" s="42" t="s">
        <v>2047</v>
      </c>
      <c r="B171" s="42">
        <v>2355082</v>
      </c>
      <c r="C171" s="151" t="s">
        <v>1176</v>
      </c>
      <c r="D171" s="151"/>
      <c r="E171" s="112">
        <v>14830</v>
      </c>
      <c r="F171" s="42" t="s">
        <v>1484</v>
      </c>
    </row>
    <row r="172" spans="1:6">
      <c r="A172" s="42" t="s">
        <v>2047</v>
      </c>
      <c r="B172" s="42">
        <v>2355554</v>
      </c>
      <c r="C172" s="151" t="s">
        <v>1176</v>
      </c>
      <c r="D172" s="151"/>
      <c r="E172" s="112">
        <v>14830</v>
      </c>
      <c r="F172" s="42" t="s">
        <v>1475</v>
      </c>
    </row>
    <row r="173" spans="1:6">
      <c r="A173" s="42" t="s">
        <v>2047</v>
      </c>
      <c r="B173" s="42">
        <v>2357222</v>
      </c>
      <c r="C173" s="151" t="s">
        <v>1176</v>
      </c>
      <c r="D173" s="151"/>
      <c r="E173" s="112">
        <v>14851</v>
      </c>
      <c r="F173" s="42" t="s">
        <v>1475</v>
      </c>
    </row>
    <row r="174" spans="1:6">
      <c r="A174" s="42" t="s">
        <v>2047</v>
      </c>
      <c r="B174" s="42">
        <v>2359601</v>
      </c>
      <c r="C174" s="151" t="s">
        <v>1176</v>
      </c>
      <c r="D174" s="151"/>
      <c r="E174" s="112">
        <v>14886</v>
      </c>
      <c r="F174" s="42" t="s">
        <v>1496</v>
      </c>
    </row>
    <row r="175" spans="1:6">
      <c r="A175" s="42" t="s">
        <v>2047</v>
      </c>
      <c r="B175" s="42">
        <v>2370764</v>
      </c>
      <c r="C175" s="151" t="s">
        <v>1176</v>
      </c>
      <c r="D175" s="151"/>
      <c r="E175" s="112">
        <v>15040</v>
      </c>
      <c r="F175" s="42" t="s">
        <v>1485</v>
      </c>
    </row>
    <row r="176" spans="1:6">
      <c r="A176" s="42" t="s">
        <v>2047</v>
      </c>
      <c r="B176" s="42">
        <v>2374719</v>
      </c>
      <c r="C176" s="151" t="s">
        <v>1176</v>
      </c>
      <c r="D176" s="151"/>
      <c r="E176" s="112">
        <v>15096</v>
      </c>
      <c r="F176" s="42" t="s">
        <v>1478</v>
      </c>
    </row>
    <row r="177" spans="1:6">
      <c r="A177" s="42" t="s">
        <v>2047</v>
      </c>
      <c r="B177" s="42">
        <v>2379405</v>
      </c>
      <c r="C177" s="151" t="s">
        <v>1176</v>
      </c>
      <c r="D177" s="151"/>
      <c r="E177" s="112">
        <v>15159</v>
      </c>
      <c r="F177" s="42" t="s">
        <v>1478</v>
      </c>
    </row>
    <row r="178" spans="1:6">
      <c r="A178" s="42" t="s">
        <v>2047</v>
      </c>
      <c r="B178" s="42">
        <v>2382934</v>
      </c>
      <c r="C178" s="151" t="s">
        <v>1176</v>
      </c>
      <c r="D178" s="151"/>
      <c r="E178" s="112">
        <v>15201</v>
      </c>
      <c r="F178" s="42" t="s">
        <v>1478</v>
      </c>
    </row>
    <row r="179" spans="1:6">
      <c r="A179" s="42" t="s">
        <v>2047</v>
      </c>
      <c r="B179" s="42">
        <v>2382935</v>
      </c>
      <c r="C179" s="151" t="s">
        <v>1176</v>
      </c>
      <c r="D179" s="151"/>
      <c r="E179" s="112">
        <v>15201</v>
      </c>
      <c r="F179" s="42" t="s">
        <v>1478</v>
      </c>
    </row>
    <row r="180" spans="1:6">
      <c r="A180" s="42" t="s">
        <v>2047</v>
      </c>
      <c r="B180" s="42">
        <v>2385907</v>
      </c>
      <c r="C180" s="151" t="s">
        <v>1176</v>
      </c>
      <c r="D180" s="151"/>
      <c r="E180" s="112">
        <v>15250</v>
      </c>
      <c r="F180" s="42" t="s">
        <v>1485</v>
      </c>
    </row>
    <row r="181" spans="1:6">
      <c r="A181" s="42" t="s">
        <v>2047</v>
      </c>
      <c r="B181" s="42">
        <v>2392963</v>
      </c>
      <c r="C181" s="151" t="s">
        <v>1176</v>
      </c>
      <c r="D181" s="151"/>
      <c r="E181" s="112">
        <v>15355</v>
      </c>
      <c r="F181" s="42" t="s">
        <v>1485</v>
      </c>
    </row>
    <row r="182" spans="1:6">
      <c r="A182" s="42" t="s">
        <v>2047</v>
      </c>
      <c r="B182" s="42">
        <v>2392964</v>
      </c>
      <c r="C182" s="151" t="s">
        <v>1176</v>
      </c>
      <c r="D182" s="151"/>
      <c r="E182" s="112">
        <v>15355</v>
      </c>
      <c r="F182" s="42" t="s">
        <v>1485</v>
      </c>
    </row>
    <row r="183" spans="1:6">
      <c r="A183" s="42" t="s">
        <v>2047</v>
      </c>
      <c r="B183" s="42">
        <v>2407913</v>
      </c>
      <c r="C183" s="151" t="s">
        <v>1176</v>
      </c>
      <c r="D183" s="151"/>
      <c r="E183" s="112">
        <v>15600</v>
      </c>
      <c r="F183" s="42" t="s">
        <v>1485</v>
      </c>
    </row>
    <row r="184" spans="1:6">
      <c r="A184" s="42" t="s">
        <v>2047</v>
      </c>
      <c r="B184" s="42">
        <v>2407970</v>
      </c>
      <c r="C184" s="151" t="s">
        <v>1176</v>
      </c>
      <c r="D184" s="151"/>
      <c r="E184" s="112">
        <v>15607</v>
      </c>
      <c r="F184" s="42" t="s">
        <v>1496</v>
      </c>
    </row>
    <row r="185" spans="1:6">
      <c r="A185" s="42" t="s">
        <v>2047</v>
      </c>
      <c r="B185" s="42">
        <v>2415801</v>
      </c>
      <c r="C185" s="151" t="s">
        <v>1176</v>
      </c>
      <c r="D185" s="151"/>
      <c r="E185" s="112">
        <v>15747</v>
      </c>
      <c r="F185" s="42" t="s">
        <v>1485</v>
      </c>
    </row>
    <row r="186" spans="1:6">
      <c r="A186" s="42" t="s">
        <v>2047</v>
      </c>
      <c r="B186" s="42">
        <v>2417671</v>
      </c>
      <c r="C186" s="151" t="s">
        <v>1176</v>
      </c>
      <c r="D186" s="151"/>
      <c r="E186" s="112">
        <v>15782</v>
      </c>
      <c r="F186" s="42" t="s">
        <v>1478</v>
      </c>
    </row>
    <row r="187" spans="1:6">
      <c r="A187" s="42" t="s">
        <v>2047</v>
      </c>
      <c r="B187" s="42">
        <v>2417672</v>
      </c>
      <c r="C187" s="151" t="s">
        <v>1176</v>
      </c>
      <c r="D187" s="151"/>
      <c r="E187" s="112">
        <v>15782</v>
      </c>
      <c r="F187" s="42" t="s">
        <v>1478</v>
      </c>
    </row>
    <row r="188" spans="1:6">
      <c r="A188" s="42" t="s">
        <v>2047</v>
      </c>
      <c r="B188" s="42">
        <v>2434750</v>
      </c>
      <c r="C188" s="151" t="s">
        <v>1176</v>
      </c>
      <c r="D188" s="151"/>
      <c r="E188" s="112">
        <v>16090</v>
      </c>
      <c r="F188" s="42" t="s">
        <v>1497</v>
      </c>
    </row>
    <row r="189" spans="1:6">
      <c r="A189" s="42" t="s">
        <v>2047</v>
      </c>
      <c r="B189" s="42">
        <v>2434751</v>
      </c>
      <c r="C189" s="151" t="s">
        <v>1176</v>
      </c>
      <c r="D189" s="151"/>
      <c r="E189" s="112">
        <v>16090</v>
      </c>
      <c r="F189" s="42" t="s">
        <v>1497</v>
      </c>
    </row>
    <row r="190" spans="1:6">
      <c r="A190" s="42" t="s">
        <v>2047</v>
      </c>
      <c r="B190" s="42">
        <v>2443734</v>
      </c>
      <c r="C190" s="151" t="s">
        <v>1176</v>
      </c>
      <c r="D190" s="151"/>
      <c r="E190" s="112">
        <v>16244</v>
      </c>
      <c r="F190" s="42" t="s">
        <v>1484</v>
      </c>
    </row>
    <row r="191" spans="1:6">
      <c r="A191" s="42" t="s">
        <v>2047</v>
      </c>
      <c r="B191" s="42">
        <v>2457893</v>
      </c>
      <c r="C191" s="151" t="s">
        <v>1176</v>
      </c>
      <c r="D191" s="151"/>
      <c r="E191" s="112">
        <v>16440</v>
      </c>
      <c r="F191" s="42" t="s">
        <v>1498</v>
      </c>
    </row>
    <row r="192" spans="1:6">
      <c r="A192" s="42" t="s">
        <v>2047</v>
      </c>
      <c r="B192" s="42">
        <v>2476214</v>
      </c>
      <c r="C192" s="151" t="s">
        <v>1176</v>
      </c>
      <c r="D192" s="151"/>
      <c r="E192" s="112">
        <v>16629</v>
      </c>
      <c r="F192" s="42" t="s">
        <v>1475</v>
      </c>
    </row>
    <row r="193" spans="1:6">
      <c r="A193" s="42" t="s">
        <v>2047</v>
      </c>
      <c r="B193" s="42">
        <v>2483451</v>
      </c>
      <c r="C193" s="151" t="s">
        <v>1176</v>
      </c>
      <c r="D193" s="151"/>
      <c r="E193" s="112">
        <v>16713</v>
      </c>
      <c r="F193" s="42" t="s">
        <v>1485</v>
      </c>
    </row>
    <row r="194" spans="1:6">
      <c r="A194" s="42" t="s">
        <v>2047</v>
      </c>
      <c r="B194" s="42">
        <v>2486294</v>
      </c>
      <c r="C194" s="151" t="s">
        <v>1176</v>
      </c>
      <c r="D194" s="151"/>
      <c r="E194" s="112">
        <v>16734</v>
      </c>
      <c r="F194" s="42" t="s">
        <v>1484</v>
      </c>
    </row>
    <row r="195" spans="1:6">
      <c r="A195" s="42" t="s">
        <v>2047</v>
      </c>
      <c r="B195" s="42">
        <v>2492797</v>
      </c>
      <c r="C195" s="151" t="s">
        <v>1176</v>
      </c>
      <c r="D195" s="151"/>
      <c r="E195" s="112">
        <v>16797</v>
      </c>
      <c r="F195" s="42" t="s">
        <v>1590</v>
      </c>
    </row>
    <row r="196" spans="1:6">
      <c r="A196" s="42" t="s">
        <v>2047</v>
      </c>
      <c r="B196" s="42">
        <v>2493827</v>
      </c>
      <c r="C196" s="151" t="s">
        <v>1176</v>
      </c>
      <c r="D196" s="151"/>
      <c r="E196" s="112">
        <v>16811</v>
      </c>
      <c r="F196" s="42" t="s">
        <v>1475</v>
      </c>
    </row>
    <row r="197" spans="1:6">
      <c r="A197" s="42" t="s">
        <v>2047</v>
      </c>
      <c r="B197" s="42">
        <v>2493828</v>
      </c>
      <c r="C197" s="151" t="s">
        <v>1176</v>
      </c>
      <c r="D197" s="151"/>
      <c r="E197" s="112">
        <v>16811</v>
      </c>
      <c r="F197" s="42" t="s">
        <v>1475</v>
      </c>
    </row>
    <row r="198" spans="1:6">
      <c r="A198" s="42" t="s">
        <v>2047</v>
      </c>
      <c r="B198" s="42">
        <v>2497842</v>
      </c>
      <c r="C198" s="151" t="s">
        <v>1176</v>
      </c>
      <c r="D198" s="151"/>
      <c r="E198" s="112">
        <v>16846</v>
      </c>
      <c r="F198" s="42" t="s">
        <v>1485</v>
      </c>
    </row>
    <row r="199" spans="1:6">
      <c r="A199" s="42" t="s">
        <v>2047</v>
      </c>
      <c r="B199" s="42">
        <v>2498870</v>
      </c>
      <c r="C199" s="151" t="s">
        <v>1176</v>
      </c>
      <c r="D199" s="151"/>
      <c r="E199" s="112">
        <v>16860</v>
      </c>
      <c r="F199" s="42" t="s">
        <v>1485</v>
      </c>
    </row>
    <row r="200" spans="1:6">
      <c r="A200" s="42" t="s">
        <v>2047</v>
      </c>
      <c r="B200" s="42">
        <v>2498897</v>
      </c>
      <c r="C200" s="151" t="s">
        <v>1176</v>
      </c>
      <c r="D200" s="151"/>
      <c r="E200" s="112">
        <v>16860</v>
      </c>
      <c r="F200" s="42" t="s">
        <v>1499</v>
      </c>
    </row>
    <row r="201" spans="1:6">
      <c r="A201" s="42" t="s">
        <v>2047</v>
      </c>
      <c r="B201" s="42">
        <v>2499842</v>
      </c>
      <c r="C201" s="151" t="s">
        <v>1176</v>
      </c>
      <c r="D201" s="151"/>
      <c r="E201" s="112">
        <v>16867</v>
      </c>
      <c r="F201" s="42" t="s">
        <v>1478</v>
      </c>
    </row>
    <row r="202" spans="1:6">
      <c r="A202" s="42" t="s">
        <v>2047</v>
      </c>
      <c r="B202" s="42">
        <v>2511956</v>
      </c>
      <c r="C202" s="151" t="s">
        <v>1176</v>
      </c>
      <c r="D202" s="151"/>
      <c r="E202" s="112">
        <v>16972</v>
      </c>
      <c r="F202" s="42" t="s">
        <v>1504</v>
      </c>
    </row>
    <row r="203" spans="1:6">
      <c r="A203" s="42" t="s">
        <v>2047</v>
      </c>
      <c r="B203" s="42">
        <v>2521185</v>
      </c>
      <c r="C203" s="151" t="s">
        <v>1176</v>
      </c>
      <c r="D203" s="151"/>
      <c r="E203" s="112">
        <v>17049</v>
      </c>
      <c r="F203" s="42" t="s">
        <v>1475</v>
      </c>
    </row>
    <row r="204" spans="1:6">
      <c r="A204" s="42" t="s">
        <v>2047</v>
      </c>
      <c r="B204" s="42">
        <v>2522206</v>
      </c>
      <c r="C204" s="151" t="s">
        <v>1176</v>
      </c>
      <c r="D204" s="151"/>
      <c r="E204" s="112">
        <v>17056</v>
      </c>
      <c r="F204" s="42" t="s">
        <v>1478</v>
      </c>
    </row>
    <row r="205" spans="1:6">
      <c r="A205" s="42" t="s">
        <v>2047</v>
      </c>
      <c r="B205" s="42">
        <v>2529680</v>
      </c>
      <c r="C205" s="151" t="s">
        <v>1176</v>
      </c>
      <c r="D205" s="151"/>
      <c r="E205" s="112">
        <v>17119</v>
      </c>
      <c r="F205" s="42" t="s">
        <v>1505</v>
      </c>
    </row>
    <row r="206" spans="1:6">
      <c r="A206" s="42" t="s">
        <v>2047</v>
      </c>
      <c r="B206" s="42">
        <v>2532591</v>
      </c>
      <c r="C206" s="151" t="s">
        <v>1176</v>
      </c>
      <c r="D206" s="151"/>
      <c r="E206" s="112">
        <v>17140</v>
      </c>
      <c r="F206" s="42" t="s">
        <v>1485</v>
      </c>
    </row>
    <row r="207" spans="1:6">
      <c r="A207" s="42" t="s">
        <v>2047</v>
      </c>
      <c r="B207" s="42">
        <v>2533753</v>
      </c>
      <c r="C207" s="151" t="s">
        <v>1176</v>
      </c>
      <c r="D207" s="151"/>
      <c r="E207" s="112">
        <v>17147</v>
      </c>
      <c r="F207" s="42" t="s">
        <v>1485</v>
      </c>
    </row>
    <row r="208" spans="1:6">
      <c r="A208" s="42" t="s">
        <v>2047</v>
      </c>
      <c r="B208" s="42">
        <v>2548188</v>
      </c>
      <c r="C208" s="151" t="s">
        <v>1176</v>
      </c>
      <c r="D208" s="151"/>
      <c r="E208" s="112">
        <v>17266</v>
      </c>
      <c r="F208" s="42" t="s">
        <v>1485</v>
      </c>
    </row>
    <row r="209" spans="1:6">
      <c r="A209" s="42" t="s">
        <v>2047</v>
      </c>
      <c r="B209" s="42">
        <v>2557404</v>
      </c>
      <c r="C209" s="151" t="s">
        <v>1176</v>
      </c>
      <c r="D209" s="151"/>
      <c r="E209" s="112">
        <v>17336</v>
      </c>
      <c r="F209" s="42" t="s">
        <v>1485</v>
      </c>
    </row>
    <row r="210" spans="1:6">
      <c r="A210" s="42" t="s">
        <v>2047</v>
      </c>
      <c r="B210" s="42">
        <v>2557405</v>
      </c>
      <c r="C210" s="151" t="s">
        <v>1176</v>
      </c>
      <c r="D210" s="151"/>
      <c r="E210" s="112">
        <v>17336</v>
      </c>
      <c r="F210" s="42" t="s">
        <v>1485</v>
      </c>
    </row>
    <row r="211" spans="1:6">
      <c r="A211" s="42" t="s">
        <v>2047</v>
      </c>
      <c r="B211" s="42">
        <v>2558839</v>
      </c>
      <c r="C211" s="151" t="s">
        <v>1176</v>
      </c>
      <c r="D211" s="151"/>
      <c r="E211" s="112">
        <v>17357</v>
      </c>
      <c r="F211" s="42" t="s">
        <v>1496</v>
      </c>
    </row>
    <row r="212" spans="1:6">
      <c r="A212" s="42" t="s">
        <v>2047</v>
      </c>
      <c r="B212" s="42">
        <v>2560149</v>
      </c>
      <c r="C212" s="151" t="s">
        <v>1176</v>
      </c>
      <c r="D212" s="151"/>
      <c r="E212" s="112">
        <v>17357</v>
      </c>
      <c r="F212" s="42" t="s">
        <v>1478</v>
      </c>
    </row>
    <row r="213" spans="1:6">
      <c r="A213" s="42" t="s">
        <v>2047</v>
      </c>
      <c r="B213" s="42">
        <v>2577943</v>
      </c>
      <c r="C213" s="151" t="s">
        <v>1176</v>
      </c>
      <c r="D213" s="151"/>
      <c r="E213" s="112">
        <v>17511</v>
      </c>
      <c r="F213" s="42" t="s">
        <v>1496</v>
      </c>
    </row>
    <row r="214" spans="1:6">
      <c r="A214" s="42" t="s">
        <v>2047</v>
      </c>
      <c r="B214" s="42">
        <v>2586332</v>
      </c>
      <c r="C214" s="151" t="s">
        <v>1176</v>
      </c>
      <c r="D214" s="151"/>
      <c r="E214" s="112">
        <v>17581</v>
      </c>
      <c r="F214" s="42" t="s">
        <v>1506</v>
      </c>
    </row>
    <row r="215" spans="1:6">
      <c r="A215" s="42" t="s">
        <v>2047</v>
      </c>
      <c r="B215" s="42">
        <v>2589204</v>
      </c>
      <c r="C215" s="151" t="s">
        <v>1176</v>
      </c>
      <c r="D215" s="151"/>
      <c r="E215" s="112">
        <v>17602</v>
      </c>
      <c r="F215" s="42" t="s">
        <v>1475</v>
      </c>
    </row>
    <row r="216" spans="1:6">
      <c r="A216" s="42" t="s">
        <v>2047</v>
      </c>
      <c r="B216" s="42">
        <v>2600043</v>
      </c>
      <c r="C216" s="151" t="s">
        <v>1176</v>
      </c>
      <c r="D216" s="151"/>
      <c r="E216" s="112">
        <v>17693</v>
      </c>
      <c r="F216" s="42" t="s">
        <v>1485</v>
      </c>
    </row>
    <row r="217" spans="1:6">
      <c r="A217" s="42" t="s">
        <v>2047</v>
      </c>
      <c r="B217" s="42">
        <v>2603321</v>
      </c>
      <c r="C217" s="151" t="s">
        <v>1176</v>
      </c>
      <c r="D217" s="151"/>
      <c r="E217" s="112">
        <v>17729</v>
      </c>
      <c r="F217" s="42" t="s">
        <v>1485</v>
      </c>
    </row>
    <row r="218" spans="1:6">
      <c r="A218" s="42" t="s">
        <v>2047</v>
      </c>
      <c r="B218" s="42">
        <v>2605677</v>
      </c>
      <c r="C218" s="151" t="s">
        <v>1176</v>
      </c>
      <c r="D218" s="151"/>
      <c r="E218" s="112">
        <v>17749</v>
      </c>
      <c r="F218" s="42" t="s">
        <v>1478</v>
      </c>
    </row>
    <row r="219" spans="1:6">
      <c r="A219" s="42" t="s">
        <v>2047</v>
      </c>
      <c r="B219" s="42">
        <v>2605678</v>
      </c>
      <c r="C219" s="151" t="s">
        <v>1176</v>
      </c>
      <c r="D219" s="151"/>
      <c r="E219" s="112">
        <v>17749</v>
      </c>
      <c r="F219" s="42" t="s">
        <v>1485</v>
      </c>
    </row>
    <row r="220" spans="1:6">
      <c r="A220" s="42" t="s">
        <v>2047</v>
      </c>
      <c r="B220" s="42">
        <v>2618202</v>
      </c>
      <c r="C220" s="151" t="s">
        <v>1176</v>
      </c>
      <c r="D220" s="151"/>
      <c r="E220" s="112">
        <v>17854</v>
      </c>
      <c r="F220" s="42" t="s">
        <v>1493</v>
      </c>
    </row>
    <row r="221" spans="1:6">
      <c r="A221" s="42" t="s">
        <v>2047</v>
      </c>
      <c r="B221" s="42">
        <v>2621566</v>
      </c>
      <c r="C221" s="151" t="s">
        <v>1176</v>
      </c>
      <c r="D221" s="151"/>
      <c r="E221" s="112">
        <v>17578</v>
      </c>
      <c r="F221" s="42" t="s">
        <v>1485</v>
      </c>
    </row>
    <row r="222" spans="1:6">
      <c r="A222" s="42" t="s">
        <v>2047</v>
      </c>
      <c r="B222" s="42">
        <v>2630717</v>
      </c>
      <c r="C222" s="151" t="s">
        <v>1176</v>
      </c>
      <c r="D222" s="151"/>
      <c r="E222" s="112">
        <v>17966</v>
      </c>
      <c r="F222" s="42" t="s">
        <v>1485</v>
      </c>
    </row>
    <row r="223" spans="1:6">
      <c r="A223" s="42" t="s">
        <v>2047</v>
      </c>
      <c r="B223" s="42">
        <v>2644370</v>
      </c>
      <c r="C223" s="151" t="s">
        <v>1176</v>
      </c>
      <c r="D223" s="151"/>
      <c r="E223" s="112">
        <v>18085</v>
      </c>
      <c r="F223" s="42" t="s">
        <v>1478</v>
      </c>
    </row>
    <row r="224" spans="1:6">
      <c r="A224" s="42" t="s">
        <v>2047</v>
      </c>
      <c r="B224" s="42">
        <v>2651746</v>
      </c>
      <c r="C224" s="151" t="s">
        <v>1176</v>
      </c>
      <c r="D224" s="151"/>
      <c r="E224" s="112">
        <v>18148</v>
      </c>
      <c r="F224" s="42" t="s">
        <v>1494</v>
      </c>
    </row>
    <row r="225" spans="1:6">
      <c r="A225" s="42" t="s">
        <v>2047</v>
      </c>
      <c r="B225" s="42">
        <v>2653519</v>
      </c>
      <c r="C225" s="151" t="s">
        <v>1176</v>
      </c>
      <c r="D225" s="151"/>
      <c r="E225" s="112">
        <v>18169</v>
      </c>
      <c r="F225" s="42" t="s">
        <v>1485</v>
      </c>
    </row>
    <row r="226" spans="1:6">
      <c r="A226" s="42" t="s">
        <v>2047</v>
      </c>
      <c r="B226" s="42">
        <v>2657616</v>
      </c>
      <c r="C226" s="151" t="s">
        <v>1176</v>
      </c>
      <c r="D226" s="151"/>
      <c r="E226" s="112">
        <v>17900</v>
      </c>
      <c r="F226" s="42" t="s">
        <v>1485</v>
      </c>
    </row>
    <row r="228" spans="1:6">
      <c r="A228" s="126" t="s">
        <v>2196</v>
      </c>
    </row>
    <row r="229" spans="1:6">
      <c r="A229" s="127" t="s">
        <v>1469</v>
      </c>
    </row>
    <row r="231" spans="1:6">
      <c r="A231" s="42" t="s">
        <v>1448</v>
      </c>
    </row>
    <row r="232" spans="1:6">
      <c r="A232" s="42" t="s">
        <v>1397</v>
      </c>
    </row>
    <row r="233" spans="1:6">
      <c r="A233" s="42" t="s">
        <v>1403</v>
      </c>
    </row>
    <row r="234" spans="1:6">
      <c r="A234" s="42" t="s">
        <v>1398</v>
      </c>
    </row>
    <row r="235" spans="1:6">
      <c r="A235" s="42" t="s">
        <v>1443</v>
      </c>
    </row>
    <row r="236" spans="1:6">
      <c r="A236" s="42" t="s">
        <v>1405</v>
      </c>
    </row>
    <row r="237" spans="1:6">
      <c r="A237" s="42" t="s">
        <v>1435</v>
      </c>
    </row>
    <row r="238" spans="1:6">
      <c r="A238" s="42" t="s">
        <v>1444</v>
      </c>
    </row>
    <row r="239" spans="1:6">
      <c r="A239" s="42" t="s">
        <v>1395</v>
      </c>
    </row>
    <row r="240" spans="1:6">
      <c r="A240" s="42" t="s">
        <v>1472</v>
      </c>
    </row>
    <row r="241" spans="1:6">
      <c r="A241" s="42" t="s">
        <v>1404</v>
      </c>
    </row>
    <row r="242" spans="1:6" s="203" customFormat="1">
      <c r="A242" s="42" t="s">
        <v>117</v>
      </c>
      <c r="B242" s="42"/>
      <c r="C242" s="42"/>
      <c r="D242" s="42"/>
      <c r="E242" s="42"/>
      <c r="F242" s="42"/>
    </row>
    <row r="244" spans="1:6">
      <c r="A244" s="126" t="s">
        <v>1460</v>
      </c>
    </row>
    <row r="245" spans="1:6">
      <c r="A245" s="42" t="s">
        <v>1402</v>
      </c>
    </row>
    <row r="246" spans="1:6">
      <c r="A246" s="42" t="s">
        <v>1396</v>
      </c>
    </row>
    <row r="247" spans="1:6" s="204" customFormat="1">
      <c r="A247" s="42" t="s">
        <v>2693</v>
      </c>
      <c r="B247" s="42"/>
      <c r="C247" s="42"/>
      <c r="D247" s="42"/>
      <c r="E247" s="42"/>
      <c r="F247" s="42"/>
    </row>
    <row r="249" spans="1:6">
      <c r="A249" s="126" t="s">
        <v>1445</v>
      </c>
    </row>
    <row r="250" spans="1:6">
      <c r="A250" s="42" t="s">
        <v>1446</v>
      </c>
      <c r="B250" s="43">
        <v>12570</v>
      </c>
    </row>
    <row r="251" spans="1:6">
      <c r="A251" s="42" t="s">
        <v>1447</v>
      </c>
      <c r="B251" s="43">
        <v>13291</v>
      </c>
    </row>
    <row r="253" spans="1:6">
      <c r="A253" s="126" t="s">
        <v>1391</v>
      </c>
    </row>
    <row r="254" spans="1:6">
      <c r="A254" s="42" t="s">
        <v>1392</v>
      </c>
      <c r="B254" s="43">
        <v>10065</v>
      </c>
    </row>
    <row r="255" spans="1:6">
      <c r="A255" s="42" t="s">
        <v>1393</v>
      </c>
      <c r="B255" s="43">
        <v>10065</v>
      </c>
    </row>
    <row r="256" spans="1:6">
      <c r="A256" s="42" t="s">
        <v>1394</v>
      </c>
      <c r="B256" s="43">
        <v>10879</v>
      </c>
    </row>
  </sheetData>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252"/>
  <sheetViews>
    <sheetView topLeftCell="A41" workbookViewId="0">
      <selection activeCell="B66" sqref="B66"/>
    </sheetView>
  </sheetViews>
  <sheetFormatPr baseColWidth="10" defaultRowHeight="13"/>
  <cols>
    <col min="1" max="1" width="10.7109375" style="127"/>
    <col min="2" max="2" width="10.7109375" style="139"/>
    <col min="3" max="3" width="8.7109375" style="139" customWidth="1"/>
    <col min="4" max="4" width="10.7109375" style="127"/>
    <col min="5" max="16384" width="10.7109375" style="83"/>
  </cols>
  <sheetData>
    <row r="1" spans="1:12" s="158" customFormat="1" ht="23.25" customHeight="1">
      <c r="A1" s="240" t="s">
        <v>1869</v>
      </c>
      <c r="B1" s="327" t="s">
        <v>476</v>
      </c>
      <c r="C1" s="327" t="s">
        <v>477</v>
      </c>
      <c r="D1" s="240" t="s">
        <v>820</v>
      </c>
      <c r="E1" s="190" t="s">
        <v>254</v>
      </c>
      <c r="F1" s="190" t="s">
        <v>807</v>
      </c>
      <c r="G1" s="191" t="s">
        <v>255</v>
      </c>
      <c r="H1" s="190" t="s">
        <v>346</v>
      </c>
      <c r="I1" s="190" t="s">
        <v>809</v>
      </c>
      <c r="J1" s="190" t="s">
        <v>474</v>
      </c>
      <c r="K1" s="191" t="s">
        <v>475</v>
      </c>
      <c r="L1" s="192" t="s">
        <v>757</v>
      </c>
    </row>
    <row r="2" spans="1:12">
      <c r="A2" s="127" t="s">
        <v>414</v>
      </c>
      <c r="D2" s="140"/>
    </row>
    <row r="3" spans="1:12" s="123" customFormat="1">
      <c r="A3" s="220" t="s">
        <v>2039</v>
      </c>
      <c r="B3" s="328">
        <v>2021872</v>
      </c>
      <c r="C3" s="221" t="s">
        <v>594</v>
      </c>
      <c r="D3" s="185"/>
      <c r="E3" s="183">
        <v>10058</v>
      </c>
      <c r="F3" s="184"/>
      <c r="G3" s="183">
        <v>11645</v>
      </c>
      <c r="H3" s="31" t="s">
        <v>636</v>
      </c>
      <c r="I3" s="31" t="s">
        <v>498</v>
      </c>
      <c r="J3" s="182"/>
      <c r="K3" s="184"/>
      <c r="L3" s="31"/>
    </row>
    <row r="4" spans="1:12" s="123" customFormat="1">
      <c r="A4" s="220" t="s">
        <v>2039</v>
      </c>
      <c r="B4" s="328">
        <v>2049442</v>
      </c>
      <c r="C4" s="221" t="s">
        <v>594</v>
      </c>
      <c r="D4" s="185"/>
      <c r="E4" s="183">
        <v>10420</v>
      </c>
      <c r="F4" s="184"/>
      <c r="G4" s="183">
        <v>11904</v>
      </c>
      <c r="H4" s="31" t="s">
        <v>499</v>
      </c>
      <c r="I4" s="31" t="s">
        <v>500</v>
      </c>
      <c r="J4" s="182"/>
      <c r="K4" s="184"/>
      <c r="L4" s="31"/>
    </row>
    <row r="5" spans="1:12" s="123" customFormat="1">
      <c r="A5" s="42" t="s">
        <v>2039</v>
      </c>
      <c r="B5" s="329">
        <v>2044800</v>
      </c>
      <c r="C5" s="151" t="s">
        <v>594</v>
      </c>
      <c r="D5" s="185"/>
      <c r="E5" s="183">
        <v>10764</v>
      </c>
      <c r="F5" s="184"/>
      <c r="G5" s="183">
        <v>11862</v>
      </c>
      <c r="H5" s="31" t="s">
        <v>499</v>
      </c>
      <c r="I5" s="31" t="s">
        <v>498</v>
      </c>
      <c r="J5" s="182"/>
      <c r="K5" s="184"/>
      <c r="L5" s="31"/>
    </row>
    <row r="6" spans="1:12" s="123" customFormat="1">
      <c r="A6" s="42" t="s">
        <v>2039</v>
      </c>
      <c r="B6" s="329">
        <v>2044801</v>
      </c>
      <c r="C6" s="151" t="s">
        <v>594</v>
      </c>
      <c r="D6" s="185"/>
      <c r="E6" s="183">
        <v>10764</v>
      </c>
      <c r="F6" s="184">
        <v>10842</v>
      </c>
      <c r="G6" s="183">
        <v>11862</v>
      </c>
      <c r="H6" s="31" t="s">
        <v>499</v>
      </c>
      <c r="I6" s="31" t="s">
        <v>498</v>
      </c>
      <c r="J6" s="182"/>
      <c r="K6" s="184"/>
      <c r="L6" s="31"/>
    </row>
    <row r="7" spans="1:12" s="123" customFormat="1">
      <c r="A7" s="42" t="s">
        <v>2039</v>
      </c>
      <c r="B7" s="329">
        <v>2104726</v>
      </c>
      <c r="C7" s="151" t="s">
        <v>594</v>
      </c>
      <c r="D7" s="185"/>
      <c r="E7" s="183">
        <v>11094</v>
      </c>
      <c r="F7" s="184"/>
      <c r="G7" s="183">
        <v>12429</v>
      </c>
      <c r="H7" s="31" t="s">
        <v>499</v>
      </c>
      <c r="I7" s="31" t="s">
        <v>635</v>
      </c>
      <c r="J7" s="182"/>
      <c r="K7" s="184"/>
      <c r="L7" s="31"/>
    </row>
    <row r="8" spans="1:12" s="123" customFormat="1">
      <c r="A8" s="42" t="s">
        <v>2039</v>
      </c>
      <c r="B8" s="329">
        <v>2104753</v>
      </c>
      <c r="C8" s="151" t="s">
        <v>594</v>
      </c>
      <c r="D8" s="185"/>
      <c r="E8" s="183">
        <v>11275</v>
      </c>
      <c r="F8" s="184"/>
      <c r="G8" s="183">
        <v>12429</v>
      </c>
      <c r="H8" s="31" t="s">
        <v>499</v>
      </c>
      <c r="I8" s="31" t="s">
        <v>643</v>
      </c>
      <c r="J8" s="182"/>
      <c r="K8" s="184"/>
      <c r="L8" s="31"/>
    </row>
    <row r="9" spans="1:12" s="123" customFormat="1">
      <c r="A9" s="42" t="s">
        <v>2039</v>
      </c>
      <c r="B9" s="329">
        <v>2089197</v>
      </c>
      <c r="C9" s="151" t="s">
        <v>594</v>
      </c>
      <c r="D9" s="185"/>
      <c r="E9" s="183">
        <v>11361</v>
      </c>
      <c r="F9" s="184"/>
      <c r="G9" s="183">
        <v>12275</v>
      </c>
      <c r="H9" s="31" t="s">
        <v>499</v>
      </c>
      <c r="I9" s="31" t="s">
        <v>641</v>
      </c>
      <c r="J9" s="182"/>
      <c r="K9" s="184"/>
      <c r="L9" s="31"/>
    </row>
    <row r="10" spans="1:12" s="123" customFormat="1">
      <c r="A10" s="42" t="s">
        <v>2039</v>
      </c>
      <c r="B10" s="329">
        <v>2164316</v>
      </c>
      <c r="C10" s="151" t="s">
        <v>594</v>
      </c>
      <c r="D10" s="185"/>
      <c r="E10" s="183">
        <v>11367</v>
      </c>
      <c r="F10" s="184"/>
      <c r="G10" s="183">
        <v>12968</v>
      </c>
      <c r="H10" s="31" t="s">
        <v>499</v>
      </c>
      <c r="I10" s="31" t="s">
        <v>281</v>
      </c>
      <c r="J10" s="182"/>
      <c r="K10" s="184"/>
      <c r="L10" s="31"/>
    </row>
    <row r="11" spans="1:12" s="123" customFormat="1">
      <c r="A11" s="42" t="s">
        <v>2039</v>
      </c>
      <c r="B11" s="151">
        <v>2209769</v>
      </c>
      <c r="C11" s="151" t="s">
        <v>594</v>
      </c>
      <c r="D11" s="185"/>
      <c r="E11" s="183">
        <v>11421</v>
      </c>
      <c r="F11" s="184"/>
      <c r="G11" s="183">
        <v>13360</v>
      </c>
      <c r="H11" s="31" t="s">
        <v>499</v>
      </c>
      <c r="I11" s="31" t="s">
        <v>641</v>
      </c>
      <c r="J11" s="182"/>
      <c r="K11" s="184"/>
      <c r="L11" s="31"/>
    </row>
    <row r="12" spans="1:12" s="123" customFormat="1">
      <c r="A12" s="42" t="s">
        <v>2039</v>
      </c>
      <c r="B12" s="329">
        <v>2118054</v>
      </c>
      <c r="C12" s="151" t="s">
        <v>594</v>
      </c>
      <c r="D12" s="185"/>
      <c r="E12" s="183">
        <v>11509</v>
      </c>
      <c r="F12" s="184"/>
      <c r="G12" s="183">
        <v>12562</v>
      </c>
      <c r="H12" s="31" t="s">
        <v>499</v>
      </c>
      <c r="I12" s="31" t="s">
        <v>505</v>
      </c>
      <c r="J12" s="182"/>
      <c r="K12" s="184"/>
      <c r="L12" s="31"/>
    </row>
    <row r="13" spans="1:12" s="123" customFormat="1">
      <c r="A13" s="42" t="s">
        <v>2039</v>
      </c>
      <c r="B13" s="329">
        <v>2135521</v>
      </c>
      <c r="C13" s="151" t="s">
        <v>594</v>
      </c>
      <c r="D13" s="185"/>
      <c r="E13" s="183">
        <v>11660</v>
      </c>
      <c r="F13" s="184"/>
      <c r="G13" s="183">
        <v>12730</v>
      </c>
      <c r="H13" s="31" t="s">
        <v>499</v>
      </c>
      <c r="I13" s="31" t="s">
        <v>505</v>
      </c>
      <c r="J13" s="182"/>
      <c r="K13" s="184"/>
      <c r="L13" s="31"/>
    </row>
    <row r="14" spans="1:12" s="123" customFormat="1">
      <c r="A14" s="42" t="s">
        <v>2039</v>
      </c>
      <c r="B14" s="329">
        <v>2072913</v>
      </c>
      <c r="C14" s="151" t="s">
        <v>594</v>
      </c>
      <c r="D14" s="185"/>
      <c r="E14" s="183">
        <v>11771</v>
      </c>
      <c r="F14" s="184"/>
      <c r="G14" s="183">
        <v>12121</v>
      </c>
      <c r="H14" s="31" t="s">
        <v>499</v>
      </c>
      <c r="I14" s="31" t="s">
        <v>501</v>
      </c>
      <c r="J14" s="182"/>
      <c r="K14" s="184"/>
      <c r="L14" s="31"/>
    </row>
    <row r="15" spans="1:12" s="123" customFormat="1">
      <c r="A15" s="42" t="s">
        <v>2039</v>
      </c>
      <c r="B15" s="151">
        <v>2176113</v>
      </c>
      <c r="C15" s="151" t="s">
        <v>594</v>
      </c>
      <c r="D15" s="185"/>
      <c r="E15" s="183">
        <v>11771</v>
      </c>
      <c r="F15" s="184"/>
      <c r="G15" s="183">
        <v>13073</v>
      </c>
      <c r="H15" s="31" t="s">
        <v>499</v>
      </c>
      <c r="I15" s="31" t="s">
        <v>501</v>
      </c>
      <c r="J15" s="182"/>
      <c r="K15" s="184"/>
      <c r="L15" s="31"/>
    </row>
    <row r="16" spans="1:12" s="123" customFormat="1">
      <c r="A16" s="42" t="s">
        <v>2039</v>
      </c>
      <c r="B16" s="151">
        <v>2168379</v>
      </c>
      <c r="C16" s="151" t="s">
        <v>594</v>
      </c>
      <c r="D16" s="185"/>
      <c r="E16" s="183">
        <v>11892</v>
      </c>
      <c r="F16" s="184"/>
      <c r="G16" s="183">
        <v>13003</v>
      </c>
      <c r="H16" s="31" t="s">
        <v>499</v>
      </c>
      <c r="I16" s="31" t="s">
        <v>282</v>
      </c>
      <c r="J16" s="182"/>
      <c r="K16" s="184"/>
      <c r="L16" s="31"/>
    </row>
    <row r="17" spans="1:12" s="123" customFormat="1">
      <c r="A17" s="42" t="s">
        <v>2039</v>
      </c>
      <c r="B17" s="329">
        <v>2088590</v>
      </c>
      <c r="C17" s="151" t="s">
        <v>594</v>
      </c>
      <c r="D17" s="185"/>
      <c r="E17" s="183">
        <v>11899</v>
      </c>
      <c r="F17" s="184"/>
      <c r="G17" s="183">
        <v>12268</v>
      </c>
      <c r="H17" s="31" t="s">
        <v>499</v>
      </c>
      <c r="I17" s="31" t="s">
        <v>502</v>
      </c>
      <c r="J17" s="182"/>
      <c r="K17" s="184"/>
      <c r="L17" s="31"/>
    </row>
    <row r="18" spans="1:12" s="123" customFormat="1">
      <c r="A18" s="42" t="s">
        <v>2039</v>
      </c>
      <c r="B18" s="329">
        <v>2163643</v>
      </c>
      <c r="C18" s="151" t="s">
        <v>594</v>
      </c>
      <c r="D18" s="185"/>
      <c r="E18" s="183">
        <v>11906</v>
      </c>
      <c r="F18" s="184"/>
      <c r="G18" s="183">
        <v>12961</v>
      </c>
      <c r="H18" s="31" t="s">
        <v>499</v>
      </c>
      <c r="I18" s="31" t="s">
        <v>280</v>
      </c>
      <c r="J18" s="182"/>
      <c r="K18" s="184"/>
      <c r="L18" s="31"/>
    </row>
    <row r="19" spans="1:12" s="123" customFormat="1">
      <c r="A19" s="42" t="s">
        <v>2039</v>
      </c>
      <c r="B19" s="329">
        <v>2162737</v>
      </c>
      <c r="C19" s="151" t="s">
        <v>594</v>
      </c>
      <c r="D19" s="185"/>
      <c r="E19" s="183">
        <v>11935</v>
      </c>
      <c r="F19" s="184"/>
      <c r="G19" s="183">
        <v>12954</v>
      </c>
      <c r="H19" s="31" t="s">
        <v>499</v>
      </c>
      <c r="I19" s="31" t="s">
        <v>279</v>
      </c>
      <c r="J19" s="182"/>
      <c r="K19" s="184"/>
      <c r="L19" s="31"/>
    </row>
    <row r="20" spans="1:12" s="123" customFormat="1">
      <c r="A20" s="42" t="s">
        <v>2039</v>
      </c>
      <c r="B20" s="151">
        <v>2207768</v>
      </c>
      <c r="C20" s="151" t="s">
        <v>594</v>
      </c>
      <c r="D20" s="185"/>
      <c r="E20" s="183">
        <v>11997</v>
      </c>
      <c r="F20" s="184"/>
      <c r="G20" s="183">
        <v>13346</v>
      </c>
      <c r="H20" s="31" t="s">
        <v>499</v>
      </c>
      <c r="I20" s="31" t="s">
        <v>287</v>
      </c>
      <c r="J20" s="182"/>
      <c r="K20" s="184"/>
      <c r="L20" s="31"/>
    </row>
    <row r="21" spans="1:12" s="123" customFormat="1">
      <c r="A21" s="42" t="s">
        <v>2039</v>
      </c>
      <c r="B21" s="151">
        <v>2232699</v>
      </c>
      <c r="C21" s="151" t="s">
        <v>594</v>
      </c>
      <c r="D21" s="185"/>
      <c r="E21" s="183">
        <v>12002</v>
      </c>
      <c r="F21" s="184"/>
      <c r="G21" s="183">
        <v>13570</v>
      </c>
      <c r="H21" s="31" t="s">
        <v>499</v>
      </c>
      <c r="I21" s="31" t="s">
        <v>291</v>
      </c>
      <c r="J21" s="182"/>
      <c r="K21" s="184"/>
      <c r="L21" s="31"/>
    </row>
    <row r="22" spans="1:12" s="123" customFormat="1">
      <c r="A22" s="42" t="s">
        <v>2039</v>
      </c>
      <c r="B22" s="329">
        <v>2163594</v>
      </c>
      <c r="C22" s="151" t="s">
        <v>594</v>
      </c>
      <c r="D22" s="185"/>
      <c r="E22" s="183">
        <v>12023</v>
      </c>
      <c r="F22" s="184"/>
      <c r="G22" s="183">
        <v>12961</v>
      </c>
      <c r="H22" s="31" t="s">
        <v>499</v>
      </c>
      <c r="I22" s="31" t="s">
        <v>706</v>
      </c>
      <c r="J22" s="182"/>
      <c r="K22" s="184"/>
      <c r="L22" s="31"/>
    </row>
    <row r="23" spans="1:12" s="123" customFormat="1">
      <c r="A23" s="42" t="s">
        <v>2039</v>
      </c>
      <c r="B23" s="329">
        <v>2104738</v>
      </c>
      <c r="C23" s="151" t="s">
        <v>594</v>
      </c>
      <c r="D23" s="185"/>
      <c r="E23" s="183">
        <v>12040</v>
      </c>
      <c r="F23" s="184"/>
      <c r="G23" s="183">
        <v>12429</v>
      </c>
      <c r="H23" s="31" t="s">
        <v>499</v>
      </c>
      <c r="I23" s="31" t="s">
        <v>706</v>
      </c>
      <c r="J23" s="182"/>
      <c r="K23" s="184"/>
      <c r="L23" s="31"/>
    </row>
    <row r="24" spans="1:12" s="123" customFormat="1">
      <c r="A24" s="42" t="s">
        <v>2039</v>
      </c>
      <c r="B24" s="151">
        <v>2198628</v>
      </c>
      <c r="C24" s="151" t="s">
        <v>594</v>
      </c>
      <c r="D24" s="185"/>
      <c r="E24" s="183">
        <v>12045</v>
      </c>
      <c r="F24" s="184"/>
      <c r="G24" s="183">
        <v>13269</v>
      </c>
      <c r="H24" s="31" t="s">
        <v>499</v>
      </c>
      <c r="I24" s="31" t="s">
        <v>512</v>
      </c>
      <c r="J24" s="182"/>
      <c r="K24" s="184"/>
      <c r="L24" s="31"/>
    </row>
    <row r="25" spans="1:12" s="123" customFormat="1">
      <c r="A25" s="42" t="s">
        <v>2039</v>
      </c>
      <c r="B25" s="329">
        <v>2157137</v>
      </c>
      <c r="C25" s="151" t="s">
        <v>594</v>
      </c>
      <c r="D25" s="185"/>
      <c r="E25" s="183">
        <v>12046</v>
      </c>
      <c r="F25" s="184"/>
      <c r="G25" s="183">
        <v>12912</v>
      </c>
      <c r="H25" s="31" t="s">
        <v>499</v>
      </c>
      <c r="I25" s="31" t="s">
        <v>512</v>
      </c>
      <c r="J25" s="182"/>
      <c r="K25" s="184"/>
      <c r="L25" s="31"/>
    </row>
    <row r="26" spans="1:12" s="123" customFormat="1">
      <c r="A26" s="42" t="s">
        <v>2039</v>
      </c>
      <c r="B26" s="151">
        <v>2232712</v>
      </c>
      <c r="C26" s="151" t="s">
        <v>594</v>
      </c>
      <c r="D26" s="185"/>
      <c r="E26" s="183">
        <v>12052</v>
      </c>
      <c r="F26" s="184"/>
      <c r="G26" s="183">
        <v>13570</v>
      </c>
      <c r="H26" s="31" t="s">
        <v>499</v>
      </c>
      <c r="I26" s="31" t="s">
        <v>512</v>
      </c>
      <c r="J26" s="182"/>
      <c r="K26" s="184"/>
      <c r="L26" s="31"/>
    </row>
    <row r="27" spans="1:12" s="123" customFormat="1">
      <c r="A27" s="42" t="s">
        <v>2039</v>
      </c>
      <c r="B27" s="151">
        <v>2205448</v>
      </c>
      <c r="C27" s="151" t="s">
        <v>594</v>
      </c>
      <c r="D27" s="185"/>
      <c r="E27" s="183">
        <v>12069</v>
      </c>
      <c r="F27" s="184"/>
      <c r="G27" s="183">
        <v>13325</v>
      </c>
      <c r="H27" s="31" t="s">
        <v>499</v>
      </c>
      <c r="I27" s="31" t="s">
        <v>286</v>
      </c>
      <c r="J27" s="182"/>
      <c r="K27" s="184"/>
      <c r="L27" s="31"/>
    </row>
    <row r="28" spans="1:12" s="123" customFormat="1">
      <c r="A28" s="42" t="s">
        <v>2039</v>
      </c>
      <c r="B28" s="329">
        <v>2126731</v>
      </c>
      <c r="C28" s="151" t="s">
        <v>594</v>
      </c>
      <c r="D28" s="185"/>
      <c r="E28" s="183">
        <v>12076</v>
      </c>
      <c r="F28" s="184"/>
      <c r="G28" s="183">
        <v>12646</v>
      </c>
      <c r="H28" s="31" t="s">
        <v>499</v>
      </c>
      <c r="I28" s="31" t="s">
        <v>645</v>
      </c>
      <c r="J28" s="182"/>
      <c r="K28" s="184"/>
      <c r="L28" s="31"/>
    </row>
    <row r="29" spans="1:12" s="123" customFormat="1">
      <c r="A29" s="42" t="s">
        <v>2039</v>
      </c>
      <c r="B29" s="329">
        <v>2103272</v>
      </c>
      <c r="C29" s="151" t="s">
        <v>594</v>
      </c>
      <c r="D29" s="185"/>
      <c r="E29" s="183">
        <v>12083</v>
      </c>
      <c r="F29" s="184"/>
      <c r="G29" s="183">
        <v>12415</v>
      </c>
      <c r="H29" s="31" t="s">
        <v>499</v>
      </c>
      <c r="I29" s="31" t="s">
        <v>642</v>
      </c>
      <c r="J29" s="182"/>
      <c r="K29" s="184"/>
      <c r="L29" s="31"/>
    </row>
    <row r="30" spans="1:12" s="123" customFormat="1">
      <c r="A30" s="42" t="s">
        <v>2039</v>
      </c>
      <c r="B30" s="329">
        <v>2153591</v>
      </c>
      <c r="C30" s="151" t="s">
        <v>594</v>
      </c>
      <c r="D30" s="185"/>
      <c r="E30" s="183">
        <v>12083</v>
      </c>
      <c r="F30" s="184"/>
      <c r="G30" s="183">
        <v>12884</v>
      </c>
      <c r="H30" s="31" t="s">
        <v>499</v>
      </c>
      <c r="I30" s="31" t="s">
        <v>642</v>
      </c>
      <c r="J30" s="182"/>
      <c r="K30" s="184"/>
      <c r="L30" s="31"/>
    </row>
    <row r="31" spans="1:12" s="123" customFormat="1">
      <c r="A31" s="42" t="s">
        <v>2039</v>
      </c>
      <c r="B31" s="329">
        <v>2155446</v>
      </c>
      <c r="C31" s="151" t="s">
        <v>594</v>
      </c>
      <c r="D31" s="185"/>
      <c r="E31" s="183">
        <v>12083</v>
      </c>
      <c r="F31" s="184"/>
      <c r="G31" s="183">
        <v>12898</v>
      </c>
      <c r="H31" s="31" t="s">
        <v>499</v>
      </c>
      <c r="I31" s="31" t="s">
        <v>642</v>
      </c>
      <c r="J31" s="182"/>
      <c r="K31" s="184"/>
      <c r="L31" s="31"/>
    </row>
    <row r="32" spans="1:12" s="123" customFormat="1">
      <c r="A32" s="42" t="s">
        <v>2039</v>
      </c>
      <c r="B32" s="151">
        <v>2192204</v>
      </c>
      <c r="C32" s="151" t="s">
        <v>594</v>
      </c>
      <c r="D32" s="185"/>
      <c r="E32" s="183">
        <v>12083</v>
      </c>
      <c r="F32" s="184"/>
      <c r="G32" s="183">
        <v>13213</v>
      </c>
      <c r="H32" s="31" t="s">
        <v>499</v>
      </c>
      <c r="I32" s="31" t="s">
        <v>642</v>
      </c>
      <c r="J32" s="182"/>
      <c r="K32" s="184"/>
      <c r="L32" s="31"/>
    </row>
    <row r="33" spans="1:12" s="123" customFormat="1">
      <c r="A33" s="42" t="s">
        <v>2039</v>
      </c>
      <c r="B33" s="329">
        <v>2158091</v>
      </c>
      <c r="C33" s="151" t="s">
        <v>594</v>
      </c>
      <c r="D33" s="185"/>
      <c r="E33" s="183">
        <v>12090</v>
      </c>
      <c r="F33" s="184"/>
      <c r="G33" s="183">
        <v>12919</v>
      </c>
      <c r="H33" s="31" t="s">
        <v>499</v>
      </c>
      <c r="I33" s="31" t="s">
        <v>513</v>
      </c>
      <c r="J33" s="182"/>
      <c r="K33" s="184"/>
      <c r="L33" s="31"/>
    </row>
    <row r="34" spans="1:12" s="123" customFormat="1">
      <c r="A34" s="42" t="s">
        <v>2039</v>
      </c>
      <c r="B34" s="329">
        <v>2158098</v>
      </c>
      <c r="C34" s="151" t="s">
        <v>594</v>
      </c>
      <c r="D34" s="185"/>
      <c r="E34" s="183">
        <v>12090</v>
      </c>
      <c r="F34" s="184"/>
      <c r="G34" s="183">
        <v>12919</v>
      </c>
      <c r="H34" s="31" t="s">
        <v>499</v>
      </c>
      <c r="I34" s="31" t="s">
        <v>278</v>
      </c>
      <c r="J34" s="182"/>
      <c r="K34" s="184"/>
      <c r="L34" s="31"/>
    </row>
    <row r="35" spans="1:12" s="123" customFormat="1">
      <c r="A35" s="42" t="s">
        <v>2039</v>
      </c>
      <c r="B35" s="151">
        <v>2228262</v>
      </c>
      <c r="C35" s="151" t="s">
        <v>594</v>
      </c>
      <c r="D35" s="185"/>
      <c r="E35" s="183">
        <v>12090</v>
      </c>
      <c r="F35" s="184"/>
      <c r="G35" s="183">
        <v>13528</v>
      </c>
      <c r="H35" s="31" t="s">
        <v>499</v>
      </c>
      <c r="I35" s="31" t="s">
        <v>290</v>
      </c>
      <c r="J35" s="182"/>
      <c r="K35" s="184"/>
      <c r="L35" s="31"/>
    </row>
    <row r="36" spans="1:12" s="123" customFormat="1">
      <c r="A36" s="42" t="s">
        <v>2039</v>
      </c>
      <c r="B36" s="329">
        <v>2133999</v>
      </c>
      <c r="C36" s="151" t="s">
        <v>594</v>
      </c>
      <c r="D36" s="185"/>
      <c r="E36" s="183">
        <v>12113</v>
      </c>
      <c r="F36" s="184"/>
      <c r="G36" s="183">
        <v>12716</v>
      </c>
      <c r="H36" s="31" t="s">
        <v>499</v>
      </c>
      <c r="I36" s="31" t="s">
        <v>646</v>
      </c>
      <c r="J36" s="182"/>
      <c r="K36" s="184"/>
      <c r="L36" s="31"/>
    </row>
    <row r="37" spans="1:12" s="123" customFormat="1">
      <c r="A37" s="42" t="s">
        <v>2039</v>
      </c>
      <c r="B37" s="151">
        <v>2189810</v>
      </c>
      <c r="C37" s="151" t="s">
        <v>594</v>
      </c>
      <c r="D37" s="185"/>
      <c r="E37" s="183">
        <v>12184</v>
      </c>
      <c r="F37" s="184"/>
      <c r="G37" s="183">
        <v>13192</v>
      </c>
      <c r="H37" s="31" t="s">
        <v>499</v>
      </c>
      <c r="I37" s="31" t="s">
        <v>498</v>
      </c>
      <c r="J37" s="182"/>
      <c r="K37" s="184"/>
      <c r="L37" s="31"/>
    </row>
    <row r="38" spans="1:12" s="123" customFormat="1">
      <c r="A38" s="42" t="s">
        <v>2039</v>
      </c>
      <c r="B38" s="151">
        <v>2247364</v>
      </c>
      <c r="C38" s="151" t="s">
        <v>594</v>
      </c>
      <c r="D38" s="185"/>
      <c r="E38" s="183">
        <v>12208</v>
      </c>
      <c r="F38" s="184"/>
      <c r="G38" s="183">
        <v>13696</v>
      </c>
      <c r="H38" s="31" t="s">
        <v>499</v>
      </c>
      <c r="I38" s="31" t="s">
        <v>292</v>
      </c>
      <c r="J38" s="182"/>
      <c r="K38" s="184"/>
      <c r="L38" s="31"/>
    </row>
    <row r="39" spans="1:12" s="123" customFormat="1">
      <c r="A39" s="42" t="s">
        <v>2039</v>
      </c>
      <c r="B39" s="329">
        <v>2123217</v>
      </c>
      <c r="C39" s="151" t="s">
        <v>594</v>
      </c>
      <c r="D39" s="185"/>
      <c r="E39" s="183">
        <v>12249</v>
      </c>
      <c r="F39" s="184"/>
      <c r="G39" s="183">
        <v>12611</v>
      </c>
      <c r="H39" s="31" t="s">
        <v>499</v>
      </c>
      <c r="I39" s="31" t="s">
        <v>644</v>
      </c>
      <c r="J39" s="182"/>
      <c r="K39" s="184"/>
      <c r="L39" s="31"/>
    </row>
    <row r="40" spans="1:12" s="123" customFormat="1">
      <c r="A40" s="42" t="s">
        <v>2039</v>
      </c>
      <c r="B40" s="151">
        <v>2185237</v>
      </c>
      <c r="C40" s="151" t="s">
        <v>594</v>
      </c>
      <c r="D40" s="185"/>
      <c r="E40" s="183">
        <v>12276</v>
      </c>
      <c r="F40" s="184"/>
      <c r="G40" s="183">
        <v>13150</v>
      </c>
      <c r="H40" s="31" t="s">
        <v>499</v>
      </c>
      <c r="I40" s="31" t="s">
        <v>285</v>
      </c>
      <c r="J40" s="182"/>
      <c r="K40" s="184"/>
      <c r="L40" s="31"/>
    </row>
    <row r="41" spans="1:12" s="123" customFormat="1">
      <c r="A41" s="42" t="s">
        <v>2039</v>
      </c>
      <c r="B41" s="151">
        <v>2224865</v>
      </c>
      <c r="C41" s="151" t="s">
        <v>594</v>
      </c>
      <c r="D41" s="185"/>
      <c r="E41" s="183">
        <v>12342</v>
      </c>
      <c r="F41" s="184"/>
      <c r="G41" s="183">
        <v>13500</v>
      </c>
      <c r="H41" s="31" t="s">
        <v>499</v>
      </c>
      <c r="I41" s="31" t="s">
        <v>289</v>
      </c>
      <c r="J41" s="182"/>
      <c r="K41" s="184"/>
      <c r="L41" s="31"/>
    </row>
    <row r="42" spans="1:12" s="123" customFormat="1">
      <c r="A42" s="42" t="s">
        <v>2039</v>
      </c>
      <c r="B42" s="151">
        <v>2184964</v>
      </c>
      <c r="C42" s="151" t="s">
        <v>594</v>
      </c>
      <c r="D42" s="185"/>
      <c r="E42" s="183">
        <v>12401</v>
      </c>
      <c r="F42" s="184"/>
      <c r="G42" s="183">
        <v>13143</v>
      </c>
      <c r="H42" s="31" t="s">
        <v>283</v>
      </c>
      <c r="I42" s="31" t="s">
        <v>284</v>
      </c>
      <c r="J42" s="182"/>
      <c r="K42" s="184"/>
      <c r="L42" s="31"/>
    </row>
    <row r="43" spans="1:12" s="123" customFormat="1">
      <c r="A43" s="42" t="s">
        <v>2039</v>
      </c>
      <c r="B43" s="151">
        <v>2176894</v>
      </c>
      <c r="C43" s="151" t="s">
        <v>594</v>
      </c>
      <c r="D43" s="185"/>
      <c r="E43" s="183">
        <v>12415</v>
      </c>
      <c r="F43" s="184"/>
      <c r="G43" s="183">
        <v>13080</v>
      </c>
      <c r="H43" s="31" t="s">
        <v>499</v>
      </c>
      <c r="I43" s="31" t="s">
        <v>641</v>
      </c>
      <c r="J43" s="182"/>
      <c r="K43" s="184"/>
      <c r="L43" s="31"/>
    </row>
    <row r="44" spans="1:12" s="123" customFormat="1">
      <c r="A44" s="42" t="s">
        <v>2039</v>
      </c>
      <c r="B44" s="151">
        <v>2287042</v>
      </c>
      <c r="C44" s="151" t="s">
        <v>594</v>
      </c>
      <c r="D44" s="185"/>
      <c r="E44" s="183">
        <v>12421</v>
      </c>
      <c r="F44" s="184"/>
      <c r="G44" s="183">
        <v>14053</v>
      </c>
      <c r="H44" s="31" t="s">
        <v>499</v>
      </c>
      <c r="I44" s="31" t="s">
        <v>409</v>
      </c>
      <c r="J44" s="182"/>
      <c r="K44" s="184"/>
      <c r="L44" s="31"/>
    </row>
    <row r="45" spans="1:12" s="123" customFormat="1">
      <c r="A45" s="42" t="s">
        <v>2039</v>
      </c>
      <c r="B45" s="151">
        <v>2287847</v>
      </c>
      <c r="C45" s="151" t="s">
        <v>594</v>
      </c>
      <c r="D45" s="185"/>
      <c r="E45" s="183">
        <v>12466</v>
      </c>
      <c r="F45" s="184"/>
      <c r="G45" s="183">
        <v>14060</v>
      </c>
      <c r="H45" s="31" t="s">
        <v>499</v>
      </c>
      <c r="I45" s="31" t="s">
        <v>544</v>
      </c>
      <c r="J45" s="182"/>
      <c r="K45" s="184"/>
      <c r="L45" s="31"/>
    </row>
    <row r="46" spans="1:12" s="123" customFormat="1">
      <c r="A46" s="42" t="s">
        <v>2039</v>
      </c>
      <c r="B46" s="151">
        <v>2296709</v>
      </c>
      <c r="C46" s="151" t="s">
        <v>594</v>
      </c>
      <c r="D46" s="185"/>
      <c r="E46" s="183">
        <v>12475</v>
      </c>
      <c r="F46" s="184"/>
      <c r="G46" s="183">
        <v>14144</v>
      </c>
      <c r="H46" s="31" t="s">
        <v>499</v>
      </c>
      <c r="I46" s="31" t="s">
        <v>292</v>
      </c>
      <c r="J46" s="182"/>
      <c r="K46" s="184"/>
      <c r="L46" s="31"/>
    </row>
    <row r="47" spans="1:12" s="123" customFormat="1">
      <c r="A47" s="42" t="s">
        <v>2039</v>
      </c>
      <c r="B47" s="151">
        <v>2224174</v>
      </c>
      <c r="C47" s="151" t="s">
        <v>594</v>
      </c>
      <c r="D47" s="185"/>
      <c r="E47" s="183">
        <v>12592</v>
      </c>
      <c r="F47" s="184"/>
      <c r="G47" s="183">
        <v>13493</v>
      </c>
      <c r="H47" s="31" t="s">
        <v>499</v>
      </c>
      <c r="I47" s="31" t="s">
        <v>501</v>
      </c>
      <c r="J47" s="182"/>
      <c r="K47" s="184"/>
      <c r="L47" s="31"/>
    </row>
    <row r="48" spans="1:12" s="123" customFormat="1">
      <c r="A48" s="42" t="s">
        <v>2039</v>
      </c>
      <c r="B48" s="151">
        <v>2248155</v>
      </c>
      <c r="C48" s="151" t="s">
        <v>594</v>
      </c>
      <c r="D48" s="185"/>
      <c r="E48" s="183">
        <v>12597</v>
      </c>
      <c r="F48" s="184"/>
      <c r="G48" s="183">
        <v>13703</v>
      </c>
      <c r="H48" s="31" t="s">
        <v>499</v>
      </c>
      <c r="I48" s="31" t="s">
        <v>294</v>
      </c>
      <c r="J48" s="182"/>
      <c r="K48" s="184"/>
      <c r="L48" s="31"/>
    </row>
    <row r="49" spans="1:12" s="123" customFormat="1">
      <c r="A49" s="42" t="s">
        <v>2039</v>
      </c>
      <c r="B49" s="151">
        <v>2216574</v>
      </c>
      <c r="C49" s="151" t="s">
        <v>594</v>
      </c>
      <c r="D49" s="185"/>
      <c r="E49" s="183">
        <v>12611</v>
      </c>
      <c r="F49" s="184"/>
      <c r="G49" s="183">
        <v>13423</v>
      </c>
      <c r="H49" s="31" t="s">
        <v>283</v>
      </c>
      <c r="I49" s="31" t="s">
        <v>288</v>
      </c>
      <c r="J49" s="182"/>
      <c r="K49" s="184"/>
      <c r="L49" s="31"/>
    </row>
    <row r="50" spans="1:12" s="123" customFormat="1">
      <c r="A50" s="42" t="s">
        <v>2039</v>
      </c>
      <c r="B50" s="151">
        <v>2226528</v>
      </c>
      <c r="C50" s="151" t="s">
        <v>594</v>
      </c>
      <c r="D50" s="185"/>
      <c r="E50" s="183">
        <v>12626</v>
      </c>
      <c r="F50" s="184"/>
      <c r="G50" s="183">
        <v>13507</v>
      </c>
      <c r="H50" s="31" t="s">
        <v>499</v>
      </c>
      <c r="I50" s="31" t="s">
        <v>289</v>
      </c>
      <c r="J50" s="182"/>
      <c r="K50" s="184"/>
      <c r="L50" s="31"/>
    </row>
    <row r="51" spans="1:12" s="123" customFormat="1">
      <c r="A51" s="42" t="s">
        <v>2039</v>
      </c>
      <c r="B51" s="151">
        <v>2252709</v>
      </c>
      <c r="C51" s="151" t="s">
        <v>594</v>
      </c>
      <c r="D51" s="185"/>
      <c r="E51" s="183">
        <v>12689</v>
      </c>
      <c r="F51" s="184"/>
      <c r="G51" s="183">
        <v>13745</v>
      </c>
      <c r="H51" s="31" t="s">
        <v>499</v>
      </c>
      <c r="I51" s="31" t="s">
        <v>289</v>
      </c>
      <c r="J51" s="182"/>
      <c r="K51" s="184"/>
      <c r="L51" s="31"/>
    </row>
    <row r="52" spans="1:12" s="123" customFormat="1">
      <c r="A52" s="42" t="s">
        <v>2039</v>
      </c>
      <c r="B52" s="151">
        <v>2248078</v>
      </c>
      <c r="C52" s="151" t="s">
        <v>594</v>
      </c>
      <c r="D52" s="185"/>
      <c r="E52" s="183">
        <v>12779</v>
      </c>
      <c r="F52" s="184"/>
      <c r="G52" s="183">
        <v>13703</v>
      </c>
      <c r="H52" s="31" t="s">
        <v>499</v>
      </c>
      <c r="I52" s="31" t="s">
        <v>293</v>
      </c>
      <c r="J52" s="182"/>
      <c r="K52" s="184"/>
      <c r="L52" s="31"/>
    </row>
    <row r="53" spans="1:12" s="123" customFormat="1">
      <c r="A53" s="42" t="s">
        <v>2039</v>
      </c>
      <c r="B53" s="151">
        <v>2333535</v>
      </c>
      <c r="C53" s="151" t="s">
        <v>594</v>
      </c>
      <c r="D53" s="185"/>
      <c r="E53" s="186">
        <v>12936</v>
      </c>
      <c r="F53" s="187"/>
      <c r="G53" s="186">
        <v>14550</v>
      </c>
      <c r="H53" s="185" t="s">
        <v>499</v>
      </c>
      <c r="I53" s="185" t="s">
        <v>548</v>
      </c>
      <c r="J53" s="188"/>
      <c r="K53" s="187"/>
      <c r="L53" s="185"/>
    </row>
    <row r="54" spans="1:12" s="123" customFormat="1">
      <c r="A54" s="42" t="s">
        <v>2039</v>
      </c>
      <c r="B54" s="151">
        <v>2272198</v>
      </c>
      <c r="C54" s="151" t="s">
        <v>594</v>
      </c>
      <c r="D54" s="185"/>
      <c r="E54" s="183">
        <v>13027</v>
      </c>
      <c r="F54" s="184"/>
      <c r="G54" s="183">
        <v>13920</v>
      </c>
      <c r="H54" s="31" t="s">
        <v>499</v>
      </c>
      <c r="I54" s="31" t="s">
        <v>293</v>
      </c>
      <c r="J54" s="182"/>
      <c r="K54" s="184"/>
      <c r="L54" s="31"/>
    </row>
    <row r="55" spans="1:12" s="123" customFormat="1">
      <c r="A55" s="42" t="s">
        <v>2039</v>
      </c>
      <c r="B55" s="151">
        <v>2267313</v>
      </c>
      <c r="C55" s="151" t="s">
        <v>594</v>
      </c>
      <c r="D55" s="185"/>
      <c r="E55" s="183">
        <v>13053</v>
      </c>
      <c r="F55" s="184"/>
      <c r="G55" s="183">
        <v>13871</v>
      </c>
      <c r="H55" s="31" t="s">
        <v>283</v>
      </c>
      <c r="I55" s="31" t="s">
        <v>296</v>
      </c>
      <c r="J55" s="182"/>
      <c r="K55" s="184"/>
      <c r="L55" s="31"/>
    </row>
    <row r="56" spans="1:12" s="123" customFormat="1">
      <c r="A56" s="42" t="s">
        <v>2039</v>
      </c>
      <c r="B56" s="151">
        <v>2306765</v>
      </c>
      <c r="C56" s="151" t="s">
        <v>594</v>
      </c>
      <c r="D56" s="185"/>
      <c r="E56" s="183">
        <v>13133</v>
      </c>
      <c r="F56" s="184"/>
      <c r="G56" s="183">
        <v>14242</v>
      </c>
      <c r="H56" s="31" t="s">
        <v>499</v>
      </c>
      <c r="I56" s="31" t="s">
        <v>546</v>
      </c>
      <c r="J56" s="182"/>
      <c r="K56" s="184"/>
      <c r="L56" s="31"/>
    </row>
    <row r="57" spans="1:12" s="123" customFormat="1">
      <c r="A57" s="42" t="s">
        <v>2039</v>
      </c>
      <c r="B57" s="151">
        <v>2261608</v>
      </c>
      <c r="C57" s="151" t="s">
        <v>594</v>
      </c>
      <c r="D57" s="185"/>
      <c r="E57" s="183">
        <v>13229</v>
      </c>
      <c r="F57" s="184"/>
      <c r="G57" s="183">
        <v>13822</v>
      </c>
      <c r="H57" s="31" t="s">
        <v>499</v>
      </c>
      <c r="I57" s="31" t="s">
        <v>295</v>
      </c>
      <c r="J57" s="182"/>
      <c r="K57" s="184"/>
      <c r="L57" s="31"/>
    </row>
    <row r="58" spans="1:12" s="123" customFormat="1">
      <c r="A58" s="42" t="s">
        <v>2039</v>
      </c>
      <c r="B58" s="151">
        <v>2307084</v>
      </c>
      <c r="C58" s="151" t="s">
        <v>594</v>
      </c>
      <c r="D58" s="185"/>
      <c r="E58" s="183">
        <v>13244</v>
      </c>
      <c r="F58" s="184"/>
      <c r="G58" s="183">
        <v>14249</v>
      </c>
      <c r="H58" s="31" t="s">
        <v>499</v>
      </c>
      <c r="I58" s="31" t="s">
        <v>547</v>
      </c>
      <c r="J58" s="182"/>
      <c r="K58" s="184"/>
      <c r="L58" s="31"/>
    </row>
    <row r="59" spans="1:12" s="123" customFormat="1">
      <c r="A59" s="42" t="s">
        <v>2039</v>
      </c>
      <c r="B59" s="151">
        <v>2306093</v>
      </c>
      <c r="C59" s="151" t="s">
        <v>594</v>
      </c>
      <c r="D59" s="185"/>
      <c r="E59" s="183">
        <v>13245</v>
      </c>
      <c r="F59" s="184"/>
      <c r="G59" s="183">
        <v>14235</v>
      </c>
      <c r="H59" s="31" t="s">
        <v>499</v>
      </c>
      <c r="I59" s="31" t="s">
        <v>545</v>
      </c>
      <c r="J59" s="182"/>
      <c r="K59" s="184"/>
      <c r="L59" s="31"/>
    </row>
    <row r="60" spans="1:12" s="123" customFormat="1">
      <c r="A60" s="42" t="s">
        <v>2039</v>
      </c>
      <c r="B60" s="151">
        <v>2376984</v>
      </c>
      <c r="C60" s="151" t="s">
        <v>594</v>
      </c>
      <c r="D60" s="185"/>
      <c r="E60" s="183">
        <v>13245</v>
      </c>
      <c r="F60" s="184"/>
      <c r="G60" s="183">
        <v>15124</v>
      </c>
      <c r="H60" s="31" t="s">
        <v>499</v>
      </c>
      <c r="I60" s="31" t="s">
        <v>545</v>
      </c>
      <c r="J60" s="182"/>
      <c r="K60" s="184"/>
      <c r="L60" s="31"/>
    </row>
    <row r="61" spans="1:12" s="42" customFormat="1">
      <c r="A61" s="42" t="s">
        <v>2039</v>
      </c>
      <c r="B61" s="151">
        <v>2372690</v>
      </c>
      <c r="C61" s="151" t="s">
        <v>594</v>
      </c>
      <c r="D61" s="185"/>
      <c r="E61" s="183">
        <v>13468</v>
      </c>
      <c r="F61" s="184"/>
      <c r="G61" s="183">
        <v>15068</v>
      </c>
      <c r="H61" s="31" t="s">
        <v>499</v>
      </c>
      <c r="I61" s="31" t="s">
        <v>546</v>
      </c>
      <c r="J61" s="182"/>
      <c r="K61" s="184"/>
      <c r="L61" s="31"/>
    </row>
    <row r="62" spans="1:12" s="42" customFormat="1">
      <c r="B62" s="151"/>
      <c r="C62" s="151"/>
      <c r="D62" s="185"/>
      <c r="E62" s="186"/>
      <c r="F62" s="187"/>
      <c r="G62" s="186"/>
      <c r="H62" s="185"/>
      <c r="I62" s="185"/>
      <c r="J62" s="188"/>
      <c r="K62" s="187"/>
      <c r="L62" s="185"/>
    </row>
    <row r="63" spans="1:12">
      <c r="A63" s="189" t="s">
        <v>253</v>
      </c>
    </row>
    <row r="64" spans="1:12" s="123" customFormat="1">
      <c r="A64" s="220" t="s">
        <v>2039</v>
      </c>
      <c r="B64" s="221">
        <v>1935529</v>
      </c>
      <c r="C64" s="218" t="s">
        <v>478</v>
      </c>
      <c r="D64" s="185"/>
      <c r="E64" s="183">
        <v>9509</v>
      </c>
      <c r="F64" s="184"/>
      <c r="G64" s="183">
        <v>10910</v>
      </c>
      <c r="H64" s="31"/>
      <c r="I64" s="31" t="s">
        <v>554</v>
      </c>
      <c r="J64" s="182" t="s">
        <v>845</v>
      </c>
      <c r="K64" s="184">
        <v>9150</v>
      </c>
      <c r="L64" s="31"/>
    </row>
    <row r="65" spans="1:12" s="123" customFormat="1">
      <c r="A65" s="220" t="s">
        <v>2039</v>
      </c>
      <c r="B65" s="221">
        <v>1941647</v>
      </c>
      <c r="C65" s="218" t="s">
        <v>478</v>
      </c>
      <c r="D65" s="185"/>
      <c r="E65" s="183">
        <v>9696</v>
      </c>
      <c r="F65" s="184"/>
      <c r="G65" s="183">
        <v>10959</v>
      </c>
      <c r="H65" s="31"/>
      <c r="I65" s="31" t="s">
        <v>555</v>
      </c>
      <c r="J65" s="182" t="s">
        <v>845</v>
      </c>
      <c r="K65" s="184">
        <v>9367</v>
      </c>
      <c r="L65" s="31"/>
    </row>
    <row r="66" spans="1:12" s="123" customFormat="1">
      <c r="A66" s="220" t="s">
        <v>2039</v>
      </c>
      <c r="B66" s="221">
        <v>1894162</v>
      </c>
      <c r="C66" s="218" t="s">
        <v>478</v>
      </c>
      <c r="D66" s="185"/>
      <c r="E66" s="183">
        <v>9969</v>
      </c>
      <c r="F66" s="184"/>
      <c r="G66" s="183">
        <v>10602</v>
      </c>
      <c r="H66" s="31"/>
      <c r="I66" s="31" t="s">
        <v>416</v>
      </c>
      <c r="J66" s="182" t="s">
        <v>845</v>
      </c>
      <c r="K66" s="184">
        <v>9624</v>
      </c>
      <c r="L66" s="31"/>
    </row>
    <row r="67" spans="1:12" s="123" customFormat="1">
      <c r="A67" s="42" t="s">
        <v>2039</v>
      </c>
      <c r="B67" s="151">
        <v>2098954</v>
      </c>
      <c r="C67" s="139" t="s">
        <v>478</v>
      </c>
      <c r="D67" s="185"/>
      <c r="E67" s="183">
        <v>10960</v>
      </c>
      <c r="F67" s="184"/>
      <c r="G67" s="183">
        <v>12373</v>
      </c>
      <c r="H67" s="31" t="s">
        <v>499</v>
      </c>
      <c r="I67" s="31" t="s">
        <v>574</v>
      </c>
      <c r="J67" s="182" t="s">
        <v>845</v>
      </c>
      <c r="K67" s="184">
        <v>10595</v>
      </c>
      <c r="L67" s="31"/>
    </row>
    <row r="68" spans="1:12" s="123" customFormat="1">
      <c r="A68" s="42" t="s">
        <v>2039</v>
      </c>
      <c r="B68" s="151">
        <v>2086562</v>
      </c>
      <c r="C68" s="139" t="s">
        <v>478</v>
      </c>
      <c r="D68" s="185"/>
      <c r="E68" s="183">
        <v>11128</v>
      </c>
      <c r="F68" s="184"/>
      <c r="G68" s="183">
        <v>12247</v>
      </c>
      <c r="H68" s="31" t="s">
        <v>499</v>
      </c>
      <c r="I68" s="185" t="s">
        <v>435</v>
      </c>
      <c r="J68" s="182" t="s">
        <v>845</v>
      </c>
      <c r="K68" s="184">
        <v>10765</v>
      </c>
      <c r="L68" s="31"/>
    </row>
    <row r="69" spans="1:12" s="123" customFormat="1">
      <c r="A69" s="42" t="s">
        <v>2039</v>
      </c>
      <c r="B69" s="151">
        <v>2114306</v>
      </c>
      <c r="C69" s="139" t="s">
        <v>478</v>
      </c>
      <c r="D69" s="185" t="s">
        <v>575</v>
      </c>
      <c r="E69" s="183">
        <v>11128</v>
      </c>
      <c r="F69" s="184">
        <v>11920</v>
      </c>
      <c r="G69" s="183">
        <v>12527</v>
      </c>
      <c r="H69" s="31" t="s">
        <v>499</v>
      </c>
      <c r="I69" s="31" t="s">
        <v>435</v>
      </c>
      <c r="J69" s="182" t="s">
        <v>845</v>
      </c>
      <c r="K69" s="184">
        <v>10765</v>
      </c>
      <c r="L69" s="31"/>
    </row>
    <row r="70" spans="1:12" s="123" customFormat="1">
      <c r="A70" s="42" t="s">
        <v>2039</v>
      </c>
      <c r="B70" s="151">
        <v>2085009</v>
      </c>
      <c r="C70" s="139" t="s">
        <v>478</v>
      </c>
      <c r="D70" s="185"/>
      <c r="E70" s="183">
        <v>11148</v>
      </c>
      <c r="F70" s="184"/>
      <c r="G70" s="183">
        <v>12233</v>
      </c>
      <c r="H70" s="31" t="s">
        <v>499</v>
      </c>
      <c r="I70" s="31" t="s">
        <v>434</v>
      </c>
      <c r="J70" s="182" t="s">
        <v>845</v>
      </c>
      <c r="K70" s="184">
        <v>10827</v>
      </c>
      <c r="L70" s="31"/>
    </row>
    <row r="71" spans="1:12" s="123" customFormat="1">
      <c r="A71" s="42" t="s">
        <v>2039</v>
      </c>
      <c r="B71" s="151">
        <v>2145249</v>
      </c>
      <c r="C71" s="139" t="s">
        <v>478</v>
      </c>
      <c r="D71" s="185" t="s">
        <v>577</v>
      </c>
      <c r="E71" s="183">
        <v>11148</v>
      </c>
      <c r="F71" s="184">
        <v>11949</v>
      </c>
      <c r="G71" s="183">
        <v>12814</v>
      </c>
      <c r="H71" s="31" t="s">
        <v>499</v>
      </c>
      <c r="I71" s="31" t="s">
        <v>434</v>
      </c>
      <c r="J71" s="182" t="s">
        <v>845</v>
      </c>
      <c r="K71" s="184">
        <v>10827</v>
      </c>
      <c r="L71" s="31"/>
    </row>
    <row r="72" spans="1:12" s="123" customFormat="1">
      <c r="A72" s="42" t="s">
        <v>2039</v>
      </c>
      <c r="B72" s="151">
        <v>2094000</v>
      </c>
      <c r="C72" s="139" t="s">
        <v>478</v>
      </c>
      <c r="D72" s="185"/>
      <c r="E72" s="183">
        <v>11215</v>
      </c>
      <c r="F72" s="184"/>
      <c r="G72" s="183">
        <v>12324</v>
      </c>
      <c r="H72" s="31" t="s">
        <v>499</v>
      </c>
      <c r="I72" s="31" t="s">
        <v>573</v>
      </c>
      <c r="J72" s="182" t="s">
        <v>845</v>
      </c>
      <c r="K72" s="184">
        <v>10857</v>
      </c>
      <c r="L72" s="31"/>
    </row>
    <row r="73" spans="1:12" s="123" customFormat="1">
      <c r="A73" s="42" t="s">
        <v>2039</v>
      </c>
      <c r="B73" s="151">
        <v>2133977</v>
      </c>
      <c r="C73" s="139" t="s">
        <v>478</v>
      </c>
      <c r="D73" s="185" t="s">
        <v>576</v>
      </c>
      <c r="E73" s="183">
        <v>11215</v>
      </c>
      <c r="F73" s="184">
        <v>12111</v>
      </c>
      <c r="G73" s="183">
        <v>12716</v>
      </c>
      <c r="H73" s="31" t="s">
        <v>499</v>
      </c>
      <c r="I73" s="31" t="s">
        <v>573</v>
      </c>
      <c r="J73" s="182" t="s">
        <v>845</v>
      </c>
      <c r="K73" s="184">
        <v>10857</v>
      </c>
      <c r="L73" s="31"/>
    </row>
    <row r="74" spans="1:12" s="123" customFormat="1">
      <c r="A74" s="42" t="s">
        <v>2039</v>
      </c>
      <c r="B74" s="151">
        <v>2078237</v>
      </c>
      <c r="C74" s="139" t="s">
        <v>478</v>
      </c>
      <c r="D74" s="185"/>
      <c r="E74" s="183">
        <v>11247</v>
      </c>
      <c r="F74" s="184"/>
      <c r="G74" s="183">
        <v>12170</v>
      </c>
      <c r="H74" s="31" t="s">
        <v>499</v>
      </c>
      <c r="I74" s="31" t="s">
        <v>433</v>
      </c>
      <c r="J74" s="182" t="s">
        <v>845</v>
      </c>
      <c r="K74" s="184">
        <v>10882</v>
      </c>
      <c r="L74" s="31"/>
    </row>
    <row r="75" spans="1:12" s="123" customFormat="1">
      <c r="A75" s="42" t="s">
        <v>2039</v>
      </c>
      <c r="B75" s="151">
        <v>2119527</v>
      </c>
      <c r="C75" s="139" t="s">
        <v>478</v>
      </c>
      <c r="D75" s="185"/>
      <c r="E75" s="183">
        <v>11340</v>
      </c>
      <c r="F75" s="184"/>
      <c r="G75" s="183">
        <v>12576</v>
      </c>
      <c r="H75" s="31" t="s">
        <v>499</v>
      </c>
      <c r="I75" s="31" t="s">
        <v>573</v>
      </c>
      <c r="J75" s="182" t="s">
        <v>845</v>
      </c>
      <c r="K75" s="184">
        <v>10979</v>
      </c>
      <c r="L75" s="31"/>
    </row>
    <row r="76" spans="1:12" s="123" customFormat="1">
      <c r="A76" s="42" t="s">
        <v>2039</v>
      </c>
      <c r="B76" s="151">
        <v>2149279</v>
      </c>
      <c r="C76" s="139" t="s">
        <v>478</v>
      </c>
      <c r="D76" s="185"/>
      <c r="E76" s="183">
        <v>11508</v>
      </c>
      <c r="F76" s="184"/>
      <c r="G76" s="183">
        <v>12849</v>
      </c>
      <c r="H76" s="31" t="s">
        <v>499</v>
      </c>
      <c r="I76" s="31" t="s">
        <v>325</v>
      </c>
      <c r="J76" s="182" t="s">
        <v>845</v>
      </c>
      <c r="K76" s="184">
        <v>11145</v>
      </c>
      <c r="L76" s="31"/>
    </row>
    <row r="77" spans="1:12" s="123" customFormat="1">
      <c r="A77" s="42" t="s">
        <v>2039</v>
      </c>
      <c r="B77" s="151">
        <v>2370015</v>
      </c>
      <c r="C77" s="139" t="s">
        <v>478</v>
      </c>
      <c r="D77" s="185" t="s">
        <v>243</v>
      </c>
      <c r="E77" s="183">
        <v>11640</v>
      </c>
      <c r="F77" s="183">
        <v>13522</v>
      </c>
      <c r="G77" s="183">
        <v>15026</v>
      </c>
      <c r="H77" s="31" t="s">
        <v>499</v>
      </c>
      <c r="I77" s="31" t="s">
        <v>574</v>
      </c>
      <c r="J77" s="182" t="s">
        <v>845</v>
      </c>
      <c r="K77" s="184">
        <v>10797</v>
      </c>
      <c r="L77" s="31"/>
    </row>
    <row r="78" spans="1:12" s="123" customFormat="1">
      <c r="A78" s="42" t="s">
        <v>2039</v>
      </c>
      <c r="B78" s="151">
        <v>2370015</v>
      </c>
      <c r="C78" s="139" t="s">
        <v>478</v>
      </c>
      <c r="D78" s="185" t="s">
        <v>243</v>
      </c>
      <c r="E78" s="183">
        <v>11640</v>
      </c>
      <c r="F78" s="183">
        <v>13522</v>
      </c>
      <c r="G78" s="183">
        <v>15026</v>
      </c>
      <c r="H78" s="31" t="s">
        <v>499</v>
      </c>
      <c r="I78" s="31" t="s">
        <v>574</v>
      </c>
      <c r="J78" s="182" t="s">
        <v>845</v>
      </c>
      <c r="K78" s="184">
        <v>10797</v>
      </c>
      <c r="L78" s="31"/>
    </row>
    <row r="79" spans="1:12" s="123" customFormat="1">
      <c r="A79" s="42" t="s">
        <v>2039</v>
      </c>
      <c r="B79" s="151">
        <v>2145907</v>
      </c>
      <c r="C79" s="139" t="s">
        <v>478</v>
      </c>
      <c r="D79" s="185"/>
      <c r="E79" s="183">
        <v>11653</v>
      </c>
      <c r="F79" s="184"/>
      <c r="G79" s="183">
        <v>12821</v>
      </c>
      <c r="H79" s="31" t="s">
        <v>499</v>
      </c>
      <c r="I79" s="31" t="s">
        <v>555</v>
      </c>
      <c r="J79" s="182" t="s">
        <v>845</v>
      </c>
      <c r="K79" s="184">
        <v>11288</v>
      </c>
      <c r="L79" s="31"/>
    </row>
    <row r="80" spans="1:12" s="123" customFormat="1">
      <c r="A80" s="42" t="s">
        <v>2039</v>
      </c>
      <c r="B80" s="151">
        <v>2127547</v>
      </c>
      <c r="C80" s="139" t="s">
        <v>478</v>
      </c>
      <c r="D80" s="185"/>
      <c r="E80" s="183">
        <v>11829</v>
      </c>
      <c r="F80" s="184"/>
      <c r="G80" s="183">
        <v>12653</v>
      </c>
      <c r="H80" s="31" t="s">
        <v>499</v>
      </c>
      <c r="I80" s="31" t="s">
        <v>438</v>
      </c>
      <c r="J80" s="182" t="s">
        <v>845</v>
      </c>
      <c r="K80" s="184">
        <v>11474</v>
      </c>
      <c r="L80" s="31"/>
    </row>
    <row r="81" spans="1:12" s="123" customFormat="1">
      <c r="A81" s="42" t="s">
        <v>2039</v>
      </c>
      <c r="B81" s="151">
        <v>2163629</v>
      </c>
      <c r="C81" s="139" t="s">
        <v>478</v>
      </c>
      <c r="D81" s="185"/>
      <c r="E81" s="183">
        <v>11905</v>
      </c>
      <c r="F81" s="184"/>
      <c r="G81" s="183">
        <v>12961</v>
      </c>
      <c r="H81" s="31" t="s">
        <v>499</v>
      </c>
      <c r="I81" s="31" t="s">
        <v>442</v>
      </c>
      <c r="J81" s="182" t="s">
        <v>845</v>
      </c>
      <c r="K81" s="184">
        <v>11547</v>
      </c>
      <c r="L81" s="31"/>
    </row>
    <row r="82" spans="1:12" s="123" customFormat="1">
      <c r="A82" s="42" t="s">
        <v>2039</v>
      </c>
      <c r="B82" s="151">
        <v>2182791</v>
      </c>
      <c r="C82" s="139" t="s">
        <v>478</v>
      </c>
      <c r="D82" s="185" t="s">
        <v>579</v>
      </c>
      <c r="E82" s="183">
        <v>11949</v>
      </c>
      <c r="F82" s="184">
        <v>11949</v>
      </c>
      <c r="G82" s="183">
        <v>13129</v>
      </c>
      <c r="H82" s="31" t="s">
        <v>499</v>
      </c>
      <c r="I82" s="31" t="s">
        <v>416</v>
      </c>
      <c r="J82" s="182" t="s">
        <v>845</v>
      </c>
      <c r="K82" s="184">
        <v>10569</v>
      </c>
      <c r="L82" s="31"/>
    </row>
    <row r="83" spans="1:12" s="123" customFormat="1">
      <c r="A83" s="42" t="s">
        <v>2039</v>
      </c>
      <c r="B83" s="151">
        <v>2182792</v>
      </c>
      <c r="C83" s="139" t="s">
        <v>478</v>
      </c>
      <c r="D83" s="185" t="s">
        <v>446</v>
      </c>
      <c r="E83" s="183">
        <v>11949</v>
      </c>
      <c r="F83" s="184">
        <v>11949</v>
      </c>
      <c r="G83" s="183">
        <v>13129</v>
      </c>
      <c r="H83" s="31" t="s">
        <v>499</v>
      </c>
      <c r="I83" s="31" t="s">
        <v>416</v>
      </c>
      <c r="J83" s="182" t="s">
        <v>845</v>
      </c>
      <c r="K83" s="184">
        <v>10569</v>
      </c>
      <c r="L83" s="31"/>
    </row>
    <row r="84" spans="1:12" s="123" customFormat="1">
      <c r="A84" s="42" t="s">
        <v>2039</v>
      </c>
      <c r="B84" s="151">
        <v>2189830</v>
      </c>
      <c r="C84" s="139" t="s">
        <v>478</v>
      </c>
      <c r="D84" s="185"/>
      <c r="E84" s="183">
        <v>12011</v>
      </c>
      <c r="F84" s="184"/>
      <c r="G84" s="183">
        <v>13192</v>
      </c>
      <c r="H84" s="31" t="s">
        <v>499</v>
      </c>
      <c r="I84" s="31" t="s">
        <v>449</v>
      </c>
      <c r="J84" s="182" t="s">
        <v>845</v>
      </c>
      <c r="K84" s="184">
        <v>11651</v>
      </c>
      <c r="L84" s="31"/>
    </row>
    <row r="85" spans="1:12" s="123" customFormat="1">
      <c r="A85" s="42" t="s">
        <v>2039</v>
      </c>
      <c r="B85" s="151">
        <v>2190167</v>
      </c>
      <c r="C85" s="139" t="s">
        <v>478</v>
      </c>
      <c r="D85" s="185"/>
      <c r="E85" s="183">
        <v>12011</v>
      </c>
      <c r="F85" s="184"/>
      <c r="G85" s="183">
        <v>13192</v>
      </c>
      <c r="H85" s="31" t="s">
        <v>499</v>
      </c>
      <c r="I85" s="31" t="s">
        <v>449</v>
      </c>
      <c r="J85" s="182" t="s">
        <v>845</v>
      </c>
      <c r="K85" s="184">
        <v>11701</v>
      </c>
      <c r="L85" s="31"/>
    </row>
    <row r="86" spans="1:12" s="123" customFormat="1">
      <c r="A86" s="42" t="s">
        <v>2039</v>
      </c>
      <c r="B86" s="151">
        <v>2170127</v>
      </c>
      <c r="C86" s="139" t="s">
        <v>478</v>
      </c>
      <c r="D86" s="185"/>
      <c r="E86" s="183">
        <v>12110</v>
      </c>
      <c r="F86" s="184"/>
      <c r="G86" s="183">
        <v>13017</v>
      </c>
      <c r="H86" s="31" t="s">
        <v>499</v>
      </c>
      <c r="I86" s="31" t="s">
        <v>573</v>
      </c>
      <c r="J86" s="182" t="s">
        <v>845</v>
      </c>
      <c r="K86" s="184">
        <v>11760</v>
      </c>
      <c r="L86" s="31"/>
    </row>
    <row r="87" spans="1:12" s="123" customFormat="1">
      <c r="A87" s="42" t="s">
        <v>2039</v>
      </c>
      <c r="B87" s="151">
        <v>2221828</v>
      </c>
      <c r="C87" s="139" t="s">
        <v>478</v>
      </c>
      <c r="D87" s="185"/>
      <c r="E87" s="183">
        <v>12149</v>
      </c>
      <c r="F87" s="184"/>
      <c r="G87" s="183">
        <v>13472</v>
      </c>
      <c r="H87" s="31" t="s">
        <v>499</v>
      </c>
      <c r="I87" s="31" t="s">
        <v>438</v>
      </c>
      <c r="J87" s="182" t="s">
        <v>845</v>
      </c>
      <c r="K87" s="184">
        <v>11803</v>
      </c>
      <c r="L87" s="31"/>
    </row>
    <row r="88" spans="1:12" s="123" customFormat="1">
      <c r="A88" s="42" t="s">
        <v>2039</v>
      </c>
      <c r="B88" s="151">
        <v>2189778</v>
      </c>
      <c r="C88" s="139" t="s">
        <v>478</v>
      </c>
      <c r="D88" s="185"/>
      <c r="E88" s="183">
        <v>12249</v>
      </c>
      <c r="F88" s="184"/>
      <c r="G88" s="183">
        <v>13192</v>
      </c>
      <c r="H88" s="31" t="s">
        <v>499</v>
      </c>
      <c r="I88" s="31" t="s">
        <v>448</v>
      </c>
      <c r="J88" s="182" t="s">
        <v>845</v>
      </c>
      <c r="K88" s="184">
        <v>11887</v>
      </c>
      <c r="L88" s="31"/>
    </row>
    <row r="89" spans="1:12" s="123" customFormat="1">
      <c r="A89" s="42" t="s">
        <v>2039</v>
      </c>
      <c r="B89" s="151">
        <v>2190377</v>
      </c>
      <c r="C89" s="139" t="s">
        <v>478</v>
      </c>
      <c r="D89" s="185"/>
      <c r="E89" s="183">
        <v>12249</v>
      </c>
      <c r="F89" s="184"/>
      <c r="G89" s="183">
        <v>13192</v>
      </c>
      <c r="H89" s="31" t="s">
        <v>499</v>
      </c>
      <c r="I89" s="31" t="s">
        <v>448</v>
      </c>
      <c r="J89" s="182" t="s">
        <v>845</v>
      </c>
      <c r="K89" s="184">
        <v>11887</v>
      </c>
      <c r="L89" s="31"/>
    </row>
    <row r="90" spans="1:12" s="123" customFormat="1">
      <c r="A90" s="42" t="s">
        <v>2039</v>
      </c>
      <c r="B90" s="151">
        <v>2176063</v>
      </c>
      <c r="C90" s="139" t="s">
        <v>478</v>
      </c>
      <c r="D90" s="185"/>
      <c r="E90" s="183">
        <v>12290</v>
      </c>
      <c r="F90" s="184"/>
      <c r="G90" s="183">
        <v>13073</v>
      </c>
      <c r="H90" s="31" t="s">
        <v>499</v>
      </c>
      <c r="I90" s="31" t="s">
        <v>578</v>
      </c>
      <c r="J90" s="182" t="s">
        <v>845</v>
      </c>
      <c r="K90" s="184">
        <v>11932</v>
      </c>
      <c r="L90" s="31"/>
    </row>
    <row r="91" spans="1:12" s="123" customFormat="1">
      <c r="A91" s="42" t="s">
        <v>2039</v>
      </c>
      <c r="B91" s="151">
        <v>2160867</v>
      </c>
      <c r="C91" s="139" t="s">
        <v>478</v>
      </c>
      <c r="D91" s="185"/>
      <c r="E91" s="183">
        <v>12319</v>
      </c>
      <c r="F91" s="184"/>
      <c r="G91" s="183">
        <v>12940</v>
      </c>
      <c r="H91" s="31" t="s">
        <v>499</v>
      </c>
      <c r="I91" s="31" t="s">
        <v>326</v>
      </c>
      <c r="J91" s="182" t="s">
        <v>845</v>
      </c>
      <c r="K91" s="184">
        <v>11957</v>
      </c>
      <c r="L91" s="31"/>
    </row>
    <row r="92" spans="1:12" s="123" customFormat="1">
      <c r="A92" s="42" t="s">
        <v>2039</v>
      </c>
      <c r="B92" s="151">
        <v>2235638</v>
      </c>
      <c r="C92" s="139" t="s">
        <v>478</v>
      </c>
      <c r="D92" s="185"/>
      <c r="E92" s="183">
        <v>12331</v>
      </c>
      <c r="F92" s="184"/>
      <c r="G92" s="183">
        <v>13591</v>
      </c>
      <c r="H92" s="31" t="s">
        <v>499</v>
      </c>
      <c r="I92" s="31" t="s">
        <v>326</v>
      </c>
      <c r="J92" s="182" t="s">
        <v>845</v>
      </c>
      <c r="K92" s="184">
        <v>11970</v>
      </c>
      <c r="L92" s="31"/>
    </row>
    <row r="93" spans="1:12" s="123" customFormat="1">
      <c r="A93" s="42" t="s">
        <v>2039</v>
      </c>
      <c r="B93" s="151">
        <v>2259925</v>
      </c>
      <c r="C93" s="139" t="s">
        <v>478</v>
      </c>
      <c r="D93" s="185" t="s">
        <v>245</v>
      </c>
      <c r="E93" s="183">
        <v>12354</v>
      </c>
      <c r="F93" s="183">
        <v>12801</v>
      </c>
      <c r="G93" s="183">
        <v>13808</v>
      </c>
      <c r="H93" s="31" t="s">
        <v>499</v>
      </c>
      <c r="I93" s="31" t="s">
        <v>574</v>
      </c>
      <c r="J93" s="182" t="s">
        <v>845</v>
      </c>
      <c r="K93" s="184">
        <v>10595</v>
      </c>
      <c r="L93" s="31" t="s">
        <v>246</v>
      </c>
    </row>
    <row r="94" spans="1:12" s="123" customFormat="1">
      <c r="A94" s="42" t="s">
        <v>2039</v>
      </c>
      <c r="B94" s="151">
        <v>2235862</v>
      </c>
      <c r="C94" s="139" t="s">
        <v>478</v>
      </c>
      <c r="D94" s="185"/>
      <c r="E94" s="183">
        <v>12465</v>
      </c>
      <c r="F94" s="184"/>
      <c r="G94" s="183">
        <v>13598</v>
      </c>
      <c r="H94" s="31" t="s">
        <v>499</v>
      </c>
      <c r="I94" s="31" t="s">
        <v>449</v>
      </c>
      <c r="J94" s="182" t="s">
        <v>845</v>
      </c>
      <c r="K94" s="184">
        <v>12106</v>
      </c>
      <c r="L94" s="31"/>
    </row>
    <row r="95" spans="1:12" s="123" customFormat="1">
      <c r="A95" s="42" t="s">
        <v>2039</v>
      </c>
      <c r="B95" s="151">
        <v>2235884</v>
      </c>
      <c r="C95" s="139" t="s">
        <v>478</v>
      </c>
      <c r="D95" s="185"/>
      <c r="E95" s="183">
        <v>12597</v>
      </c>
      <c r="F95" s="184"/>
      <c r="G95" s="183">
        <v>13598</v>
      </c>
      <c r="H95" s="31" t="s">
        <v>499</v>
      </c>
      <c r="I95" s="31" t="s">
        <v>584</v>
      </c>
      <c r="J95" s="182" t="s">
        <v>845</v>
      </c>
      <c r="K95" s="184">
        <v>12235</v>
      </c>
      <c r="L95" s="31"/>
    </row>
    <row r="96" spans="1:12" s="123" customFormat="1">
      <c r="A96" s="42" t="s">
        <v>2039</v>
      </c>
      <c r="B96" s="151">
        <v>2259936</v>
      </c>
      <c r="C96" s="139" t="s">
        <v>478</v>
      </c>
      <c r="D96" s="185"/>
      <c r="E96" s="183">
        <v>12625</v>
      </c>
      <c r="F96" s="183"/>
      <c r="G96" s="183">
        <v>13808</v>
      </c>
      <c r="H96" s="31" t="s">
        <v>499</v>
      </c>
      <c r="I96" s="31" t="s">
        <v>451</v>
      </c>
      <c r="J96" s="182" t="s">
        <v>845</v>
      </c>
      <c r="K96" s="184">
        <v>12264</v>
      </c>
      <c r="L96" s="31"/>
    </row>
    <row r="97" spans="1:12" s="123" customFormat="1">
      <c r="A97" s="42" t="s">
        <v>2039</v>
      </c>
      <c r="B97" s="151">
        <v>2235661</v>
      </c>
      <c r="C97" s="139" t="s">
        <v>478</v>
      </c>
      <c r="D97" s="185"/>
      <c r="E97" s="183">
        <v>12647</v>
      </c>
      <c r="F97" s="184"/>
      <c r="G97" s="183">
        <v>13591</v>
      </c>
      <c r="H97" s="31" t="s">
        <v>499</v>
      </c>
      <c r="I97" s="31" t="s">
        <v>438</v>
      </c>
      <c r="J97" s="182" t="s">
        <v>845</v>
      </c>
      <c r="K97" s="184">
        <v>11474</v>
      </c>
      <c r="L97" s="31"/>
    </row>
    <row r="98" spans="1:12" s="123" customFormat="1">
      <c r="A98" s="42" t="s">
        <v>2039</v>
      </c>
      <c r="B98" s="151">
        <v>2212531</v>
      </c>
      <c r="C98" s="139" t="s">
        <v>478</v>
      </c>
      <c r="D98" s="185"/>
      <c r="E98" s="183">
        <v>12702</v>
      </c>
      <c r="F98" s="184"/>
      <c r="G98" s="183">
        <v>13388</v>
      </c>
      <c r="H98" s="31" t="s">
        <v>499</v>
      </c>
      <c r="I98" s="31" t="s">
        <v>450</v>
      </c>
      <c r="J98" s="182" t="s">
        <v>845</v>
      </c>
      <c r="K98" s="184">
        <v>12340</v>
      </c>
      <c r="L98" s="31"/>
    </row>
    <row r="99" spans="1:12" s="123" customFormat="1">
      <c r="A99" s="42" t="s">
        <v>2039</v>
      </c>
      <c r="B99" s="151">
        <v>2212532</v>
      </c>
      <c r="C99" s="139" t="s">
        <v>478</v>
      </c>
      <c r="D99" s="185"/>
      <c r="E99" s="183">
        <v>12702</v>
      </c>
      <c r="F99" s="184"/>
      <c r="G99" s="183">
        <v>13388</v>
      </c>
      <c r="H99" s="31" t="s">
        <v>499</v>
      </c>
      <c r="I99" s="31" t="s">
        <v>450</v>
      </c>
      <c r="J99" s="182" t="s">
        <v>845</v>
      </c>
      <c r="K99" s="184">
        <v>12340</v>
      </c>
      <c r="L99" s="31"/>
    </row>
    <row r="100" spans="1:12" s="123" customFormat="1">
      <c r="A100" s="42" t="s">
        <v>2039</v>
      </c>
      <c r="B100" s="151">
        <v>2259925</v>
      </c>
      <c r="C100" s="139" t="s">
        <v>478</v>
      </c>
      <c r="D100" s="185"/>
      <c r="E100" s="183">
        <v>12801</v>
      </c>
      <c r="F100" s="184"/>
      <c r="G100" s="183">
        <v>13808</v>
      </c>
      <c r="H100" s="31" t="s">
        <v>499</v>
      </c>
      <c r="I100" s="31" t="s">
        <v>239</v>
      </c>
      <c r="J100" s="182" t="s">
        <v>845</v>
      </c>
      <c r="K100" s="184">
        <v>10595</v>
      </c>
      <c r="L100" s="31"/>
    </row>
    <row r="101" spans="1:12" s="123" customFormat="1">
      <c r="A101" s="42" t="s">
        <v>2039</v>
      </c>
      <c r="B101" s="151">
        <v>2289761</v>
      </c>
      <c r="C101" s="139" t="s">
        <v>478</v>
      </c>
      <c r="D101" s="185"/>
      <c r="E101" s="183">
        <v>12801</v>
      </c>
      <c r="F101" s="183"/>
      <c r="G101" s="183">
        <v>14074</v>
      </c>
      <c r="H101" s="31" t="s">
        <v>499</v>
      </c>
      <c r="I101" s="31" t="s">
        <v>240</v>
      </c>
      <c r="J101" s="182" t="s">
        <v>845</v>
      </c>
      <c r="K101" s="184">
        <v>12443</v>
      </c>
      <c r="L101" s="31"/>
    </row>
    <row r="102" spans="1:12" s="123" customFormat="1">
      <c r="A102" s="42" t="s">
        <v>2039</v>
      </c>
      <c r="B102" s="151">
        <v>2183553</v>
      </c>
      <c r="C102" s="139" t="s">
        <v>478</v>
      </c>
      <c r="D102" s="185"/>
      <c r="E102" s="183">
        <v>12806</v>
      </c>
      <c r="F102" s="184"/>
      <c r="G102" s="183">
        <v>13136</v>
      </c>
      <c r="H102" s="31"/>
      <c r="I102" s="31" t="s">
        <v>447</v>
      </c>
      <c r="J102" s="182" t="s">
        <v>845</v>
      </c>
      <c r="K102" s="184">
        <v>12446</v>
      </c>
      <c r="L102" s="31"/>
    </row>
    <row r="103" spans="1:12" s="123" customFormat="1">
      <c r="A103" s="42" t="s">
        <v>2039</v>
      </c>
      <c r="B103" s="151">
        <v>2229573</v>
      </c>
      <c r="C103" s="139" t="s">
        <v>478</v>
      </c>
      <c r="D103" s="185"/>
      <c r="E103" s="183">
        <v>12878</v>
      </c>
      <c r="F103" s="184"/>
      <c r="G103" s="183">
        <v>13535</v>
      </c>
      <c r="H103" s="31" t="s">
        <v>499</v>
      </c>
      <c r="I103" s="31" t="s">
        <v>451</v>
      </c>
      <c r="J103" s="182" t="s">
        <v>845</v>
      </c>
      <c r="K103" s="184">
        <v>12542</v>
      </c>
      <c r="L103" s="31"/>
    </row>
    <row r="104" spans="1:12" s="123" customFormat="1">
      <c r="A104" s="42" t="s">
        <v>2039</v>
      </c>
      <c r="B104" s="151">
        <v>2229574</v>
      </c>
      <c r="C104" s="139" t="s">
        <v>478</v>
      </c>
      <c r="D104" s="185"/>
      <c r="E104" s="183">
        <v>12878</v>
      </c>
      <c r="F104" s="184"/>
      <c r="G104" s="183">
        <v>13535</v>
      </c>
      <c r="H104" s="31" t="s">
        <v>499</v>
      </c>
      <c r="I104" s="31" t="s">
        <v>451</v>
      </c>
      <c r="J104" s="182" t="s">
        <v>845</v>
      </c>
      <c r="K104" s="184">
        <v>12549</v>
      </c>
      <c r="L104" s="31"/>
    </row>
    <row r="105" spans="1:12" s="123" customFormat="1">
      <c r="A105" s="42" t="s">
        <v>2039</v>
      </c>
      <c r="B105" s="151">
        <v>2354317</v>
      </c>
      <c r="C105" s="139" t="s">
        <v>478</v>
      </c>
      <c r="D105" s="185"/>
      <c r="E105" s="183">
        <v>12912</v>
      </c>
      <c r="F105" s="183"/>
      <c r="G105" s="183">
        <v>14816</v>
      </c>
      <c r="H105" s="31" t="s">
        <v>499</v>
      </c>
      <c r="I105" s="31" t="s">
        <v>326</v>
      </c>
      <c r="J105" s="182" t="s">
        <v>845</v>
      </c>
      <c r="K105" s="184">
        <v>12552</v>
      </c>
      <c r="L105" s="31"/>
    </row>
    <row r="106" spans="1:12" s="123" customFormat="1">
      <c r="A106" s="42" t="s">
        <v>2039</v>
      </c>
      <c r="B106" s="151">
        <v>2274449</v>
      </c>
      <c r="C106" s="139" t="s">
        <v>478</v>
      </c>
      <c r="D106" s="185"/>
      <c r="E106" s="183">
        <v>12915</v>
      </c>
      <c r="F106" s="183"/>
      <c r="G106" s="183">
        <v>13934</v>
      </c>
      <c r="H106" s="31" t="s">
        <v>499</v>
      </c>
      <c r="I106" s="31" t="s">
        <v>238</v>
      </c>
      <c r="J106" s="182" t="s">
        <v>845</v>
      </c>
      <c r="K106" s="184">
        <v>12552</v>
      </c>
      <c r="L106" s="31"/>
    </row>
    <row r="107" spans="1:12" s="123" customFormat="1">
      <c r="A107" s="42" t="s">
        <v>2039</v>
      </c>
      <c r="B107" s="151">
        <v>2230659</v>
      </c>
      <c r="C107" s="139" t="s">
        <v>478</v>
      </c>
      <c r="D107" s="185"/>
      <c r="E107" s="183">
        <v>13023</v>
      </c>
      <c r="F107" s="184"/>
      <c r="G107" s="183">
        <v>13549</v>
      </c>
      <c r="H107" s="31" t="s">
        <v>499</v>
      </c>
      <c r="I107" s="31" t="s">
        <v>450</v>
      </c>
      <c r="J107" s="182" t="s">
        <v>845</v>
      </c>
      <c r="K107" s="184">
        <v>12689</v>
      </c>
      <c r="L107" s="31"/>
    </row>
    <row r="108" spans="1:12" s="123" customFormat="1">
      <c r="A108" s="42" t="s">
        <v>2039</v>
      </c>
      <c r="B108" s="151">
        <v>2245147</v>
      </c>
      <c r="C108" s="139" t="s">
        <v>478</v>
      </c>
      <c r="D108" s="185"/>
      <c r="E108" s="183">
        <v>13112</v>
      </c>
      <c r="F108" s="184"/>
      <c r="G108" s="183">
        <v>13675</v>
      </c>
      <c r="H108" s="31" t="s">
        <v>499</v>
      </c>
      <c r="I108" s="31" t="s">
        <v>238</v>
      </c>
      <c r="J108" s="182" t="s">
        <v>845</v>
      </c>
      <c r="K108" s="184">
        <v>12758</v>
      </c>
      <c r="L108" s="31"/>
    </row>
    <row r="109" spans="1:12" s="123" customFormat="1">
      <c r="A109" s="42" t="s">
        <v>2039</v>
      </c>
      <c r="B109" s="151">
        <v>2358286</v>
      </c>
      <c r="C109" s="139" t="s">
        <v>478</v>
      </c>
      <c r="D109" s="185"/>
      <c r="E109" s="183">
        <v>13119</v>
      </c>
      <c r="F109" s="183"/>
      <c r="G109" s="183">
        <v>14865</v>
      </c>
      <c r="H109" s="31" t="s">
        <v>499</v>
      </c>
      <c r="I109" s="31" t="s">
        <v>326</v>
      </c>
      <c r="J109" s="182" t="s">
        <v>845</v>
      </c>
      <c r="K109" s="184">
        <v>12814</v>
      </c>
      <c r="L109" s="31"/>
    </row>
    <row r="110" spans="1:12" s="123" customFormat="1">
      <c r="A110" s="42" t="s">
        <v>2039</v>
      </c>
      <c r="B110" s="151">
        <v>2358287</v>
      </c>
      <c r="C110" s="139" t="s">
        <v>478</v>
      </c>
      <c r="D110" s="185" t="s">
        <v>242</v>
      </c>
      <c r="E110" s="183">
        <v>13119</v>
      </c>
      <c r="F110" s="183">
        <v>13661</v>
      </c>
      <c r="G110" s="183">
        <v>14865</v>
      </c>
      <c r="H110" s="31" t="s">
        <v>499</v>
      </c>
      <c r="I110" s="31" t="s">
        <v>326</v>
      </c>
      <c r="J110" s="182" t="s">
        <v>845</v>
      </c>
      <c r="K110" s="184">
        <v>12814</v>
      </c>
      <c r="L110" s="31"/>
    </row>
    <row r="111" spans="1:12" s="123" customFormat="1">
      <c r="A111" s="42" t="s">
        <v>2039</v>
      </c>
      <c r="B111" s="151">
        <v>2422625</v>
      </c>
      <c r="C111" s="139" t="s">
        <v>478</v>
      </c>
      <c r="D111" s="185">
        <v>308827</v>
      </c>
      <c r="E111" s="183">
        <v>13129</v>
      </c>
      <c r="F111" s="183"/>
      <c r="G111" s="183">
        <v>15873</v>
      </c>
      <c r="H111" s="31" t="s">
        <v>247</v>
      </c>
      <c r="I111" s="31" t="s">
        <v>248</v>
      </c>
      <c r="J111" s="182" t="s">
        <v>845</v>
      </c>
      <c r="K111" s="184">
        <v>12963</v>
      </c>
      <c r="L111" s="31" t="s">
        <v>249</v>
      </c>
    </row>
    <row r="112" spans="1:12" s="123" customFormat="1">
      <c r="A112" s="42" t="s">
        <v>2039</v>
      </c>
      <c r="B112" s="151">
        <v>2296677</v>
      </c>
      <c r="C112" s="139" t="s">
        <v>478</v>
      </c>
      <c r="D112" s="185"/>
      <c r="E112" s="183">
        <v>13187</v>
      </c>
      <c r="F112" s="183"/>
      <c r="G112" s="183">
        <v>14144</v>
      </c>
      <c r="H112" s="31" t="s">
        <v>499</v>
      </c>
      <c r="I112" s="31" t="s">
        <v>241</v>
      </c>
      <c r="J112" s="182" t="s">
        <v>845</v>
      </c>
      <c r="K112" s="184">
        <v>12771</v>
      </c>
      <c r="L112" s="31"/>
    </row>
    <row r="113" spans="1:12" s="123" customFormat="1">
      <c r="A113" s="42" t="s">
        <v>2039</v>
      </c>
      <c r="B113" s="151">
        <v>2359311</v>
      </c>
      <c r="C113" s="139" t="s">
        <v>478</v>
      </c>
      <c r="D113" s="185"/>
      <c r="E113" s="183">
        <v>13663</v>
      </c>
      <c r="F113" s="183"/>
      <c r="G113" s="183">
        <v>14886</v>
      </c>
      <c r="H113" s="31" t="s">
        <v>499</v>
      </c>
      <c r="I113" s="31" t="s">
        <v>326</v>
      </c>
      <c r="J113" s="182" t="s">
        <v>845</v>
      </c>
      <c r="K113" s="184">
        <v>13331</v>
      </c>
      <c r="L113" s="31"/>
    </row>
    <row r="114" spans="1:12" s="123" customFormat="1">
      <c r="A114" s="42" t="s">
        <v>2039</v>
      </c>
      <c r="B114" s="151">
        <v>2345605</v>
      </c>
      <c r="C114" s="139" t="s">
        <v>478</v>
      </c>
      <c r="D114" s="185"/>
      <c r="E114" s="183">
        <v>13690</v>
      </c>
      <c r="F114" s="183"/>
      <c r="G114" s="183">
        <v>14704</v>
      </c>
      <c r="H114" s="31" t="s">
        <v>499</v>
      </c>
      <c r="I114" s="31" t="s">
        <v>238</v>
      </c>
      <c r="J114" s="182" t="s">
        <v>845</v>
      </c>
      <c r="K114" s="184">
        <v>12758</v>
      </c>
      <c r="L114" s="31"/>
    </row>
    <row r="115" spans="1:12" s="123" customFormat="1">
      <c r="A115" s="42" t="s">
        <v>2039</v>
      </c>
      <c r="B115" s="151">
        <v>2343773</v>
      </c>
      <c r="C115" s="139" t="s">
        <v>478</v>
      </c>
      <c r="D115" s="185"/>
      <c r="E115" s="183">
        <v>13713</v>
      </c>
      <c r="F115" s="183"/>
      <c r="G115" s="183">
        <v>14737</v>
      </c>
      <c r="H115" s="31" t="s">
        <v>499</v>
      </c>
      <c r="I115" s="31" t="s">
        <v>326</v>
      </c>
      <c r="J115" s="182" t="s">
        <v>845</v>
      </c>
      <c r="K115" s="184">
        <v>12814</v>
      </c>
      <c r="L115" s="31"/>
    </row>
    <row r="116" spans="1:12" s="123" customFormat="1">
      <c r="A116" s="42" t="s">
        <v>2039</v>
      </c>
      <c r="B116" s="151">
        <v>2392534</v>
      </c>
      <c r="C116" s="139" t="s">
        <v>478</v>
      </c>
      <c r="D116" s="185">
        <v>403046</v>
      </c>
      <c r="E116" s="183">
        <v>13713</v>
      </c>
      <c r="F116" s="183"/>
      <c r="G116" s="183">
        <v>15348</v>
      </c>
      <c r="H116" s="31" t="s">
        <v>250</v>
      </c>
      <c r="I116" s="31" t="s">
        <v>251</v>
      </c>
      <c r="J116" s="182" t="s">
        <v>252</v>
      </c>
      <c r="K116" s="184">
        <v>13289</v>
      </c>
      <c r="L116" s="31"/>
    </row>
    <row r="119" spans="1:12" s="42" customFormat="1">
      <c r="A119" s="42" t="s">
        <v>2039</v>
      </c>
      <c r="B119" s="151" t="s">
        <v>631</v>
      </c>
      <c r="C119" s="151"/>
      <c r="D119" s="185">
        <v>380668</v>
      </c>
      <c r="E119" s="186"/>
      <c r="F119" s="187"/>
      <c r="G119" s="186"/>
      <c r="H119" s="185"/>
      <c r="I119" s="185"/>
      <c r="J119" s="188"/>
      <c r="K119" s="187"/>
      <c r="L119" s="185"/>
    </row>
    <row r="120" spans="1:12" s="42" customFormat="1">
      <c r="A120" s="42" t="s">
        <v>2039</v>
      </c>
      <c r="B120" s="151" t="s">
        <v>415</v>
      </c>
      <c r="C120" s="151"/>
      <c r="D120" s="185">
        <v>331454</v>
      </c>
      <c r="E120" s="186"/>
      <c r="F120" s="186"/>
      <c r="G120" s="186"/>
      <c r="H120" s="185"/>
      <c r="I120" s="185"/>
      <c r="J120" s="188"/>
      <c r="K120" s="187"/>
      <c r="L120" s="185"/>
    </row>
    <row r="121" spans="1:12" s="42" customFormat="1">
      <c r="A121" s="42" t="s">
        <v>2039</v>
      </c>
      <c r="B121" s="151" t="s">
        <v>415</v>
      </c>
      <c r="C121" s="151"/>
      <c r="D121" s="185">
        <v>346569</v>
      </c>
      <c r="E121" s="186"/>
      <c r="F121" s="186"/>
      <c r="G121" s="186"/>
      <c r="H121" s="185"/>
      <c r="I121" s="185"/>
      <c r="J121" s="188"/>
      <c r="K121" s="187"/>
      <c r="L121" s="185"/>
    </row>
    <row r="122" spans="1:12" s="42" customFormat="1">
      <c r="A122" s="42" t="s">
        <v>2039</v>
      </c>
      <c r="B122" s="151" t="s">
        <v>415</v>
      </c>
      <c r="C122" s="151"/>
      <c r="D122" s="185">
        <v>377673</v>
      </c>
      <c r="E122" s="186"/>
      <c r="F122" s="186"/>
      <c r="G122" s="186"/>
      <c r="H122" s="185"/>
      <c r="I122" s="185"/>
      <c r="J122" s="188"/>
      <c r="K122" s="187"/>
      <c r="L122" s="185"/>
    </row>
    <row r="123" spans="1:12" s="42" customFormat="1">
      <c r="A123" s="42" t="s">
        <v>2039</v>
      </c>
      <c r="B123" s="151" t="s">
        <v>244</v>
      </c>
      <c r="C123" s="151"/>
      <c r="D123" s="185">
        <v>227388</v>
      </c>
      <c r="E123" s="186">
        <v>12659</v>
      </c>
      <c r="F123" s="186"/>
      <c r="G123" s="186"/>
      <c r="H123" s="185"/>
      <c r="I123" s="185"/>
      <c r="J123" s="188"/>
      <c r="K123" s="187"/>
      <c r="L123" s="185"/>
    </row>
    <row r="124" spans="1:12" s="42" customFormat="1">
      <c r="A124" s="42" t="s">
        <v>2039</v>
      </c>
      <c r="B124" s="151" t="s">
        <v>244</v>
      </c>
      <c r="C124" s="151"/>
      <c r="D124" s="185">
        <v>256387</v>
      </c>
      <c r="E124" s="186">
        <v>12828</v>
      </c>
      <c r="F124" s="186"/>
      <c r="G124" s="186"/>
      <c r="H124" s="185"/>
      <c r="I124" s="185"/>
      <c r="J124" s="188"/>
      <c r="K124" s="187"/>
      <c r="L124" s="185"/>
    </row>
    <row r="125" spans="1:12" s="42" customFormat="1">
      <c r="A125" s="42" t="s">
        <v>2039</v>
      </c>
      <c r="B125" s="151" t="s">
        <v>244</v>
      </c>
      <c r="C125" s="151"/>
      <c r="D125" s="185">
        <v>266140</v>
      </c>
      <c r="E125" s="186">
        <v>12878</v>
      </c>
      <c r="F125" s="186"/>
      <c r="G125" s="186"/>
      <c r="H125" s="185"/>
      <c r="I125" s="185"/>
      <c r="J125" s="188"/>
      <c r="K125" s="187"/>
      <c r="L125" s="185"/>
    </row>
    <row r="126" spans="1:12" s="42" customFormat="1">
      <c r="A126" s="42" t="s">
        <v>2039</v>
      </c>
      <c r="B126" s="151" t="s">
        <v>244</v>
      </c>
      <c r="C126" s="151"/>
      <c r="D126" s="185">
        <v>304389</v>
      </c>
      <c r="E126" s="186">
        <v>13101</v>
      </c>
      <c r="F126" s="186"/>
      <c r="G126" s="186"/>
      <c r="H126" s="185"/>
      <c r="I126" s="185"/>
      <c r="J126" s="188"/>
      <c r="K126" s="187"/>
      <c r="L126" s="185"/>
    </row>
    <row r="127" spans="1:12" s="42" customFormat="1">
      <c r="A127" s="42" t="s">
        <v>2039</v>
      </c>
      <c r="B127" s="151" t="s">
        <v>244</v>
      </c>
      <c r="C127" s="151"/>
      <c r="D127" s="185">
        <v>344564</v>
      </c>
      <c r="E127" s="186">
        <v>13339</v>
      </c>
      <c r="F127" s="186"/>
      <c r="G127" s="186"/>
      <c r="H127" s="185"/>
      <c r="I127" s="185"/>
      <c r="J127" s="188"/>
      <c r="K127" s="187"/>
      <c r="L127" s="185"/>
    </row>
    <row r="128" spans="1:12" s="42" customFormat="1">
      <c r="A128" s="42" t="s">
        <v>2039</v>
      </c>
      <c r="B128" s="151" t="s">
        <v>244</v>
      </c>
      <c r="C128" s="151"/>
      <c r="D128" s="185">
        <v>346568</v>
      </c>
      <c r="E128" s="186">
        <v>13350</v>
      </c>
      <c r="F128" s="186"/>
      <c r="G128" s="186"/>
      <c r="H128" s="185"/>
      <c r="I128" s="185"/>
      <c r="J128" s="188"/>
      <c r="K128" s="187"/>
      <c r="L128" s="185"/>
    </row>
    <row r="129" spans="1:12" s="42" customFormat="1">
      <c r="A129" s="42" t="s">
        <v>2039</v>
      </c>
      <c r="B129" s="151" t="s">
        <v>244</v>
      </c>
      <c r="C129" s="151"/>
      <c r="D129" s="185">
        <v>373603</v>
      </c>
      <c r="E129" s="186">
        <v>13522</v>
      </c>
      <c r="F129" s="186"/>
      <c r="G129" s="186"/>
      <c r="H129" s="185"/>
      <c r="I129" s="185"/>
      <c r="J129" s="188"/>
      <c r="K129" s="187"/>
      <c r="L129" s="185"/>
    </row>
    <row r="130" spans="1:12" s="42" customFormat="1">
      <c r="A130" s="42" t="s">
        <v>2039</v>
      </c>
      <c r="B130" s="151" t="s">
        <v>244</v>
      </c>
      <c r="C130" s="151"/>
      <c r="D130" s="185">
        <v>375363</v>
      </c>
      <c r="E130" s="186">
        <v>13535</v>
      </c>
      <c r="F130" s="186"/>
      <c r="G130" s="186"/>
      <c r="H130" s="185"/>
      <c r="I130" s="185"/>
      <c r="J130" s="188"/>
      <c r="K130" s="187"/>
      <c r="L130" s="185"/>
    </row>
    <row r="131" spans="1:12" s="42" customFormat="1">
      <c r="A131" s="42" t="s">
        <v>2039</v>
      </c>
      <c r="B131" s="151" t="s">
        <v>244</v>
      </c>
      <c r="C131" s="151"/>
      <c r="D131" s="185">
        <v>387542</v>
      </c>
      <c r="E131" s="186">
        <v>13612</v>
      </c>
      <c r="F131" s="186"/>
      <c r="G131" s="186"/>
      <c r="H131" s="185"/>
      <c r="I131" s="185"/>
      <c r="J131" s="188"/>
      <c r="K131" s="187"/>
      <c r="L131" s="185"/>
    </row>
    <row r="132" spans="1:12" s="127" customFormat="1">
      <c r="B132" s="139"/>
      <c r="C132" s="139"/>
    </row>
    <row r="133" spans="1:12" s="42" customFormat="1">
      <c r="A133" s="42" t="s">
        <v>2039</v>
      </c>
      <c r="B133" s="151" t="s">
        <v>349</v>
      </c>
      <c r="C133" s="151"/>
      <c r="D133" s="185">
        <v>6482</v>
      </c>
      <c r="E133" s="186">
        <v>11367</v>
      </c>
      <c r="F133" s="187"/>
      <c r="G133" s="186"/>
      <c r="H133" s="185"/>
      <c r="I133" s="185"/>
      <c r="J133" s="188"/>
      <c r="K133" s="187"/>
      <c r="L133" s="185"/>
    </row>
    <row r="134" spans="1:12" s="42" customFormat="1">
      <c r="A134" s="42" t="s">
        <v>2039</v>
      </c>
      <c r="B134" s="151" t="s">
        <v>349</v>
      </c>
      <c r="C134" s="151"/>
      <c r="D134" s="185">
        <v>24908</v>
      </c>
      <c r="E134" s="186">
        <v>11477</v>
      </c>
      <c r="F134" s="187"/>
      <c r="G134" s="186"/>
      <c r="H134" s="185"/>
      <c r="I134" s="185"/>
      <c r="J134" s="188"/>
      <c r="K134" s="187"/>
      <c r="L134" s="185"/>
    </row>
    <row r="135" spans="1:12" s="42" customFormat="1">
      <c r="A135" s="42" t="s">
        <v>2039</v>
      </c>
      <c r="B135" s="151" t="s">
        <v>349</v>
      </c>
      <c r="C135" s="151"/>
      <c r="D135" s="185">
        <v>30149</v>
      </c>
      <c r="E135" s="186">
        <v>11509</v>
      </c>
      <c r="F135" s="187"/>
      <c r="G135" s="186"/>
      <c r="H135" s="185"/>
      <c r="I135" s="185"/>
      <c r="J135" s="188"/>
      <c r="K135" s="187"/>
      <c r="L135" s="185"/>
    </row>
    <row r="136" spans="1:12" s="42" customFormat="1">
      <c r="A136" s="42" t="s">
        <v>2039</v>
      </c>
      <c r="B136" s="151" t="s">
        <v>349</v>
      </c>
      <c r="C136" s="151"/>
      <c r="D136" s="185">
        <v>34249</v>
      </c>
      <c r="E136" s="186">
        <v>11535</v>
      </c>
      <c r="F136" s="187"/>
      <c r="G136" s="186"/>
      <c r="H136" s="185"/>
      <c r="I136" s="185"/>
      <c r="J136" s="188"/>
      <c r="K136" s="187"/>
      <c r="L136" s="185"/>
    </row>
    <row r="137" spans="1:12" s="42" customFormat="1">
      <c r="A137" s="42" t="s">
        <v>2039</v>
      </c>
      <c r="B137" s="151" t="s">
        <v>349</v>
      </c>
      <c r="C137" s="151"/>
      <c r="D137" s="185">
        <v>44469</v>
      </c>
      <c r="E137" s="186">
        <v>11605</v>
      </c>
      <c r="F137" s="187"/>
      <c r="G137" s="186"/>
      <c r="H137" s="185"/>
      <c r="I137" s="185"/>
      <c r="J137" s="188"/>
      <c r="K137" s="187"/>
      <c r="L137" s="185"/>
    </row>
    <row r="138" spans="1:12" s="42" customFormat="1">
      <c r="A138" s="42" t="s">
        <v>2039</v>
      </c>
      <c r="B138" s="151" t="s">
        <v>349</v>
      </c>
      <c r="C138" s="151"/>
      <c r="D138" s="185">
        <v>52274</v>
      </c>
      <c r="E138" s="186">
        <v>11655</v>
      </c>
      <c r="F138" s="187"/>
      <c r="G138" s="186"/>
      <c r="H138" s="185"/>
      <c r="I138" s="185"/>
      <c r="J138" s="188"/>
      <c r="K138" s="187"/>
      <c r="L138" s="185"/>
    </row>
    <row r="139" spans="1:12" s="42" customFormat="1">
      <c r="A139" s="42" t="s">
        <v>2039</v>
      </c>
      <c r="B139" s="151" t="s">
        <v>349</v>
      </c>
      <c r="C139" s="151"/>
      <c r="D139" s="185">
        <v>96650</v>
      </c>
      <c r="E139" s="186">
        <v>11918</v>
      </c>
      <c r="F139" s="187"/>
      <c r="G139" s="186"/>
      <c r="H139" s="185"/>
      <c r="I139" s="185"/>
      <c r="J139" s="188"/>
      <c r="K139" s="187"/>
      <c r="L139" s="185"/>
    </row>
    <row r="140" spans="1:12" s="42" customFormat="1">
      <c r="A140" s="42" t="s">
        <v>2039</v>
      </c>
      <c r="B140" s="151" t="s">
        <v>349</v>
      </c>
      <c r="C140" s="151"/>
      <c r="D140" s="185">
        <v>98404</v>
      </c>
      <c r="E140" s="186">
        <v>11928</v>
      </c>
      <c r="F140" s="187"/>
      <c r="G140" s="186"/>
      <c r="H140" s="185"/>
      <c r="I140" s="185"/>
      <c r="J140" s="188"/>
      <c r="K140" s="187"/>
      <c r="L140" s="185"/>
    </row>
    <row r="141" spans="1:12" s="42" customFormat="1">
      <c r="A141" s="42" t="s">
        <v>2039</v>
      </c>
      <c r="B141" s="151" t="s">
        <v>349</v>
      </c>
      <c r="C141" s="151"/>
      <c r="D141" s="185">
        <v>113107</v>
      </c>
      <c r="E141" s="186">
        <v>12020</v>
      </c>
      <c r="F141" s="187"/>
      <c r="G141" s="186"/>
      <c r="H141" s="185"/>
      <c r="I141" s="185"/>
      <c r="J141" s="188"/>
      <c r="K141" s="187"/>
      <c r="L141" s="185"/>
    </row>
    <row r="142" spans="1:12" s="42" customFormat="1">
      <c r="A142" s="42" t="s">
        <v>2039</v>
      </c>
      <c r="B142" s="151" t="s">
        <v>349</v>
      </c>
      <c r="C142" s="151"/>
      <c r="D142" s="185">
        <v>116645</v>
      </c>
      <c r="E142" s="186">
        <v>12040</v>
      </c>
      <c r="F142" s="187"/>
      <c r="G142" s="186"/>
      <c r="H142" s="185"/>
      <c r="I142" s="185"/>
      <c r="J142" s="188"/>
      <c r="K142" s="187"/>
      <c r="L142" s="185"/>
    </row>
    <row r="143" spans="1:12" s="42" customFormat="1">
      <c r="A143" s="42" t="s">
        <v>2039</v>
      </c>
      <c r="B143" s="151" t="s">
        <v>349</v>
      </c>
      <c r="C143" s="151"/>
      <c r="D143" s="185">
        <v>146590</v>
      </c>
      <c r="E143" s="186">
        <v>12209</v>
      </c>
      <c r="F143" s="187"/>
      <c r="G143" s="186"/>
      <c r="H143" s="185"/>
      <c r="I143" s="185"/>
      <c r="J143" s="188"/>
      <c r="K143" s="187"/>
      <c r="L143" s="185"/>
    </row>
    <row r="144" spans="1:12" s="42" customFormat="1">
      <c r="A144" s="42" t="s">
        <v>2039</v>
      </c>
      <c r="B144" s="151" t="s">
        <v>349</v>
      </c>
      <c r="C144" s="151"/>
      <c r="D144" s="185">
        <v>154282</v>
      </c>
      <c r="E144" s="186">
        <v>12251</v>
      </c>
      <c r="F144" s="187"/>
      <c r="G144" s="186"/>
      <c r="H144" s="185"/>
      <c r="I144" s="185"/>
      <c r="J144" s="188"/>
      <c r="K144" s="187"/>
      <c r="L144" s="185"/>
    </row>
    <row r="145" spans="1:12" s="42" customFormat="1">
      <c r="A145" s="42" t="s">
        <v>2039</v>
      </c>
      <c r="B145" s="151" t="s">
        <v>349</v>
      </c>
      <c r="C145" s="151"/>
      <c r="D145" s="185">
        <v>154754</v>
      </c>
      <c r="E145" s="186">
        <v>12255</v>
      </c>
      <c r="F145" s="187"/>
      <c r="G145" s="186"/>
      <c r="H145" s="185"/>
      <c r="I145" s="185"/>
      <c r="J145" s="188"/>
      <c r="K145" s="187"/>
      <c r="L145" s="185"/>
    </row>
    <row r="146" spans="1:12" s="42" customFormat="1">
      <c r="A146" s="42" t="s">
        <v>2039</v>
      </c>
      <c r="B146" s="151" t="s">
        <v>349</v>
      </c>
      <c r="C146" s="151"/>
      <c r="D146" s="185">
        <v>154755</v>
      </c>
      <c r="E146" s="186">
        <v>12255</v>
      </c>
      <c r="F146" s="187"/>
      <c r="G146" s="186"/>
      <c r="H146" s="185"/>
      <c r="I146" s="185"/>
      <c r="J146" s="188"/>
      <c r="K146" s="187"/>
      <c r="L146" s="185"/>
    </row>
    <row r="147" spans="1:12" s="42" customFormat="1">
      <c r="A147" s="42" t="s">
        <v>2039</v>
      </c>
      <c r="B147" s="151" t="s">
        <v>349</v>
      </c>
      <c r="C147" s="151"/>
      <c r="D147" s="185">
        <v>155010</v>
      </c>
      <c r="E147" s="186">
        <v>12256</v>
      </c>
      <c r="F147" s="187"/>
      <c r="G147" s="186"/>
      <c r="H147" s="185"/>
      <c r="I147" s="185"/>
      <c r="J147" s="188"/>
      <c r="K147" s="187"/>
      <c r="L147" s="185"/>
    </row>
    <row r="148" spans="1:12" s="42" customFormat="1">
      <c r="A148" s="42" t="s">
        <v>2039</v>
      </c>
      <c r="B148" s="151" t="s">
        <v>349</v>
      </c>
      <c r="C148" s="151"/>
      <c r="D148" s="185">
        <v>161762</v>
      </c>
      <c r="E148" s="186">
        <v>12296</v>
      </c>
      <c r="F148" s="187"/>
      <c r="G148" s="186"/>
      <c r="H148" s="185"/>
      <c r="I148" s="185"/>
      <c r="J148" s="188"/>
      <c r="K148" s="187"/>
      <c r="L148" s="185"/>
    </row>
    <row r="149" spans="1:12" s="42" customFormat="1">
      <c r="A149" s="42" t="s">
        <v>2039</v>
      </c>
      <c r="B149" s="151" t="s">
        <v>349</v>
      </c>
      <c r="C149" s="151"/>
      <c r="D149" s="185">
        <v>164876</v>
      </c>
      <c r="E149" s="186">
        <v>12317</v>
      </c>
      <c r="F149" s="187"/>
      <c r="G149" s="186"/>
      <c r="H149" s="185"/>
      <c r="I149" s="185"/>
      <c r="J149" s="188"/>
      <c r="K149" s="187"/>
      <c r="L149" s="185"/>
    </row>
    <row r="150" spans="1:12" s="42" customFormat="1">
      <c r="A150" s="42" t="s">
        <v>2039</v>
      </c>
      <c r="B150" s="151" t="s">
        <v>349</v>
      </c>
      <c r="C150" s="151"/>
      <c r="D150" s="185">
        <v>173529</v>
      </c>
      <c r="E150" s="186">
        <v>12365</v>
      </c>
      <c r="F150" s="187"/>
      <c r="G150" s="186"/>
      <c r="H150" s="185"/>
      <c r="I150" s="185"/>
      <c r="J150" s="188"/>
      <c r="K150" s="187"/>
      <c r="L150" s="185"/>
    </row>
    <row r="151" spans="1:12" s="42" customFormat="1">
      <c r="A151" s="42" t="s">
        <v>2039</v>
      </c>
      <c r="B151" s="151" t="s">
        <v>349</v>
      </c>
      <c r="C151" s="151"/>
      <c r="D151" s="185">
        <v>180142</v>
      </c>
      <c r="E151" s="186">
        <v>12403</v>
      </c>
      <c r="F151" s="187"/>
      <c r="G151" s="186"/>
      <c r="H151" s="185"/>
      <c r="I151" s="185"/>
      <c r="J151" s="188"/>
      <c r="K151" s="187"/>
      <c r="L151" s="185"/>
    </row>
    <row r="152" spans="1:12" s="42" customFormat="1">
      <c r="A152" s="42" t="s">
        <v>2039</v>
      </c>
      <c r="B152" s="151" t="s">
        <v>349</v>
      </c>
      <c r="C152" s="151"/>
      <c r="D152" s="185">
        <v>180143</v>
      </c>
      <c r="E152" s="186">
        <v>12403</v>
      </c>
      <c r="F152" s="187"/>
      <c r="G152" s="186"/>
      <c r="H152" s="185"/>
      <c r="I152" s="185"/>
      <c r="J152" s="188"/>
      <c r="K152" s="187"/>
      <c r="L152" s="185"/>
    </row>
    <row r="153" spans="1:12" s="42" customFormat="1">
      <c r="A153" s="42" t="s">
        <v>2039</v>
      </c>
      <c r="B153" s="151" t="s">
        <v>349</v>
      </c>
      <c r="C153" s="151"/>
      <c r="D153" s="185">
        <v>218168</v>
      </c>
      <c r="E153" s="186">
        <v>12607</v>
      </c>
      <c r="F153" s="187"/>
      <c r="G153" s="186"/>
      <c r="H153" s="185"/>
      <c r="I153" s="185"/>
      <c r="J153" s="188"/>
      <c r="K153" s="187"/>
      <c r="L153" s="185"/>
    </row>
    <row r="154" spans="1:12" s="42" customFormat="1">
      <c r="A154" s="42" t="s">
        <v>2039</v>
      </c>
      <c r="B154" s="151" t="s">
        <v>349</v>
      </c>
      <c r="C154" s="151"/>
      <c r="D154" s="185">
        <v>228402</v>
      </c>
      <c r="E154" s="186">
        <v>12664</v>
      </c>
      <c r="F154" s="187"/>
      <c r="G154" s="186"/>
      <c r="H154" s="185"/>
      <c r="I154" s="185"/>
      <c r="J154" s="188"/>
      <c r="K154" s="187"/>
      <c r="L154" s="185"/>
    </row>
    <row r="155" spans="1:12" s="42" customFormat="1">
      <c r="A155" s="42" t="s">
        <v>2039</v>
      </c>
      <c r="B155" s="151" t="s">
        <v>349</v>
      </c>
      <c r="C155" s="151"/>
      <c r="D155" s="185">
        <v>233412</v>
      </c>
      <c r="E155" s="186">
        <v>12696</v>
      </c>
      <c r="F155" s="187"/>
      <c r="G155" s="186"/>
      <c r="H155" s="185"/>
      <c r="I155" s="185"/>
      <c r="J155" s="188"/>
      <c r="K155" s="187"/>
      <c r="L155" s="185"/>
    </row>
    <row r="156" spans="1:12" s="42" customFormat="1">
      <c r="A156" s="42" t="s">
        <v>2039</v>
      </c>
      <c r="B156" s="151" t="s">
        <v>349</v>
      </c>
      <c r="C156" s="151"/>
      <c r="D156" s="185">
        <v>247478</v>
      </c>
      <c r="E156" s="186">
        <v>12775</v>
      </c>
      <c r="F156" s="187"/>
      <c r="G156" s="186"/>
      <c r="H156" s="185"/>
      <c r="I156" s="185"/>
      <c r="J156" s="188"/>
      <c r="K156" s="187"/>
      <c r="L156" s="185"/>
    </row>
    <row r="157" spans="1:12" s="42" customFormat="1">
      <c r="A157" s="42" t="s">
        <v>2039</v>
      </c>
      <c r="B157" s="151" t="s">
        <v>349</v>
      </c>
      <c r="C157" s="151"/>
      <c r="D157" s="185">
        <v>247480</v>
      </c>
      <c r="E157" s="186">
        <v>12775</v>
      </c>
      <c r="F157" s="187"/>
      <c r="G157" s="186"/>
      <c r="H157" s="185"/>
      <c r="I157" s="185"/>
      <c r="J157" s="188"/>
      <c r="K157" s="187"/>
      <c r="L157" s="185"/>
    </row>
    <row r="158" spans="1:12" s="42" customFormat="1">
      <c r="A158" s="42" t="s">
        <v>2039</v>
      </c>
      <c r="B158" s="151" t="s">
        <v>349</v>
      </c>
      <c r="C158" s="151"/>
      <c r="D158" s="185">
        <v>267601</v>
      </c>
      <c r="E158" s="186">
        <v>12886</v>
      </c>
      <c r="F158" s="187"/>
      <c r="G158" s="186"/>
      <c r="H158" s="185"/>
      <c r="I158" s="185"/>
      <c r="J158" s="188"/>
      <c r="K158" s="187"/>
      <c r="L158" s="185"/>
    </row>
    <row r="159" spans="1:12" s="42" customFormat="1">
      <c r="A159" s="42" t="s">
        <v>2039</v>
      </c>
      <c r="B159" s="151" t="s">
        <v>349</v>
      </c>
      <c r="C159" s="151"/>
      <c r="D159" s="185">
        <v>267602</v>
      </c>
      <c r="E159" s="186">
        <v>12886</v>
      </c>
      <c r="F159" s="187"/>
      <c r="G159" s="186"/>
      <c r="H159" s="185"/>
      <c r="I159" s="185"/>
      <c r="J159" s="188"/>
      <c r="K159" s="187"/>
      <c r="L159" s="185"/>
    </row>
    <row r="160" spans="1:12" s="42" customFormat="1">
      <c r="A160" s="42" t="s">
        <v>2039</v>
      </c>
      <c r="B160" s="151" t="s">
        <v>349</v>
      </c>
      <c r="C160" s="151"/>
      <c r="D160" s="185">
        <v>267603</v>
      </c>
      <c r="E160" s="186">
        <v>12886</v>
      </c>
      <c r="F160" s="187"/>
      <c r="G160" s="186"/>
      <c r="H160" s="185"/>
      <c r="I160" s="185"/>
      <c r="J160" s="188"/>
      <c r="K160" s="187"/>
      <c r="L160" s="185"/>
    </row>
    <row r="161" spans="1:12" s="42" customFormat="1">
      <c r="A161" s="42" t="s">
        <v>2039</v>
      </c>
      <c r="B161" s="151" t="s">
        <v>349</v>
      </c>
      <c r="C161" s="151"/>
      <c r="D161" s="185">
        <v>267618</v>
      </c>
      <c r="E161" s="186">
        <v>12886</v>
      </c>
      <c r="F161" s="187"/>
      <c r="G161" s="186"/>
      <c r="H161" s="185"/>
      <c r="I161" s="185"/>
      <c r="J161" s="188"/>
      <c r="K161" s="187"/>
      <c r="L161" s="185"/>
    </row>
    <row r="162" spans="1:12" s="42" customFormat="1">
      <c r="A162" s="42" t="s">
        <v>2039</v>
      </c>
      <c r="B162" s="151" t="s">
        <v>349</v>
      </c>
      <c r="C162" s="151"/>
      <c r="D162" s="185">
        <v>320634</v>
      </c>
      <c r="E162" s="186">
        <v>13203</v>
      </c>
      <c r="F162" s="187"/>
      <c r="G162" s="186"/>
      <c r="H162" s="185"/>
      <c r="I162" s="185"/>
      <c r="J162" s="188"/>
      <c r="K162" s="187"/>
      <c r="L162" s="185"/>
    </row>
    <row r="163" spans="1:12" s="42" customFormat="1">
      <c r="A163" s="42" t="s">
        <v>2039</v>
      </c>
      <c r="B163" s="151" t="s">
        <v>349</v>
      </c>
      <c r="C163" s="151"/>
      <c r="D163" s="185">
        <v>320636</v>
      </c>
      <c r="E163" s="186">
        <v>13203</v>
      </c>
      <c r="F163" s="187"/>
      <c r="G163" s="186"/>
      <c r="H163" s="185"/>
      <c r="I163" s="185"/>
      <c r="J163" s="188"/>
      <c r="K163" s="187"/>
      <c r="L163" s="185"/>
    </row>
    <row r="164" spans="1:12" s="42" customFormat="1">
      <c r="A164" s="42" t="s">
        <v>2039</v>
      </c>
      <c r="B164" s="151" t="s">
        <v>349</v>
      </c>
      <c r="C164" s="151"/>
      <c r="D164" s="185">
        <v>322804</v>
      </c>
      <c r="E164" s="186">
        <v>13215</v>
      </c>
      <c r="F164" s="187"/>
      <c r="G164" s="186"/>
      <c r="H164" s="185"/>
      <c r="I164" s="185"/>
      <c r="J164" s="188"/>
      <c r="K164" s="187"/>
      <c r="L164" s="185"/>
    </row>
    <row r="165" spans="1:12" s="42" customFormat="1">
      <c r="A165" s="42" t="s">
        <v>2039</v>
      </c>
      <c r="B165" s="151" t="s">
        <v>349</v>
      </c>
      <c r="C165" s="151"/>
      <c r="D165" s="185">
        <v>327993</v>
      </c>
      <c r="E165" s="186">
        <v>13244</v>
      </c>
      <c r="F165" s="187"/>
      <c r="G165" s="186"/>
      <c r="H165" s="185"/>
      <c r="I165" s="185"/>
      <c r="J165" s="188"/>
      <c r="K165" s="187"/>
      <c r="L165" s="185"/>
    </row>
    <row r="169" spans="1:12">
      <c r="A169" s="126" t="s">
        <v>1977</v>
      </c>
    </row>
    <row r="170" spans="1:12">
      <c r="A170" s="127" t="s">
        <v>4194</v>
      </c>
    </row>
    <row r="172" spans="1:12">
      <c r="A172" s="42" t="s">
        <v>1077</v>
      </c>
    </row>
    <row r="173" spans="1:12">
      <c r="A173" s="42" t="s">
        <v>2474</v>
      </c>
    </row>
    <row r="174" spans="1:12">
      <c r="A174" s="42" t="s">
        <v>1045</v>
      </c>
    </row>
    <row r="175" spans="1:12">
      <c r="A175" s="42" t="s">
        <v>1046</v>
      </c>
    </row>
    <row r="176" spans="1:12">
      <c r="A176" s="42" t="s">
        <v>3931</v>
      </c>
    </row>
    <row r="177" spans="1:2">
      <c r="A177" s="42" t="s">
        <v>1369</v>
      </c>
    </row>
    <row r="178" spans="1:2">
      <c r="A178" s="42" t="s">
        <v>1106</v>
      </c>
    </row>
    <row r="179" spans="1:2">
      <c r="A179" s="42" t="s">
        <v>1105</v>
      </c>
    </row>
    <row r="180" spans="1:2">
      <c r="A180" s="42" t="s">
        <v>1047</v>
      </c>
    </row>
    <row r="181" spans="1:2">
      <c r="A181" s="42" t="s">
        <v>1143</v>
      </c>
    </row>
    <row r="182" spans="1:2">
      <c r="A182" s="42" t="s">
        <v>80</v>
      </c>
    </row>
    <row r="183" spans="1:2">
      <c r="A183" s="42"/>
    </row>
    <row r="184" spans="1:2">
      <c r="A184" s="126" t="s">
        <v>2410</v>
      </c>
    </row>
    <row r="185" spans="1:2">
      <c r="A185" s="42" t="s">
        <v>984</v>
      </c>
    </row>
    <row r="186" spans="1:2">
      <c r="A186" s="42" t="s">
        <v>1073</v>
      </c>
    </row>
    <row r="187" spans="1:2">
      <c r="A187" s="42" t="s">
        <v>2729</v>
      </c>
    </row>
    <row r="188" spans="1:2">
      <c r="A188" s="189"/>
    </row>
    <row r="189" spans="1:2">
      <c r="A189" s="126" t="s">
        <v>1080</v>
      </c>
    </row>
    <row r="190" spans="1:2">
      <c r="A190" s="189" t="s">
        <v>1091</v>
      </c>
      <c r="B190" s="139">
        <v>1932</v>
      </c>
    </row>
    <row r="191" spans="1:2">
      <c r="A191" s="189" t="s">
        <v>1092</v>
      </c>
      <c r="B191" s="139">
        <v>1932</v>
      </c>
    </row>
    <row r="195" spans="1:3">
      <c r="A195" s="42"/>
      <c r="C195" s="151"/>
    </row>
    <row r="196" spans="1:3">
      <c r="A196" s="42"/>
      <c r="C196" s="151"/>
    </row>
    <row r="197" spans="1:3">
      <c r="A197" s="42"/>
      <c r="C197" s="151"/>
    </row>
    <row r="198" spans="1:3">
      <c r="A198" s="42"/>
      <c r="C198" s="151"/>
    </row>
    <row r="199" spans="1:3">
      <c r="A199" s="42"/>
      <c r="C199" s="151"/>
    </row>
    <row r="200" spans="1:3">
      <c r="A200" s="42"/>
      <c r="C200" s="151"/>
    </row>
    <row r="201" spans="1:3">
      <c r="A201" s="42"/>
      <c r="C201" s="151"/>
    </row>
    <row r="202" spans="1:3">
      <c r="A202" s="42"/>
      <c r="C202" s="151"/>
    </row>
    <row r="203" spans="1:3">
      <c r="A203" s="42"/>
      <c r="C203" s="151"/>
    </row>
    <row r="204" spans="1:3">
      <c r="A204" s="42"/>
      <c r="C204" s="151"/>
    </row>
    <row r="205" spans="1:3">
      <c r="A205" s="42"/>
      <c r="C205" s="151"/>
    </row>
    <row r="206" spans="1:3">
      <c r="A206" s="42"/>
      <c r="C206" s="151"/>
    </row>
    <row r="207" spans="1:3">
      <c r="A207" s="42"/>
      <c r="C207" s="151"/>
    </row>
    <row r="208" spans="1:3">
      <c r="A208" s="42"/>
      <c r="C208" s="151"/>
    </row>
    <row r="209" spans="1:3">
      <c r="A209" s="42"/>
      <c r="C209" s="151"/>
    </row>
    <row r="210" spans="1:3">
      <c r="A210" s="42"/>
      <c r="C210" s="151"/>
    </row>
    <row r="211" spans="1:3">
      <c r="A211" s="42"/>
      <c r="C211" s="151"/>
    </row>
    <row r="212" spans="1:3">
      <c r="A212" s="42"/>
      <c r="C212" s="151"/>
    </row>
    <row r="213" spans="1:3">
      <c r="A213" s="42"/>
      <c r="C213" s="151"/>
    </row>
    <row r="214" spans="1:3">
      <c r="A214" s="42"/>
      <c r="C214" s="151"/>
    </row>
    <row r="215" spans="1:3">
      <c r="A215" s="42"/>
      <c r="C215" s="151"/>
    </row>
    <row r="216" spans="1:3">
      <c r="A216" s="42"/>
      <c r="C216" s="151"/>
    </row>
    <row r="217" spans="1:3">
      <c r="A217" s="42"/>
      <c r="C217" s="151"/>
    </row>
    <row r="218" spans="1:3">
      <c r="A218" s="42"/>
      <c r="C218" s="151"/>
    </row>
    <row r="219" spans="1:3">
      <c r="A219" s="42"/>
      <c r="C219" s="151"/>
    </row>
    <row r="220" spans="1:3">
      <c r="A220" s="42"/>
      <c r="C220" s="151"/>
    </row>
    <row r="221" spans="1:3">
      <c r="A221" s="42"/>
      <c r="C221" s="151"/>
    </row>
    <row r="222" spans="1:3">
      <c r="A222" s="42"/>
      <c r="C222" s="151"/>
    </row>
    <row r="223" spans="1:3">
      <c r="A223" s="42"/>
      <c r="C223" s="151"/>
    </row>
    <row r="224" spans="1:3">
      <c r="A224" s="42"/>
      <c r="C224" s="151"/>
    </row>
    <row r="225" spans="1:3">
      <c r="A225" s="42"/>
      <c r="C225" s="151"/>
    </row>
    <row r="226" spans="1:3">
      <c r="A226" s="42"/>
      <c r="C226" s="151"/>
    </row>
    <row r="227" spans="1:3">
      <c r="A227" s="42"/>
      <c r="C227" s="151"/>
    </row>
    <row r="228" spans="1:3">
      <c r="A228" s="42"/>
      <c r="C228" s="151"/>
    </row>
    <row r="229" spans="1:3">
      <c r="A229" s="42"/>
      <c r="C229" s="151"/>
    </row>
    <row r="230" spans="1:3">
      <c r="A230" s="42"/>
      <c r="C230" s="151"/>
    </row>
    <row r="231" spans="1:3">
      <c r="A231" s="42"/>
      <c r="C231" s="151"/>
    </row>
    <row r="232" spans="1:3">
      <c r="A232" s="42"/>
      <c r="C232" s="151"/>
    </row>
    <row r="233" spans="1:3">
      <c r="A233" s="42"/>
      <c r="C233" s="151"/>
    </row>
    <row r="234" spans="1:3">
      <c r="A234" s="42"/>
      <c r="C234" s="151"/>
    </row>
    <row r="235" spans="1:3">
      <c r="A235" s="42"/>
      <c r="C235" s="151"/>
    </row>
    <row r="236" spans="1:3">
      <c r="A236" s="42"/>
      <c r="C236" s="151"/>
    </row>
    <row r="237" spans="1:3">
      <c r="A237" s="42"/>
      <c r="C237" s="151"/>
    </row>
    <row r="238" spans="1:3">
      <c r="A238" s="42"/>
      <c r="C238" s="151"/>
    </row>
    <row r="239" spans="1:3">
      <c r="A239" s="42"/>
      <c r="C239" s="151"/>
    </row>
    <row r="240" spans="1:3">
      <c r="A240" s="42"/>
      <c r="C240" s="151"/>
    </row>
    <row r="241" spans="1:3">
      <c r="A241" s="42"/>
      <c r="C241" s="151"/>
    </row>
    <row r="242" spans="1:3">
      <c r="A242" s="42"/>
      <c r="C242" s="151"/>
    </row>
    <row r="243" spans="1:3">
      <c r="A243" s="42"/>
      <c r="C243" s="151"/>
    </row>
    <row r="244" spans="1:3">
      <c r="A244" s="42"/>
      <c r="C244" s="151"/>
    </row>
    <row r="245" spans="1:3">
      <c r="A245" s="42"/>
      <c r="C245" s="151"/>
    </row>
    <row r="246" spans="1:3">
      <c r="A246" s="42"/>
      <c r="C246" s="151"/>
    </row>
    <row r="247" spans="1:3">
      <c r="A247" s="42"/>
      <c r="C247" s="151"/>
    </row>
    <row r="248" spans="1:3">
      <c r="A248" s="42"/>
      <c r="C248" s="151"/>
    </row>
    <row r="249" spans="1:3">
      <c r="A249" s="42"/>
      <c r="C249" s="151"/>
    </row>
    <row r="250" spans="1:3">
      <c r="A250" s="42"/>
      <c r="C250" s="151"/>
    </row>
    <row r="251" spans="1:3">
      <c r="A251" s="42"/>
      <c r="C251" s="151"/>
    </row>
    <row r="252" spans="1:3">
      <c r="A252" s="42"/>
      <c r="C252" s="151"/>
    </row>
  </sheetData>
  <sortState ref="A64:L116">
    <sortCondition ref="E64:E116"/>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W134"/>
  <sheetViews>
    <sheetView workbookViewId="0">
      <selection activeCell="A15" sqref="A15"/>
    </sheetView>
  </sheetViews>
  <sheetFormatPr baseColWidth="10" defaultColWidth="11" defaultRowHeight="13"/>
  <cols>
    <col min="1" max="5" width="11" style="125"/>
    <col min="6" max="16384" width="11" style="70"/>
  </cols>
  <sheetData>
    <row r="1" spans="1:49" s="87" customFormat="1" ht="39">
      <c r="A1" s="100" t="s">
        <v>1869</v>
      </c>
      <c r="B1" s="100" t="s">
        <v>2173</v>
      </c>
      <c r="C1" s="100"/>
      <c r="D1" s="100" t="s">
        <v>2174</v>
      </c>
      <c r="E1" s="100" t="s">
        <v>2022</v>
      </c>
      <c r="F1" s="82" t="s">
        <v>2023</v>
      </c>
      <c r="G1" s="90" t="s">
        <v>1631</v>
      </c>
      <c r="H1" s="91" t="s">
        <v>1632</v>
      </c>
      <c r="I1" s="92" t="s">
        <v>1797</v>
      </c>
      <c r="J1" s="92" t="s">
        <v>1689</v>
      </c>
      <c r="K1" s="92" t="s">
        <v>1633</v>
      </c>
      <c r="L1" s="92" t="s">
        <v>1827</v>
      </c>
      <c r="M1" s="92" t="s">
        <v>1828</v>
      </c>
      <c r="N1" s="92" t="s">
        <v>1692</v>
      </c>
      <c r="O1" s="92" t="s">
        <v>1793</v>
      </c>
      <c r="P1" s="92" t="s">
        <v>1638</v>
      </c>
      <c r="Q1" s="92" t="s">
        <v>1801</v>
      </c>
      <c r="R1" s="92" t="s">
        <v>1700</v>
      </c>
      <c r="S1" s="93" t="s">
        <v>1683</v>
      </c>
      <c r="T1" s="94" t="s">
        <v>1684</v>
      </c>
      <c r="U1" s="94" t="s">
        <v>1900</v>
      </c>
      <c r="V1" s="94" t="s">
        <v>1901</v>
      </c>
      <c r="W1" s="94" t="s">
        <v>1685</v>
      </c>
      <c r="X1" s="94" t="s">
        <v>1686</v>
      </c>
      <c r="Y1" s="95" t="s">
        <v>1687</v>
      </c>
      <c r="Z1" s="96" t="s">
        <v>1688</v>
      </c>
      <c r="AA1" s="97" t="s">
        <v>1810</v>
      </c>
      <c r="AB1" s="97" t="s">
        <v>1728</v>
      </c>
      <c r="AC1" s="97" t="s">
        <v>1763</v>
      </c>
      <c r="AD1" s="97" t="s">
        <v>1764</v>
      </c>
      <c r="AE1" s="97" t="s">
        <v>1860</v>
      </c>
      <c r="AF1" s="97" t="s">
        <v>1861</v>
      </c>
      <c r="AG1" s="97" t="s">
        <v>1693</v>
      </c>
      <c r="AH1" s="93" t="s">
        <v>1694</v>
      </c>
      <c r="AI1" s="94" t="s">
        <v>1862</v>
      </c>
      <c r="AJ1" s="94" t="s">
        <v>1744</v>
      </c>
      <c r="AK1" s="95" t="s">
        <v>1758</v>
      </c>
      <c r="AL1" s="95" t="s">
        <v>1921</v>
      </c>
      <c r="AM1" s="95" t="s">
        <v>1835</v>
      </c>
      <c r="AN1" s="95" t="s">
        <v>1836</v>
      </c>
      <c r="AO1" s="95" t="s">
        <v>1893</v>
      </c>
      <c r="AP1" s="95" t="s">
        <v>1894</v>
      </c>
      <c r="AQ1" s="98" t="s">
        <v>1895</v>
      </c>
      <c r="AR1" s="98" t="s">
        <v>1745</v>
      </c>
      <c r="AS1" s="98" t="s">
        <v>2193</v>
      </c>
      <c r="AT1" s="99" t="s">
        <v>1746</v>
      </c>
      <c r="AU1" s="82" t="s">
        <v>1899</v>
      </c>
      <c r="AV1" s="82" t="s">
        <v>2194</v>
      </c>
      <c r="AW1" s="82" t="s">
        <v>2195</v>
      </c>
    </row>
    <row r="2" spans="1:49" s="102" customFormat="1">
      <c r="A2" s="212" t="s">
        <v>1449</v>
      </c>
      <c r="G2" s="101"/>
      <c r="H2" s="101"/>
      <c r="I2" s="100"/>
      <c r="J2" s="100"/>
      <c r="K2" s="100"/>
      <c r="L2" s="100"/>
      <c r="M2" s="100"/>
      <c r="N2" s="100"/>
      <c r="O2" s="100"/>
      <c r="P2" s="100"/>
      <c r="Q2" s="100"/>
      <c r="R2" s="100"/>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0"/>
      <c r="AR2" s="100"/>
      <c r="AS2" s="100"/>
      <c r="AT2" s="101"/>
      <c r="AU2" s="100"/>
      <c r="AV2" s="100"/>
      <c r="AW2" s="100"/>
    </row>
    <row r="3" spans="1:49">
      <c r="A3" s="234" t="s">
        <v>1558</v>
      </c>
      <c r="B3" s="234">
        <v>2094557</v>
      </c>
      <c r="C3" s="236" t="s">
        <v>1174</v>
      </c>
      <c r="D3" s="242">
        <v>10225</v>
      </c>
      <c r="E3" s="242">
        <v>12324</v>
      </c>
      <c r="F3" s="105" t="s">
        <v>1427</v>
      </c>
      <c r="G3" s="125"/>
    </row>
    <row r="4" spans="1:49">
      <c r="A4" s="234" t="s">
        <v>1558</v>
      </c>
      <c r="B4" s="234">
        <v>2047192</v>
      </c>
      <c r="C4" s="236" t="s">
        <v>1174</v>
      </c>
      <c r="D4" s="242">
        <v>10280</v>
      </c>
      <c r="E4" s="242">
        <v>11883</v>
      </c>
      <c r="F4" s="125" t="s">
        <v>1515</v>
      </c>
      <c r="G4" s="125"/>
    </row>
    <row r="5" spans="1:49">
      <c r="A5" s="234" t="s">
        <v>1558</v>
      </c>
      <c r="B5" s="234">
        <v>2146200</v>
      </c>
      <c r="C5" s="236" t="s">
        <v>1174</v>
      </c>
      <c r="D5" s="242">
        <v>10392</v>
      </c>
      <c r="E5" s="242">
        <v>12821</v>
      </c>
      <c r="F5" s="105" t="s">
        <v>1424</v>
      </c>
      <c r="G5" s="125"/>
    </row>
    <row r="6" spans="1:49">
      <c r="A6" s="234" t="s">
        <v>1558</v>
      </c>
      <c r="B6" s="234">
        <v>2205369</v>
      </c>
      <c r="C6" s="236" t="s">
        <v>1174</v>
      </c>
      <c r="D6" s="242">
        <v>10392</v>
      </c>
      <c r="E6" s="242">
        <v>13318</v>
      </c>
      <c r="F6" s="105" t="s">
        <v>1516</v>
      </c>
      <c r="G6" s="125"/>
    </row>
    <row r="7" spans="1:49">
      <c r="A7" s="234" t="s">
        <v>1558</v>
      </c>
      <c r="B7" s="234">
        <v>2137151</v>
      </c>
      <c r="C7" s="236" t="s">
        <v>1174</v>
      </c>
      <c r="D7" s="242">
        <v>10451</v>
      </c>
      <c r="E7" s="242">
        <v>12737</v>
      </c>
      <c r="F7" s="105" t="s">
        <v>1516</v>
      </c>
      <c r="G7" s="125"/>
    </row>
    <row r="8" spans="1:49">
      <c r="A8" s="125" t="s">
        <v>1558</v>
      </c>
      <c r="B8" s="125">
        <v>2084542</v>
      </c>
      <c r="C8" s="211" t="s">
        <v>1174</v>
      </c>
      <c r="D8" s="242">
        <v>10798</v>
      </c>
      <c r="E8" s="242">
        <v>12226</v>
      </c>
      <c r="F8" s="105" t="s">
        <v>1426</v>
      </c>
      <c r="G8" s="125"/>
    </row>
    <row r="9" spans="1:49">
      <c r="A9" s="125" t="s">
        <v>1558</v>
      </c>
      <c r="B9" s="125">
        <v>2084543</v>
      </c>
      <c r="C9" s="211" t="s">
        <v>1174</v>
      </c>
      <c r="D9" s="242">
        <v>10884</v>
      </c>
      <c r="E9" s="242">
        <v>12226</v>
      </c>
      <c r="F9" s="105" t="s">
        <v>1425</v>
      </c>
      <c r="G9" s="125"/>
    </row>
    <row r="10" spans="1:49">
      <c r="A10" s="125" t="s">
        <v>1558</v>
      </c>
      <c r="B10" s="125">
        <v>2102102</v>
      </c>
      <c r="C10" s="211" t="s">
        <v>1174</v>
      </c>
      <c r="D10" s="242">
        <v>10959</v>
      </c>
      <c r="E10" s="242">
        <v>12401</v>
      </c>
      <c r="F10" s="105" t="s">
        <v>1426</v>
      </c>
      <c r="G10" s="125"/>
    </row>
    <row r="11" spans="1:49">
      <c r="A11" s="125" t="s">
        <v>1558</v>
      </c>
      <c r="B11" s="125">
        <v>2067471</v>
      </c>
      <c r="C11" s="211" t="s">
        <v>1174</v>
      </c>
      <c r="D11" s="242">
        <v>11205</v>
      </c>
      <c r="E11" s="242">
        <v>12065</v>
      </c>
      <c r="F11" s="105" t="s">
        <v>1424</v>
      </c>
      <c r="G11" s="125"/>
    </row>
    <row r="12" spans="1:49">
      <c r="A12" s="125" t="s">
        <v>1558</v>
      </c>
      <c r="B12" s="125">
        <v>2108653</v>
      </c>
      <c r="C12" s="211" t="s">
        <v>1174</v>
      </c>
      <c r="D12" s="242">
        <v>11263</v>
      </c>
      <c r="E12" s="242">
        <v>12464</v>
      </c>
      <c r="F12" s="105" t="s">
        <v>1427</v>
      </c>
      <c r="G12" s="125"/>
    </row>
    <row r="13" spans="1:49">
      <c r="A13" s="125" t="s">
        <v>1558</v>
      </c>
      <c r="B13" s="125">
        <v>2100181</v>
      </c>
      <c r="C13" s="211" t="s">
        <v>1174</v>
      </c>
      <c r="D13" s="242">
        <v>11285</v>
      </c>
      <c r="E13" s="242">
        <v>12380</v>
      </c>
      <c r="F13" s="105" t="s">
        <v>1424</v>
      </c>
      <c r="G13" s="125"/>
    </row>
    <row r="14" spans="1:49">
      <c r="F14" s="125"/>
      <c r="G14" s="125"/>
    </row>
    <row r="15" spans="1:49">
      <c r="A15" s="125" t="s">
        <v>4196</v>
      </c>
      <c r="F15" s="125"/>
      <c r="G15" s="125"/>
    </row>
    <row r="16" spans="1:49" s="102" customFormat="1">
      <c r="A16" s="234" t="s">
        <v>1558</v>
      </c>
      <c r="B16" s="234">
        <v>1913076</v>
      </c>
      <c r="C16" s="236" t="s">
        <v>1176</v>
      </c>
      <c r="D16" s="242">
        <v>9076</v>
      </c>
      <c r="E16" s="242">
        <v>10749</v>
      </c>
      <c r="F16" s="125" t="s">
        <v>1517</v>
      </c>
      <c r="G16" s="101"/>
      <c r="H16" s="101"/>
      <c r="I16" s="100"/>
      <c r="J16" s="100"/>
      <c r="K16" s="100"/>
      <c r="L16" s="100"/>
      <c r="M16" s="100"/>
      <c r="N16" s="100"/>
      <c r="O16" s="100"/>
      <c r="P16" s="100"/>
      <c r="Q16" s="100"/>
      <c r="R16" s="100"/>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0"/>
      <c r="AR16" s="100"/>
      <c r="AS16" s="100"/>
      <c r="AT16" s="101"/>
      <c r="AU16" s="100"/>
      <c r="AV16" s="100"/>
      <c r="AW16" s="100"/>
    </row>
    <row r="17" spans="1:7">
      <c r="A17" s="125" t="s">
        <v>1518</v>
      </c>
      <c r="B17" s="125">
        <v>2199339</v>
      </c>
      <c r="C17" s="211" t="s">
        <v>1176</v>
      </c>
      <c r="D17" s="242">
        <v>12514</v>
      </c>
      <c r="E17" s="242">
        <v>13269</v>
      </c>
      <c r="F17" s="105" t="s">
        <v>1519</v>
      </c>
      <c r="G17" s="125"/>
    </row>
    <row r="20" spans="1:7">
      <c r="A20" s="126" t="s">
        <v>2196</v>
      </c>
    </row>
    <row r="21" spans="1:7">
      <c r="A21" s="127" t="s">
        <v>2242</v>
      </c>
    </row>
    <row r="22" spans="1:7">
      <c r="A22" s="125" t="s">
        <v>1514</v>
      </c>
    </row>
    <row r="24" spans="1:7">
      <c r="A24" s="42" t="s">
        <v>42</v>
      </c>
    </row>
    <row r="25" spans="1:7">
      <c r="A25" s="42" t="s">
        <v>1397</v>
      </c>
    </row>
    <row r="26" spans="1:7">
      <c r="A26" s="42" t="s">
        <v>1387</v>
      </c>
    </row>
    <row r="27" spans="1:7">
      <c r="A27" s="42" t="s">
        <v>1386</v>
      </c>
    </row>
    <row r="28" spans="1:7">
      <c r="A28" s="42" t="s">
        <v>3932</v>
      </c>
    </row>
    <row r="29" spans="1:7">
      <c r="A29" s="42" t="s">
        <v>1405</v>
      </c>
    </row>
    <row r="30" spans="1:7">
      <c r="A30" s="42" t="s">
        <v>1383</v>
      </c>
    </row>
    <row r="31" spans="1:7">
      <c r="A31" s="42" t="s">
        <v>1399</v>
      </c>
    </row>
    <row r="32" spans="1:7">
      <c r="A32" s="42" t="s">
        <v>1401</v>
      </c>
    </row>
    <row r="33" spans="1:2">
      <c r="A33" s="42" t="s">
        <v>1400</v>
      </c>
    </row>
    <row r="34" spans="1:2">
      <c r="A34" s="42" t="s">
        <v>39</v>
      </c>
    </row>
    <row r="35" spans="1:2">
      <c r="A35" s="42" t="s">
        <v>229</v>
      </c>
    </row>
    <row r="36" spans="1:2">
      <c r="A36" s="42"/>
    </row>
    <row r="37" spans="1:2">
      <c r="A37" s="126" t="s">
        <v>1407</v>
      </c>
    </row>
    <row r="38" spans="1:2">
      <c r="A38" s="42" t="s">
        <v>4112</v>
      </c>
    </row>
    <row r="39" spans="1:2">
      <c r="A39" s="42" t="s">
        <v>2767</v>
      </c>
    </row>
    <row r="40" spans="1:2">
      <c r="A40" s="42"/>
    </row>
    <row r="41" spans="1:2">
      <c r="A41" s="126" t="s">
        <v>1445</v>
      </c>
    </row>
    <row r="42" spans="1:2">
      <c r="A42" s="42" t="s">
        <v>1450</v>
      </c>
      <c r="B42" s="125">
        <v>1937</v>
      </c>
    </row>
    <row r="43" spans="1:2">
      <c r="A43" s="42" t="s">
        <v>1451</v>
      </c>
      <c r="B43" s="125">
        <v>1937</v>
      </c>
    </row>
    <row r="44" spans="1:2">
      <c r="A44" s="42" t="s">
        <v>1452</v>
      </c>
      <c r="B44" s="125">
        <v>1937</v>
      </c>
    </row>
    <row r="45" spans="1:2">
      <c r="A45" s="189" t="s">
        <v>1453</v>
      </c>
      <c r="B45" s="125">
        <v>1937</v>
      </c>
    </row>
    <row r="46" spans="1:2">
      <c r="A46" s="189" t="s">
        <v>1454</v>
      </c>
      <c r="B46" s="125">
        <v>1937</v>
      </c>
    </row>
    <row r="47" spans="1:2">
      <c r="A47" s="189" t="s">
        <v>1455</v>
      </c>
      <c r="B47" s="125">
        <v>1937</v>
      </c>
    </row>
    <row r="48" spans="1:2">
      <c r="A48" s="189" t="s">
        <v>1456</v>
      </c>
      <c r="B48" s="125">
        <v>1937</v>
      </c>
    </row>
    <row r="49" spans="1:3">
      <c r="A49" s="189" t="s">
        <v>1384</v>
      </c>
      <c r="B49" s="125">
        <v>1937</v>
      </c>
    </row>
    <row r="50" spans="1:3">
      <c r="A50" s="189" t="s">
        <v>1385</v>
      </c>
      <c r="B50" s="125">
        <v>1937</v>
      </c>
    </row>
    <row r="52" spans="1:3">
      <c r="A52" s="126" t="s">
        <v>1411</v>
      </c>
    </row>
    <row r="53" spans="1:3">
      <c r="A53" s="42" t="s">
        <v>1388</v>
      </c>
      <c r="B53" s="243">
        <v>10498</v>
      </c>
      <c r="C53" s="243"/>
    </row>
    <row r="54" spans="1:3">
      <c r="A54" s="42" t="s">
        <v>1389</v>
      </c>
      <c r="B54" s="243">
        <v>10498</v>
      </c>
      <c r="C54" s="243"/>
    </row>
    <row r="55" spans="1:3">
      <c r="A55" s="42" t="s">
        <v>1390</v>
      </c>
      <c r="B55" s="243">
        <v>11021</v>
      </c>
      <c r="C55" s="243"/>
    </row>
    <row r="58" spans="1:3">
      <c r="A58" s="42"/>
      <c r="C58" s="42"/>
    </row>
    <row r="59" spans="1:3">
      <c r="A59" s="42"/>
      <c r="C59" s="42"/>
    </row>
    <row r="60" spans="1:3">
      <c r="A60" s="42"/>
      <c r="C60" s="42"/>
    </row>
    <row r="61" spans="1:3">
      <c r="A61" s="42"/>
      <c r="C61" s="42"/>
    </row>
    <row r="62" spans="1:3">
      <c r="A62" s="42"/>
      <c r="C62" s="42"/>
    </row>
    <row r="63" spans="1:3">
      <c r="A63" s="42"/>
      <c r="C63" s="42"/>
    </row>
    <row r="64" spans="1:3">
      <c r="A64" s="42"/>
      <c r="C64" s="42"/>
    </row>
    <row r="65" spans="1:3">
      <c r="A65" s="42"/>
      <c r="C65" s="42"/>
    </row>
    <row r="66" spans="1:3">
      <c r="A66" s="42"/>
      <c r="C66" s="42"/>
    </row>
    <row r="67" spans="1:3">
      <c r="A67" s="42"/>
      <c r="C67" s="42"/>
    </row>
    <row r="68" spans="1:3">
      <c r="A68" s="42"/>
      <c r="C68" s="42"/>
    </row>
    <row r="69" spans="1:3">
      <c r="A69" s="42"/>
      <c r="C69" s="42"/>
    </row>
    <row r="70" spans="1:3">
      <c r="A70" s="42"/>
      <c r="C70" s="42"/>
    </row>
    <row r="71" spans="1:3">
      <c r="A71" s="42"/>
      <c r="C71" s="42"/>
    </row>
    <row r="72" spans="1:3">
      <c r="A72" s="42"/>
      <c r="C72" s="42"/>
    </row>
    <row r="73" spans="1:3">
      <c r="A73" s="42"/>
      <c r="C73" s="42"/>
    </row>
    <row r="74" spans="1:3">
      <c r="A74" s="42"/>
      <c r="C74" s="42"/>
    </row>
    <row r="75" spans="1:3">
      <c r="A75" s="42"/>
      <c r="C75" s="42"/>
    </row>
    <row r="76" spans="1:3">
      <c r="A76" s="42"/>
      <c r="C76" s="42"/>
    </row>
    <row r="77" spans="1:3">
      <c r="A77" s="42"/>
      <c r="C77" s="42"/>
    </row>
    <row r="78" spans="1:3">
      <c r="A78" s="42"/>
      <c r="C78" s="42"/>
    </row>
    <row r="79" spans="1:3">
      <c r="A79" s="42"/>
      <c r="C79" s="42"/>
    </row>
    <row r="80" spans="1:3">
      <c r="A80" s="42"/>
      <c r="C80" s="42"/>
    </row>
    <row r="81" spans="1:3">
      <c r="A81" s="42"/>
      <c r="C81" s="42"/>
    </row>
    <row r="82" spans="1:3">
      <c r="A82" s="42"/>
      <c r="C82" s="42"/>
    </row>
    <row r="83" spans="1:3">
      <c r="A83" s="42"/>
      <c r="C83" s="42"/>
    </row>
    <row r="84" spans="1:3">
      <c r="A84" s="42"/>
      <c r="C84" s="42"/>
    </row>
    <row r="85" spans="1:3">
      <c r="A85" s="42"/>
      <c r="C85" s="42"/>
    </row>
    <row r="86" spans="1:3">
      <c r="A86" s="42"/>
      <c r="C86" s="42"/>
    </row>
    <row r="87" spans="1:3">
      <c r="A87" s="42"/>
      <c r="C87" s="42"/>
    </row>
    <row r="88" spans="1:3">
      <c r="A88" s="42"/>
      <c r="C88" s="42"/>
    </row>
    <row r="89" spans="1:3">
      <c r="A89" s="42"/>
      <c r="C89" s="42"/>
    </row>
    <row r="90" spans="1:3">
      <c r="A90" s="42"/>
      <c r="C90" s="42"/>
    </row>
    <row r="91" spans="1:3">
      <c r="A91" s="42"/>
      <c r="C91" s="42"/>
    </row>
    <row r="92" spans="1:3">
      <c r="A92" s="42"/>
      <c r="C92" s="42"/>
    </row>
    <row r="93" spans="1:3">
      <c r="A93" s="42"/>
      <c r="C93" s="42"/>
    </row>
    <row r="94" spans="1:3">
      <c r="A94" s="42"/>
      <c r="C94" s="42"/>
    </row>
    <row r="95" spans="1:3">
      <c r="A95" s="42"/>
      <c r="C95" s="42"/>
    </row>
    <row r="96" spans="1:3">
      <c r="A96" s="42"/>
      <c r="C96" s="42"/>
    </row>
    <row r="97" spans="1:3">
      <c r="A97" s="42"/>
      <c r="C97" s="42"/>
    </row>
    <row r="98" spans="1:3">
      <c r="A98" s="42"/>
      <c r="C98" s="42"/>
    </row>
    <row r="99" spans="1:3">
      <c r="A99" s="42"/>
      <c r="C99" s="42"/>
    </row>
    <row r="100" spans="1:3">
      <c r="A100" s="42"/>
      <c r="C100" s="42"/>
    </row>
    <row r="101" spans="1:3">
      <c r="A101" s="42"/>
      <c r="C101" s="42"/>
    </row>
    <row r="102" spans="1:3">
      <c r="A102" s="42"/>
      <c r="C102" s="42"/>
    </row>
    <row r="103" spans="1:3">
      <c r="A103" s="42"/>
      <c r="C103" s="42"/>
    </row>
    <row r="104" spans="1:3">
      <c r="A104" s="42"/>
      <c r="C104" s="42"/>
    </row>
    <row r="105" spans="1:3">
      <c r="A105" s="42"/>
      <c r="C105" s="42"/>
    </row>
    <row r="106" spans="1:3">
      <c r="A106" s="42"/>
      <c r="C106" s="42"/>
    </row>
    <row r="107" spans="1:3">
      <c r="A107" s="42"/>
      <c r="C107" s="42"/>
    </row>
    <row r="108" spans="1:3">
      <c r="A108" s="42"/>
      <c r="C108" s="42"/>
    </row>
    <row r="109" spans="1:3">
      <c r="A109" s="42"/>
      <c r="C109" s="42"/>
    </row>
    <row r="110" spans="1:3">
      <c r="A110" s="42"/>
      <c r="C110" s="42"/>
    </row>
    <row r="111" spans="1:3">
      <c r="A111" s="42"/>
      <c r="C111" s="42"/>
    </row>
    <row r="112" spans="1:3">
      <c r="A112" s="42"/>
      <c r="C112" s="42"/>
    </row>
    <row r="113" spans="1:3">
      <c r="A113" s="42"/>
      <c r="C113" s="42"/>
    </row>
    <row r="114" spans="1:3">
      <c r="A114" s="42"/>
      <c r="C114" s="42"/>
    </row>
    <row r="115" spans="1:3">
      <c r="A115" s="42"/>
      <c r="C115" s="42"/>
    </row>
    <row r="116" spans="1:3">
      <c r="A116" s="42"/>
      <c r="C116" s="42"/>
    </row>
    <row r="117" spans="1:3">
      <c r="A117" s="42"/>
      <c r="C117" s="42"/>
    </row>
    <row r="118" spans="1:3">
      <c r="A118" s="42"/>
      <c r="C118" s="42"/>
    </row>
    <row r="119" spans="1:3">
      <c r="A119" s="42"/>
      <c r="C119" s="42"/>
    </row>
    <row r="120" spans="1:3">
      <c r="A120" s="42"/>
      <c r="C120" s="42"/>
    </row>
    <row r="121" spans="1:3">
      <c r="A121" s="42"/>
      <c r="C121" s="42"/>
    </row>
    <row r="122" spans="1:3">
      <c r="A122" s="42"/>
      <c r="C122" s="42"/>
    </row>
    <row r="123" spans="1:3">
      <c r="A123" s="42"/>
      <c r="C123" s="42"/>
    </row>
    <row r="124" spans="1:3">
      <c r="A124" s="42"/>
      <c r="C124" s="42"/>
    </row>
    <row r="125" spans="1:3">
      <c r="A125" s="42"/>
      <c r="C125" s="42"/>
    </row>
    <row r="126" spans="1:3">
      <c r="A126" s="42"/>
      <c r="C126" s="42"/>
    </row>
    <row r="127" spans="1:3">
      <c r="A127" s="42"/>
      <c r="C127" s="42"/>
    </row>
    <row r="128" spans="1:3">
      <c r="A128" s="42"/>
      <c r="C128" s="42"/>
    </row>
    <row r="129" spans="1:3">
      <c r="A129" s="42"/>
      <c r="C129" s="42"/>
    </row>
    <row r="130" spans="1:3">
      <c r="A130" s="42"/>
      <c r="C130" s="42"/>
    </row>
    <row r="131" spans="1:3">
      <c r="A131" s="42"/>
      <c r="C131" s="42"/>
    </row>
    <row r="132" spans="1:3">
      <c r="A132" s="42"/>
      <c r="C132" s="42"/>
    </row>
    <row r="133" spans="1:3">
      <c r="A133" s="42"/>
      <c r="C133" s="42"/>
    </row>
    <row r="134" spans="1:3">
      <c r="A134" s="42"/>
      <c r="C134" s="42"/>
    </row>
  </sheetData>
  <sortState ref="A16:G17">
    <sortCondition ref="D16:D17"/>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M347"/>
  <sheetViews>
    <sheetView topLeftCell="A235" workbookViewId="0">
      <selection activeCell="H25" sqref="H25"/>
    </sheetView>
  </sheetViews>
  <sheetFormatPr baseColWidth="10" defaultRowHeight="13"/>
  <cols>
    <col min="1" max="2" width="10.7109375" style="127"/>
    <col min="3" max="3" width="8.7109375" style="127" customWidth="1"/>
    <col min="4" max="4" width="10.7109375" style="127"/>
    <col min="5" max="16384" width="10.7109375" style="83"/>
  </cols>
  <sheetData>
    <row r="1" spans="1:13" s="123" customFormat="1" ht="52">
      <c r="A1" s="100" t="s">
        <v>355</v>
      </c>
      <c r="B1" s="100" t="s">
        <v>2173</v>
      </c>
      <c r="C1" s="42" t="s">
        <v>585</v>
      </c>
      <c r="D1" s="100" t="s">
        <v>820</v>
      </c>
      <c r="E1" s="82" t="s">
        <v>2174</v>
      </c>
      <c r="F1" s="82" t="s">
        <v>807</v>
      </c>
      <c r="G1" s="169" t="s">
        <v>2022</v>
      </c>
      <c r="H1" s="82" t="s">
        <v>590</v>
      </c>
      <c r="I1" s="82" t="s">
        <v>809</v>
      </c>
      <c r="J1" s="82" t="s">
        <v>459</v>
      </c>
      <c r="K1" s="82" t="s">
        <v>460</v>
      </c>
      <c r="L1" s="82" t="s">
        <v>757</v>
      </c>
      <c r="M1" s="82" t="s">
        <v>4132</v>
      </c>
    </row>
    <row r="2" spans="1:13">
      <c r="A2" s="212" t="s">
        <v>159</v>
      </c>
      <c r="B2" s="100"/>
      <c r="C2" s="100"/>
      <c r="D2" s="100"/>
      <c r="E2" s="82"/>
    </row>
    <row r="3" spans="1:13" s="123" customFormat="1">
      <c r="A3" s="220" t="s">
        <v>350</v>
      </c>
      <c r="B3" s="220">
        <v>2042834</v>
      </c>
      <c r="C3" s="221" t="s">
        <v>593</v>
      </c>
      <c r="D3" s="42" t="s">
        <v>622</v>
      </c>
      <c r="E3" s="193">
        <v>9100</v>
      </c>
      <c r="F3" s="193">
        <v>10946</v>
      </c>
      <c r="G3" s="159">
        <v>11841</v>
      </c>
      <c r="H3" s="377" t="s">
        <v>4162</v>
      </c>
      <c r="I3" s="123" t="s">
        <v>623</v>
      </c>
      <c r="J3" s="42"/>
      <c r="M3" s="123">
        <v>1</v>
      </c>
    </row>
    <row r="4" spans="1:13" s="123" customFormat="1">
      <c r="A4" s="220" t="s">
        <v>350</v>
      </c>
      <c r="B4" s="220">
        <v>1907247</v>
      </c>
      <c r="C4" s="221" t="s">
        <v>593</v>
      </c>
      <c r="D4" s="42"/>
      <c r="E4" s="159">
        <v>9590</v>
      </c>
      <c r="F4" s="159"/>
      <c r="G4" s="159">
        <v>10714</v>
      </c>
      <c r="H4" s="123" t="s">
        <v>352</v>
      </c>
      <c r="I4" s="123" t="s">
        <v>353</v>
      </c>
      <c r="M4" s="123">
        <v>1</v>
      </c>
    </row>
    <row r="5" spans="1:13" s="123" customFormat="1">
      <c r="A5" s="220" t="s">
        <v>350</v>
      </c>
      <c r="B5" s="220">
        <v>1915929</v>
      </c>
      <c r="C5" s="221" t="s">
        <v>593</v>
      </c>
      <c r="D5" s="42"/>
      <c r="E5" s="159">
        <v>9737</v>
      </c>
      <c r="F5" s="159"/>
      <c r="G5" s="159">
        <v>10770</v>
      </c>
      <c r="H5" s="123" t="s">
        <v>483</v>
      </c>
      <c r="I5" s="123" t="s">
        <v>484</v>
      </c>
      <c r="M5" s="123">
        <v>1</v>
      </c>
    </row>
    <row r="6" spans="1:13" s="123" customFormat="1">
      <c r="A6" s="220" t="s">
        <v>350</v>
      </c>
      <c r="B6" s="220">
        <v>1970935</v>
      </c>
      <c r="C6" s="221" t="s">
        <v>593</v>
      </c>
      <c r="D6" s="42"/>
      <c r="E6" s="159">
        <v>10206</v>
      </c>
      <c r="F6" s="159"/>
      <c r="G6" s="159">
        <v>11190</v>
      </c>
      <c r="H6" s="123" t="s">
        <v>352</v>
      </c>
      <c r="I6" s="123" t="s">
        <v>353</v>
      </c>
      <c r="M6" s="123">
        <v>1</v>
      </c>
    </row>
    <row r="7" spans="1:13" s="123" customFormat="1">
      <c r="A7" s="220" t="s">
        <v>350</v>
      </c>
      <c r="B7" s="220">
        <v>2032476</v>
      </c>
      <c r="C7" s="221" t="s">
        <v>593</v>
      </c>
      <c r="D7" s="42"/>
      <c r="E7" s="159">
        <v>10239</v>
      </c>
      <c r="F7" s="159"/>
      <c r="G7" s="159">
        <v>11750</v>
      </c>
      <c r="H7" s="123" t="s">
        <v>352</v>
      </c>
      <c r="I7" s="123" t="s">
        <v>792</v>
      </c>
      <c r="M7" s="123">
        <v>1</v>
      </c>
    </row>
    <row r="8" spans="1:13" s="123" customFormat="1">
      <c r="A8" s="220" t="s">
        <v>350</v>
      </c>
      <c r="B8" s="220">
        <v>1992666</v>
      </c>
      <c r="C8" s="221" t="s">
        <v>593</v>
      </c>
      <c r="D8" s="42"/>
      <c r="E8" s="159">
        <v>10301</v>
      </c>
      <c r="F8" s="159"/>
      <c r="G8" s="159">
        <v>11379</v>
      </c>
      <c r="H8" s="123" t="s">
        <v>352</v>
      </c>
      <c r="I8" s="123" t="s">
        <v>353</v>
      </c>
      <c r="M8" s="123">
        <v>1</v>
      </c>
    </row>
    <row r="9" spans="1:13" s="123" customFormat="1">
      <c r="A9" s="220" t="s">
        <v>350</v>
      </c>
      <c r="B9" s="220">
        <v>2055457</v>
      </c>
      <c r="C9" s="221" t="s">
        <v>593</v>
      </c>
      <c r="D9" s="42"/>
      <c r="E9" s="159">
        <v>10354</v>
      </c>
      <c r="F9" s="159"/>
      <c r="G9" s="159">
        <v>11953</v>
      </c>
      <c r="H9" s="123" t="s">
        <v>352</v>
      </c>
      <c r="I9" s="123" t="s">
        <v>792</v>
      </c>
      <c r="M9" s="123">
        <v>1</v>
      </c>
    </row>
    <row r="10" spans="1:13" s="123" customFormat="1">
      <c r="A10" s="42" t="s">
        <v>350</v>
      </c>
      <c r="B10" s="42">
        <v>2003777</v>
      </c>
      <c r="C10" s="151" t="s">
        <v>593</v>
      </c>
      <c r="D10" s="42"/>
      <c r="E10" s="200">
        <v>10603</v>
      </c>
      <c r="F10" s="200"/>
      <c r="G10" s="159">
        <v>11477</v>
      </c>
      <c r="H10" s="123" t="s">
        <v>352</v>
      </c>
      <c r="I10" s="123" t="s">
        <v>791</v>
      </c>
      <c r="J10" s="207"/>
      <c r="L10" s="42"/>
    </row>
    <row r="11" spans="1:13" s="123" customFormat="1">
      <c r="A11" s="42" t="s">
        <v>350</v>
      </c>
      <c r="B11" s="42">
        <v>1992667</v>
      </c>
      <c r="C11" s="151" t="s">
        <v>593</v>
      </c>
      <c r="D11" s="42"/>
      <c r="E11" s="159">
        <v>10781</v>
      </c>
      <c r="F11" s="159"/>
      <c r="G11" s="159">
        <v>11379</v>
      </c>
      <c r="H11" s="123" t="s">
        <v>352</v>
      </c>
      <c r="I11" s="123" t="s">
        <v>790</v>
      </c>
    </row>
    <row r="12" spans="1:13" s="123" customFormat="1">
      <c r="A12" s="42" t="s">
        <v>350</v>
      </c>
      <c r="B12" s="42">
        <v>2097763</v>
      </c>
      <c r="C12" s="151" t="s">
        <v>593</v>
      </c>
      <c r="D12" s="42"/>
      <c r="E12" s="159">
        <v>11106</v>
      </c>
      <c r="F12" s="159"/>
      <c r="G12" s="159">
        <v>12359</v>
      </c>
      <c r="H12" s="123" t="s">
        <v>352</v>
      </c>
      <c r="I12" s="123" t="s">
        <v>353</v>
      </c>
    </row>
    <row r="13" spans="1:13" s="123" customFormat="1">
      <c r="A13" s="42" t="s">
        <v>350</v>
      </c>
      <c r="B13" s="42">
        <v>2057199</v>
      </c>
      <c r="C13" s="151" t="s">
        <v>593</v>
      </c>
      <c r="D13" s="42"/>
      <c r="E13" s="159">
        <v>11156</v>
      </c>
      <c r="F13" s="159"/>
      <c r="G13" s="159">
        <v>11974</v>
      </c>
      <c r="H13" s="123" t="s">
        <v>352</v>
      </c>
      <c r="I13" s="123" t="s">
        <v>624</v>
      </c>
    </row>
    <row r="14" spans="1:13" s="123" customFormat="1">
      <c r="A14" s="42" t="s">
        <v>350</v>
      </c>
      <c r="B14" s="42">
        <v>2113805</v>
      </c>
      <c r="C14" s="151" t="s">
        <v>593</v>
      </c>
      <c r="D14" s="42"/>
      <c r="E14" s="159">
        <v>11445</v>
      </c>
      <c r="F14" s="159"/>
      <c r="G14" s="159">
        <v>12520</v>
      </c>
      <c r="H14" s="123" t="s">
        <v>352</v>
      </c>
      <c r="I14" s="123" t="s">
        <v>353</v>
      </c>
    </row>
    <row r="15" spans="1:13" s="123" customFormat="1">
      <c r="A15" s="42" t="s">
        <v>350</v>
      </c>
      <c r="B15" s="42">
        <v>2091169</v>
      </c>
      <c r="C15" s="151" t="s">
        <v>593</v>
      </c>
      <c r="D15" s="42"/>
      <c r="E15" s="159">
        <v>11632</v>
      </c>
      <c r="F15" s="159"/>
      <c r="G15" s="159">
        <v>12289</v>
      </c>
      <c r="H15" s="123" t="s">
        <v>352</v>
      </c>
      <c r="I15" s="123" t="s">
        <v>269</v>
      </c>
    </row>
    <row r="16" spans="1:13" s="123" customFormat="1">
      <c r="A16" s="42" t="s">
        <v>350</v>
      </c>
      <c r="B16" s="42">
        <v>2270853</v>
      </c>
      <c r="C16" s="151" t="s">
        <v>593</v>
      </c>
      <c r="D16" s="42"/>
      <c r="E16" s="159">
        <v>12797</v>
      </c>
      <c r="F16" s="159"/>
      <c r="G16" s="159">
        <v>13906</v>
      </c>
      <c r="H16" s="123" t="s">
        <v>352</v>
      </c>
      <c r="I16" s="123" t="s">
        <v>508</v>
      </c>
    </row>
    <row r="17" spans="1:13" s="123" customFormat="1">
      <c r="A17" s="42" t="s">
        <v>350</v>
      </c>
      <c r="B17" s="42">
        <v>2233112</v>
      </c>
      <c r="C17" s="151" t="s">
        <v>593</v>
      </c>
      <c r="D17" s="42"/>
      <c r="E17" s="159">
        <v>12894</v>
      </c>
      <c r="F17" s="159"/>
      <c r="G17" s="159">
        <v>13570</v>
      </c>
      <c r="H17" s="123" t="s">
        <v>352</v>
      </c>
      <c r="I17" s="123" t="s">
        <v>508</v>
      </c>
    </row>
    <row r="18" spans="1:13" s="123" customFormat="1">
      <c r="A18" s="42" t="s">
        <v>350</v>
      </c>
      <c r="B18" s="42">
        <v>2279346</v>
      </c>
      <c r="C18" s="151" t="s">
        <v>593</v>
      </c>
      <c r="D18" s="42"/>
      <c r="E18" s="159">
        <v>12965</v>
      </c>
      <c r="F18" s="159"/>
      <c r="G18" s="159">
        <v>13983</v>
      </c>
      <c r="H18" s="123" t="s">
        <v>352</v>
      </c>
      <c r="I18" s="123" t="s">
        <v>508</v>
      </c>
    </row>
    <row r="19" spans="1:13" s="123" customFormat="1">
      <c r="A19" s="42" t="s">
        <v>350</v>
      </c>
      <c r="B19" s="42">
        <v>2297028</v>
      </c>
      <c r="C19" s="151" t="s">
        <v>593</v>
      </c>
      <c r="D19" s="42"/>
      <c r="E19" s="159">
        <v>13100</v>
      </c>
      <c r="F19" s="159"/>
      <c r="G19" s="159">
        <v>14151</v>
      </c>
      <c r="H19" s="123" t="s">
        <v>352</v>
      </c>
      <c r="I19" s="123" t="s">
        <v>508</v>
      </c>
    </row>
    <row r="20" spans="1:13" s="123" customFormat="1">
      <c r="A20" s="42" t="s">
        <v>350</v>
      </c>
      <c r="B20" s="42">
        <v>2338075</v>
      </c>
      <c r="C20" s="151" t="s">
        <v>593</v>
      </c>
      <c r="D20" s="42"/>
      <c r="E20" s="159">
        <v>13586</v>
      </c>
      <c r="F20" s="159"/>
      <c r="G20" s="159">
        <v>14606</v>
      </c>
      <c r="H20" s="123" t="s">
        <v>352</v>
      </c>
      <c r="I20" s="42" t="s">
        <v>353</v>
      </c>
      <c r="J20" s="42"/>
      <c r="K20" s="42"/>
    </row>
    <row r="21" spans="1:13" s="123" customFormat="1">
      <c r="A21" s="42" t="s">
        <v>350</v>
      </c>
      <c r="B21" s="42">
        <v>2334008</v>
      </c>
      <c r="C21" s="151" t="s">
        <v>593</v>
      </c>
      <c r="D21" s="42"/>
      <c r="E21" s="159">
        <v>13692</v>
      </c>
      <c r="F21" s="159"/>
      <c r="G21" s="159">
        <v>14557</v>
      </c>
      <c r="H21" s="123" t="s">
        <v>352</v>
      </c>
      <c r="I21" s="42" t="s">
        <v>790</v>
      </c>
      <c r="J21" s="42"/>
      <c r="K21" s="42"/>
    </row>
    <row r="22" spans="1:13" s="123" customFormat="1">
      <c r="A22" s="42" t="s">
        <v>350</v>
      </c>
      <c r="B22" s="42">
        <v>2305218</v>
      </c>
      <c r="C22" s="151" t="s">
        <v>593</v>
      </c>
      <c r="D22" s="42"/>
      <c r="E22" s="159">
        <v>13695</v>
      </c>
      <c r="F22" s="159"/>
      <c r="G22" s="159">
        <v>14228</v>
      </c>
      <c r="H22" s="123" t="s">
        <v>352</v>
      </c>
      <c r="I22" s="207" t="s">
        <v>353</v>
      </c>
      <c r="J22" s="207"/>
      <c r="K22" s="207"/>
    </row>
    <row r="23" spans="1:13" s="42" customFormat="1">
      <c r="E23" s="164"/>
      <c r="F23" s="164"/>
      <c r="G23" s="164"/>
    </row>
    <row r="24" spans="1:13" s="42" customFormat="1">
      <c r="A24" s="42" t="s">
        <v>354</v>
      </c>
      <c r="E24" s="164"/>
      <c r="F24" s="164"/>
      <c r="G24" s="164"/>
    </row>
    <row r="25" spans="1:13" s="123" customFormat="1">
      <c r="A25" s="220" t="s">
        <v>350</v>
      </c>
      <c r="B25" s="220">
        <v>2001676</v>
      </c>
      <c r="C25" s="221" t="s">
        <v>586</v>
      </c>
      <c r="D25" s="42"/>
      <c r="E25" s="159">
        <v>10146</v>
      </c>
      <c r="F25" s="159"/>
      <c r="G25" s="159">
        <v>11456</v>
      </c>
      <c r="H25" s="123" t="s">
        <v>387</v>
      </c>
      <c r="I25" s="123" t="s">
        <v>792</v>
      </c>
      <c r="M25" s="123">
        <v>2</v>
      </c>
    </row>
    <row r="26" spans="1:13" s="123" customFormat="1">
      <c r="A26" s="220" t="s">
        <v>350</v>
      </c>
      <c r="B26" s="220">
        <v>2042149</v>
      </c>
      <c r="C26" s="221" t="s">
        <v>586</v>
      </c>
      <c r="D26" s="42"/>
      <c r="E26" s="159">
        <v>10405</v>
      </c>
      <c r="F26" s="159"/>
      <c r="G26" s="159">
        <v>11834</v>
      </c>
      <c r="H26" s="123" t="s">
        <v>387</v>
      </c>
      <c r="I26" s="123" t="s">
        <v>792</v>
      </c>
      <c r="M26" s="123">
        <v>2</v>
      </c>
    </row>
    <row r="27" spans="1:13" s="123" customFormat="1">
      <c r="A27" s="220" t="s">
        <v>350</v>
      </c>
      <c r="B27" s="220">
        <v>2021598</v>
      </c>
      <c r="C27" s="221" t="s">
        <v>586</v>
      </c>
      <c r="D27" s="42"/>
      <c r="E27" s="159">
        <v>10493</v>
      </c>
      <c r="F27" s="159"/>
      <c r="G27" s="159">
        <v>11645</v>
      </c>
      <c r="H27" s="123" t="s">
        <v>387</v>
      </c>
      <c r="I27" s="123" t="s">
        <v>792</v>
      </c>
      <c r="M27" s="123">
        <v>2</v>
      </c>
    </row>
    <row r="28" spans="1:13" s="123" customFormat="1">
      <c r="A28" s="42" t="s">
        <v>350</v>
      </c>
      <c r="B28" s="42">
        <v>2002888</v>
      </c>
      <c r="C28" s="151" t="s">
        <v>586</v>
      </c>
      <c r="D28" s="42"/>
      <c r="E28" s="159">
        <v>10617</v>
      </c>
      <c r="F28" s="159"/>
      <c r="G28" s="159">
        <v>11470</v>
      </c>
      <c r="H28" s="123" t="s">
        <v>387</v>
      </c>
      <c r="I28" s="123" t="s">
        <v>792</v>
      </c>
    </row>
    <row r="29" spans="1:13" s="123" customFormat="1">
      <c r="A29" s="42" t="s">
        <v>350</v>
      </c>
      <c r="B29" s="42">
        <v>2002888</v>
      </c>
      <c r="C29" s="151" t="s">
        <v>586</v>
      </c>
      <c r="D29" s="42" t="s">
        <v>356</v>
      </c>
      <c r="E29" s="159">
        <v>10617</v>
      </c>
      <c r="F29" s="164">
        <v>11479</v>
      </c>
      <c r="G29" s="159">
        <v>11540</v>
      </c>
      <c r="H29" s="123" t="s">
        <v>387</v>
      </c>
      <c r="I29" s="123" t="s">
        <v>792</v>
      </c>
      <c r="J29" s="42"/>
      <c r="L29" s="42"/>
    </row>
    <row r="30" spans="1:13" s="123" customFormat="1">
      <c r="A30" s="42" t="s">
        <v>350</v>
      </c>
      <c r="B30" s="42">
        <v>1965034</v>
      </c>
      <c r="C30" s="151" t="s">
        <v>586</v>
      </c>
      <c r="D30" s="42"/>
      <c r="E30" s="159">
        <v>10623</v>
      </c>
      <c r="F30" s="159"/>
      <c r="G30" s="159">
        <v>11141</v>
      </c>
      <c r="H30" s="123" t="s">
        <v>387</v>
      </c>
      <c r="I30" s="123" t="s">
        <v>792</v>
      </c>
    </row>
    <row r="31" spans="1:13" s="123" customFormat="1">
      <c r="A31" s="42" t="s">
        <v>350</v>
      </c>
      <c r="B31" s="42">
        <v>1983128</v>
      </c>
      <c r="C31" s="151" t="s">
        <v>586</v>
      </c>
      <c r="D31" s="42"/>
      <c r="E31" s="159">
        <v>10623</v>
      </c>
      <c r="F31" s="159"/>
      <c r="G31" s="159">
        <v>11295</v>
      </c>
      <c r="H31" s="123" t="s">
        <v>387</v>
      </c>
      <c r="I31" s="123" t="s">
        <v>792</v>
      </c>
    </row>
    <row r="32" spans="1:13" s="123" customFormat="1">
      <c r="A32" s="42" t="s">
        <v>350</v>
      </c>
      <c r="B32" s="42">
        <v>2077557</v>
      </c>
      <c r="C32" s="151" t="s">
        <v>586</v>
      </c>
      <c r="D32" s="42"/>
      <c r="E32" s="159">
        <v>10660</v>
      </c>
      <c r="F32" s="159"/>
      <c r="G32" s="159">
        <v>12163</v>
      </c>
      <c r="H32" s="123" t="s">
        <v>387</v>
      </c>
      <c r="I32" s="123" t="s">
        <v>792</v>
      </c>
    </row>
    <row r="33" spans="1:13" s="123" customFormat="1">
      <c r="A33" s="42" t="s">
        <v>350</v>
      </c>
      <c r="B33" s="42">
        <v>2035876</v>
      </c>
      <c r="C33" s="151" t="s">
        <v>586</v>
      </c>
      <c r="D33" s="42"/>
      <c r="E33" s="159">
        <v>10745</v>
      </c>
      <c r="F33" s="159"/>
      <c r="G33" s="159">
        <v>11778</v>
      </c>
      <c r="H33" s="123" t="s">
        <v>387</v>
      </c>
      <c r="I33" s="123" t="s">
        <v>792</v>
      </c>
    </row>
    <row r="34" spans="1:13" s="123" customFormat="1">
      <c r="A34" s="42" t="s">
        <v>350</v>
      </c>
      <c r="B34" s="42">
        <v>2087572</v>
      </c>
      <c r="C34" s="151" t="s">
        <v>586</v>
      </c>
      <c r="D34" s="42"/>
      <c r="E34" s="159">
        <v>11026</v>
      </c>
      <c r="F34" s="159"/>
      <c r="G34" s="159">
        <v>12254</v>
      </c>
      <c r="H34" s="123" t="s">
        <v>387</v>
      </c>
      <c r="I34" s="123" t="s">
        <v>792</v>
      </c>
    </row>
    <row r="35" spans="1:13" s="123" customFormat="1">
      <c r="A35" s="42" t="s">
        <v>350</v>
      </c>
      <c r="B35" s="42">
        <v>2055458</v>
      </c>
      <c r="C35" s="151" t="s">
        <v>586</v>
      </c>
      <c r="D35" s="42"/>
      <c r="E35" s="159">
        <v>11072</v>
      </c>
      <c r="F35" s="159"/>
      <c r="G35" s="159">
        <v>11953</v>
      </c>
      <c r="H35" s="123" t="s">
        <v>387</v>
      </c>
      <c r="I35" s="123" t="s">
        <v>792</v>
      </c>
    </row>
    <row r="36" spans="1:13" s="123" customFormat="1">
      <c r="A36" s="42" t="s">
        <v>350</v>
      </c>
      <c r="B36" s="42">
        <v>2119575</v>
      </c>
      <c r="C36" s="151" t="s">
        <v>586</v>
      </c>
      <c r="D36" s="42" t="s">
        <v>388</v>
      </c>
      <c r="E36" s="159">
        <v>11072</v>
      </c>
      <c r="F36" s="164">
        <v>11900</v>
      </c>
      <c r="G36" s="159">
        <v>12576</v>
      </c>
      <c r="H36" s="123" t="s">
        <v>387</v>
      </c>
      <c r="I36" s="123" t="s">
        <v>792</v>
      </c>
      <c r="J36" s="42"/>
    </row>
    <row r="37" spans="1:13" s="123" customFormat="1">
      <c r="A37" s="42" t="s">
        <v>350</v>
      </c>
      <c r="B37" s="42">
        <v>2181836</v>
      </c>
      <c r="C37" s="151" t="s">
        <v>586</v>
      </c>
      <c r="D37" s="42"/>
      <c r="E37" s="159">
        <v>11451</v>
      </c>
      <c r="F37" s="159"/>
      <c r="G37" s="181">
        <v>13115</v>
      </c>
      <c r="H37" s="42" t="s">
        <v>184</v>
      </c>
      <c r="I37" s="42" t="s">
        <v>185</v>
      </c>
      <c r="J37" s="42"/>
    </row>
    <row r="38" spans="1:13" s="123" customFormat="1">
      <c r="A38" s="42" t="s">
        <v>350</v>
      </c>
      <c r="B38" s="42">
        <v>2246246</v>
      </c>
      <c r="C38" s="151" t="s">
        <v>586</v>
      </c>
      <c r="D38" s="42"/>
      <c r="E38" s="181">
        <v>11912</v>
      </c>
      <c r="F38" s="181"/>
      <c r="G38" s="164">
        <v>13682</v>
      </c>
      <c r="H38" s="42" t="s">
        <v>387</v>
      </c>
      <c r="I38" s="42" t="s">
        <v>792</v>
      </c>
      <c r="J38" s="42"/>
      <c r="K38" s="42"/>
    </row>
    <row r="39" spans="1:13" s="123" customFormat="1">
      <c r="A39" s="42" t="s">
        <v>350</v>
      </c>
      <c r="B39" s="42">
        <v>2178319</v>
      </c>
      <c r="C39" s="151" t="s">
        <v>586</v>
      </c>
      <c r="D39" s="42"/>
      <c r="E39" s="159">
        <v>12145</v>
      </c>
      <c r="F39" s="159"/>
      <c r="G39" s="164">
        <v>13087</v>
      </c>
      <c r="H39" s="42" t="s">
        <v>387</v>
      </c>
      <c r="I39" s="42" t="s">
        <v>517</v>
      </c>
      <c r="J39" s="42"/>
      <c r="K39" s="42"/>
    </row>
    <row r="40" spans="1:13" s="123" customFormat="1">
      <c r="A40" s="42" t="s">
        <v>350</v>
      </c>
      <c r="B40" s="42">
        <v>2223252</v>
      </c>
      <c r="C40" s="151" t="s">
        <v>586</v>
      </c>
      <c r="D40" s="42"/>
      <c r="E40" s="164">
        <v>12424</v>
      </c>
      <c r="F40" s="164"/>
      <c r="G40" s="164">
        <v>13479</v>
      </c>
      <c r="H40" s="42" t="s">
        <v>387</v>
      </c>
      <c r="I40" s="42" t="s">
        <v>186</v>
      </c>
      <c r="J40" s="42"/>
      <c r="K40" s="42"/>
    </row>
    <row r="41" spans="1:13" s="123" customFormat="1">
      <c r="A41" s="42" t="s">
        <v>350</v>
      </c>
      <c r="B41" s="42">
        <v>2259974</v>
      </c>
      <c r="C41" s="151" t="s">
        <v>586</v>
      </c>
      <c r="D41" s="42" t="s">
        <v>187</v>
      </c>
      <c r="E41" s="164">
        <v>12424</v>
      </c>
      <c r="F41" s="164">
        <v>13401</v>
      </c>
      <c r="G41" s="164">
        <v>13808</v>
      </c>
      <c r="H41" s="42" t="s">
        <v>387</v>
      </c>
      <c r="I41" s="42" t="s">
        <v>186</v>
      </c>
      <c r="J41" s="42"/>
      <c r="K41" s="42"/>
    </row>
    <row r="42" spans="1:13" s="123" customFormat="1">
      <c r="A42" s="42" t="s">
        <v>350</v>
      </c>
      <c r="B42" s="42">
        <v>2167248</v>
      </c>
      <c r="C42" s="151" t="s">
        <v>586</v>
      </c>
      <c r="D42" s="42"/>
      <c r="E42" s="200">
        <v>12468</v>
      </c>
      <c r="F42" s="200"/>
      <c r="G42" s="200">
        <v>12989</v>
      </c>
      <c r="H42" s="167"/>
      <c r="I42" s="42" t="s">
        <v>516</v>
      </c>
      <c r="J42" s="42"/>
      <c r="K42" s="42"/>
      <c r="L42" s="42"/>
    </row>
    <row r="43" spans="1:13" s="123" customFormat="1">
      <c r="A43" s="42"/>
      <c r="B43" s="42"/>
      <c r="C43" s="42"/>
      <c r="D43" s="42"/>
      <c r="E43" s="164"/>
      <c r="F43" s="164"/>
      <c r="G43" s="164"/>
      <c r="H43" s="42"/>
      <c r="I43" s="42"/>
      <c r="J43" s="42"/>
      <c r="K43" s="42"/>
      <c r="L43" s="42"/>
    </row>
    <row r="44" spans="1:13" s="123" customFormat="1">
      <c r="A44" s="42" t="s">
        <v>489</v>
      </c>
      <c r="B44" s="42"/>
      <c r="C44" s="42"/>
      <c r="D44" s="42"/>
      <c r="E44" s="164"/>
      <c r="F44" s="164"/>
      <c r="G44" s="164"/>
      <c r="H44" s="42"/>
      <c r="I44" s="42"/>
      <c r="J44" s="42"/>
      <c r="K44" s="42"/>
      <c r="L44" s="42"/>
    </row>
    <row r="45" spans="1:13" s="123" customFormat="1">
      <c r="A45" s="245" t="s">
        <v>350</v>
      </c>
      <c r="B45" s="245">
        <v>1920435</v>
      </c>
      <c r="C45" s="246" t="s">
        <v>593</v>
      </c>
      <c r="D45" s="42"/>
      <c r="E45" s="200">
        <v>9542</v>
      </c>
      <c r="F45" s="200"/>
      <c r="G45" s="164">
        <v>10805</v>
      </c>
      <c r="H45" s="42" t="s">
        <v>190</v>
      </c>
      <c r="I45" s="42" t="s">
        <v>191</v>
      </c>
      <c r="J45" s="42"/>
      <c r="K45" s="42"/>
      <c r="L45" s="42"/>
      <c r="M45" s="123">
        <v>2</v>
      </c>
    </row>
    <row r="46" spans="1:13" s="123" customFormat="1">
      <c r="A46" s="245" t="s">
        <v>350</v>
      </c>
      <c r="B46" s="245">
        <v>2049887</v>
      </c>
      <c r="C46" s="246" t="s">
        <v>593</v>
      </c>
      <c r="D46" s="244"/>
      <c r="E46" s="159">
        <v>9555</v>
      </c>
      <c r="F46" s="159"/>
      <c r="G46" s="200">
        <v>11904</v>
      </c>
      <c r="H46" s="207" t="s">
        <v>197</v>
      </c>
      <c r="I46" s="207" t="s">
        <v>304</v>
      </c>
      <c r="J46" s="207"/>
      <c r="K46" s="207"/>
      <c r="L46" s="42"/>
      <c r="M46" s="123">
        <v>2</v>
      </c>
    </row>
    <row r="47" spans="1:13" s="123" customFormat="1">
      <c r="A47" s="245" t="s">
        <v>350</v>
      </c>
      <c r="B47" s="245">
        <v>1959403</v>
      </c>
      <c r="C47" s="246" t="s">
        <v>593</v>
      </c>
      <c r="D47" s="42"/>
      <c r="E47" s="159">
        <v>9696</v>
      </c>
      <c r="F47" s="159"/>
      <c r="G47" s="159">
        <v>11099</v>
      </c>
      <c r="H47" s="123" t="s">
        <v>197</v>
      </c>
      <c r="I47" s="207" t="s">
        <v>193</v>
      </c>
      <c r="J47" s="207"/>
      <c r="L47" s="42"/>
      <c r="M47" s="123">
        <v>2</v>
      </c>
    </row>
    <row r="48" spans="1:13" s="123" customFormat="1">
      <c r="A48" s="245" t="s">
        <v>350</v>
      </c>
      <c r="B48" s="245">
        <v>1959732</v>
      </c>
      <c r="C48" s="246" t="s">
        <v>593</v>
      </c>
      <c r="D48" s="42"/>
      <c r="E48" s="159">
        <v>9727</v>
      </c>
      <c r="F48" s="159"/>
      <c r="G48" s="159">
        <v>11099</v>
      </c>
      <c r="H48" s="123" t="s">
        <v>197</v>
      </c>
      <c r="I48" s="123" t="s">
        <v>199</v>
      </c>
      <c r="L48" s="42"/>
      <c r="M48" s="123">
        <v>2</v>
      </c>
    </row>
    <row r="49" spans="1:13" s="123" customFormat="1">
      <c r="A49" s="245" t="s">
        <v>350</v>
      </c>
      <c r="B49" s="245">
        <v>2015106</v>
      </c>
      <c r="C49" s="246" t="s">
        <v>593</v>
      </c>
      <c r="D49" s="189"/>
      <c r="E49" s="159">
        <v>9835</v>
      </c>
      <c r="F49" s="159"/>
      <c r="G49" s="159">
        <v>11589</v>
      </c>
      <c r="H49" s="123" t="s">
        <v>197</v>
      </c>
      <c r="I49" s="123" t="s">
        <v>792</v>
      </c>
      <c r="L49" s="42"/>
      <c r="M49" s="123">
        <v>2</v>
      </c>
    </row>
    <row r="50" spans="1:13" s="123" customFormat="1">
      <c r="A50" s="245" t="s">
        <v>350</v>
      </c>
      <c r="B50" s="245">
        <v>1910352</v>
      </c>
      <c r="C50" s="246" t="s">
        <v>593</v>
      </c>
      <c r="D50" s="42"/>
      <c r="E50" s="181">
        <v>9908</v>
      </c>
      <c r="F50" s="181"/>
      <c r="G50" s="181">
        <v>10735</v>
      </c>
      <c r="H50" s="42" t="s">
        <v>387</v>
      </c>
      <c r="I50" s="42" t="s">
        <v>189</v>
      </c>
      <c r="J50" s="42"/>
      <c r="K50" s="42"/>
      <c r="L50" s="42"/>
      <c r="M50" s="123">
        <v>2</v>
      </c>
    </row>
    <row r="51" spans="1:13" s="123" customFormat="1">
      <c r="A51" s="245" t="s">
        <v>350</v>
      </c>
      <c r="B51" s="245">
        <v>1960227</v>
      </c>
      <c r="C51" s="246" t="s">
        <v>593</v>
      </c>
      <c r="D51" s="42"/>
      <c r="E51" s="159">
        <v>9916</v>
      </c>
      <c r="F51" s="159"/>
      <c r="G51" s="159">
        <v>11099</v>
      </c>
      <c r="H51" s="123" t="s">
        <v>197</v>
      </c>
      <c r="I51" s="123" t="s">
        <v>200</v>
      </c>
      <c r="M51" s="123">
        <v>2</v>
      </c>
    </row>
    <row r="52" spans="1:13" s="123" customFormat="1">
      <c r="A52" s="245" t="s">
        <v>350</v>
      </c>
      <c r="B52" s="245">
        <v>1971725</v>
      </c>
      <c r="C52" s="246" t="s">
        <v>593</v>
      </c>
      <c r="D52" s="42"/>
      <c r="E52" s="159">
        <v>9959</v>
      </c>
      <c r="F52" s="159"/>
      <c r="G52" s="159">
        <v>11197</v>
      </c>
      <c r="H52" s="123" t="s">
        <v>197</v>
      </c>
      <c r="I52" s="194" t="s">
        <v>202</v>
      </c>
      <c r="J52" s="42"/>
      <c r="M52" s="123">
        <v>2</v>
      </c>
    </row>
    <row r="53" spans="1:13" s="123" customFormat="1">
      <c r="A53" s="245" t="s">
        <v>350</v>
      </c>
      <c r="B53" s="245">
        <v>1938207</v>
      </c>
      <c r="C53" s="246" t="s">
        <v>593</v>
      </c>
      <c r="D53" s="42"/>
      <c r="E53" s="159">
        <v>10009</v>
      </c>
      <c r="F53" s="159"/>
      <c r="G53" s="159">
        <v>10931</v>
      </c>
      <c r="H53" s="123" t="s">
        <v>387</v>
      </c>
      <c r="I53" s="123" t="s">
        <v>517</v>
      </c>
      <c r="M53" s="123">
        <v>2</v>
      </c>
    </row>
    <row r="54" spans="1:13" s="123" customFormat="1">
      <c r="A54" s="245" t="s">
        <v>350</v>
      </c>
      <c r="B54" s="245">
        <v>1937084</v>
      </c>
      <c r="C54" s="246" t="s">
        <v>593</v>
      </c>
      <c r="D54" s="42"/>
      <c r="E54" s="159">
        <v>10070</v>
      </c>
      <c r="F54" s="200"/>
      <c r="G54" s="159">
        <v>10924</v>
      </c>
      <c r="H54" s="123" t="s">
        <v>387</v>
      </c>
      <c r="I54" s="123" t="s">
        <v>194</v>
      </c>
      <c r="J54" s="207"/>
      <c r="M54" s="123">
        <v>2</v>
      </c>
    </row>
    <row r="55" spans="1:13" s="123" customFormat="1">
      <c r="A55" s="245" t="s">
        <v>350</v>
      </c>
      <c r="B55" s="245">
        <v>1940237</v>
      </c>
      <c r="C55" s="246" t="s">
        <v>593</v>
      </c>
      <c r="D55" s="42"/>
      <c r="E55" s="159">
        <v>10112</v>
      </c>
      <c r="F55" s="159"/>
      <c r="G55" s="159">
        <v>10945</v>
      </c>
      <c r="H55" s="123" t="s">
        <v>387</v>
      </c>
      <c r="I55" s="123" t="s">
        <v>196</v>
      </c>
      <c r="M55" s="123">
        <v>2</v>
      </c>
    </row>
    <row r="56" spans="1:13" s="123" customFormat="1">
      <c r="A56" s="245" t="s">
        <v>350</v>
      </c>
      <c r="B56" s="245">
        <v>1937539</v>
      </c>
      <c r="C56" s="246" t="s">
        <v>593</v>
      </c>
      <c r="D56" s="42"/>
      <c r="E56" s="159">
        <v>10118</v>
      </c>
      <c r="F56" s="159"/>
      <c r="G56" s="159">
        <v>10931</v>
      </c>
      <c r="H56" s="123" t="s">
        <v>387</v>
      </c>
      <c r="I56" s="123" t="s">
        <v>195</v>
      </c>
      <c r="M56" s="123">
        <v>2</v>
      </c>
    </row>
    <row r="57" spans="1:13" s="123" customFormat="1">
      <c r="A57" s="245" t="s">
        <v>350</v>
      </c>
      <c r="B57" s="245">
        <v>1984319</v>
      </c>
      <c r="C57" s="246" t="s">
        <v>593</v>
      </c>
      <c r="D57" s="42"/>
      <c r="E57" s="159">
        <v>10135</v>
      </c>
      <c r="F57" s="159"/>
      <c r="G57" s="159">
        <v>11302</v>
      </c>
      <c r="H57" s="123" t="s">
        <v>197</v>
      </c>
      <c r="I57" s="123" t="s">
        <v>198</v>
      </c>
      <c r="J57" s="42"/>
      <c r="M57" s="123">
        <v>2</v>
      </c>
    </row>
    <row r="58" spans="1:13" s="123" customFormat="1">
      <c r="A58" s="245" t="s">
        <v>350</v>
      </c>
      <c r="B58" s="245">
        <v>2171967</v>
      </c>
      <c r="C58" s="246" t="s">
        <v>593</v>
      </c>
      <c r="D58" s="42"/>
      <c r="E58" s="159">
        <v>10139</v>
      </c>
      <c r="F58" s="159"/>
      <c r="G58" s="159">
        <v>13031</v>
      </c>
      <c r="H58" s="123" t="s">
        <v>197</v>
      </c>
      <c r="I58" s="123" t="s">
        <v>304</v>
      </c>
      <c r="M58" s="123">
        <v>2</v>
      </c>
    </row>
    <row r="59" spans="1:13" s="123" customFormat="1">
      <c r="A59" s="245" t="s">
        <v>350</v>
      </c>
      <c r="B59" s="245">
        <v>2001676</v>
      </c>
      <c r="C59" s="246" t="s">
        <v>593</v>
      </c>
      <c r="D59" s="195"/>
      <c r="E59" s="161">
        <v>10146</v>
      </c>
      <c r="F59" s="161"/>
      <c r="G59" s="161">
        <v>11456</v>
      </c>
      <c r="H59" s="160" t="s">
        <v>387</v>
      </c>
      <c r="I59" s="160" t="s">
        <v>792</v>
      </c>
      <c r="J59" s="42"/>
      <c r="M59" s="123">
        <v>2</v>
      </c>
    </row>
    <row r="60" spans="1:13" s="123" customFormat="1">
      <c r="A60" s="245" t="s">
        <v>350</v>
      </c>
      <c r="B60" s="245">
        <v>1955718</v>
      </c>
      <c r="C60" s="246" t="s">
        <v>593</v>
      </c>
      <c r="D60" s="42"/>
      <c r="E60" s="159">
        <v>10170</v>
      </c>
      <c r="F60" s="159"/>
      <c r="G60" s="159">
        <v>11064</v>
      </c>
      <c r="H60" s="123" t="s">
        <v>197</v>
      </c>
      <c r="I60" s="123" t="s">
        <v>194</v>
      </c>
      <c r="L60" s="42"/>
      <c r="M60" s="123">
        <v>2</v>
      </c>
    </row>
    <row r="61" spans="1:13" s="123" customFormat="1">
      <c r="A61" s="245" t="s">
        <v>350</v>
      </c>
      <c r="B61" s="245">
        <v>1941296</v>
      </c>
      <c r="C61" s="246" t="s">
        <v>593</v>
      </c>
      <c r="D61" s="42"/>
      <c r="E61" s="159">
        <v>10176</v>
      </c>
      <c r="F61" s="159"/>
      <c r="G61" s="159">
        <v>10952</v>
      </c>
      <c r="H61" s="123" t="s">
        <v>387</v>
      </c>
      <c r="I61" s="123" t="s">
        <v>792</v>
      </c>
      <c r="L61" s="42"/>
      <c r="M61" s="123">
        <v>2</v>
      </c>
    </row>
    <row r="62" spans="1:13" s="123" customFormat="1">
      <c r="A62" s="245" t="s">
        <v>350</v>
      </c>
      <c r="B62" s="245">
        <v>1941296</v>
      </c>
      <c r="C62" s="246" t="s">
        <v>593</v>
      </c>
      <c r="D62" s="42" t="s">
        <v>485</v>
      </c>
      <c r="E62" s="159">
        <v>10176</v>
      </c>
      <c r="F62" s="181">
        <v>11576</v>
      </c>
      <c r="G62" s="159">
        <v>11722</v>
      </c>
      <c r="H62" s="123" t="s">
        <v>387</v>
      </c>
      <c r="I62" s="123" t="s">
        <v>792</v>
      </c>
      <c r="J62" s="42"/>
      <c r="L62" s="42"/>
      <c r="M62" s="123">
        <v>2</v>
      </c>
    </row>
    <row r="63" spans="1:13" s="160" customFormat="1">
      <c r="A63" s="245" t="s">
        <v>350</v>
      </c>
      <c r="B63" s="245">
        <v>2004219</v>
      </c>
      <c r="C63" s="246" t="s">
        <v>593</v>
      </c>
      <c r="D63" s="189"/>
      <c r="E63" s="200">
        <v>10190</v>
      </c>
      <c r="F63" s="200"/>
      <c r="G63" s="200">
        <v>11484</v>
      </c>
      <c r="H63" s="207" t="s">
        <v>197</v>
      </c>
      <c r="I63" s="207" t="s">
        <v>198</v>
      </c>
      <c r="J63" s="207"/>
      <c r="K63" s="207"/>
      <c r="M63" s="160">
        <v>2</v>
      </c>
    </row>
    <row r="64" spans="1:13" s="123" customFormat="1">
      <c r="A64" s="245" t="s">
        <v>350</v>
      </c>
      <c r="B64" s="245">
        <v>1949854</v>
      </c>
      <c r="C64" s="246" t="s">
        <v>593</v>
      </c>
      <c r="D64" s="42"/>
      <c r="E64" s="159">
        <v>10288</v>
      </c>
      <c r="F64" s="159"/>
      <c r="G64" s="159">
        <v>11022</v>
      </c>
      <c r="H64" s="123" t="s">
        <v>197</v>
      </c>
      <c r="I64" s="123" t="s">
        <v>193</v>
      </c>
      <c r="J64" s="207"/>
      <c r="L64" s="42"/>
      <c r="M64" s="123">
        <v>2</v>
      </c>
    </row>
    <row r="65" spans="1:13" s="123" customFormat="1">
      <c r="A65" s="245" t="s">
        <v>350</v>
      </c>
      <c r="B65" s="245">
        <v>1931051</v>
      </c>
      <c r="C65" s="246" t="s">
        <v>593</v>
      </c>
      <c r="D65" s="42"/>
      <c r="E65" s="159">
        <v>10291</v>
      </c>
      <c r="F65" s="159"/>
      <c r="G65" s="159">
        <v>10882</v>
      </c>
      <c r="H65" s="123" t="s">
        <v>387</v>
      </c>
      <c r="I65" s="123" t="s">
        <v>193</v>
      </c>
      <c r="J65" s="207"/>
      <c r="L65" s="42"/>
      <c r="M65" s="123">
        <v>2</v>
      </c>
    </row>
    <row r="66" spans="1:13" s="123" customFormat="1">
      <c r="A66" s="245" t="s">
        <v>350</v>
      </c>
      <c r="B66" s="245">
        <v>1977676</v>
      </c>
      <c r="C66" s="246" t="s">
        <v>593</v>
      </c>
      <c r="D66" s="42"/>
      <c r="E66" s="159">
        <v>10339</v>
      </c>
      <c r="F66" s="159"/>
      <c r="G66" s="159">
        <v>11253</v>
      </c>
      <c r="H66" s="123" t="s">
        <v>197</v>
      </c>
      <c r="I66" s="123" t="s">
        <v>792</v>
      </c>
      <c r="J66" s="42"/>
      <c r="M66" s="123">
        <v>2</v>
      </c>
    </row>
    <row r="67" spans="1:13" s="123" customFormat="1">
      <c r="A67" s="245" t="s">
        <v>350</v>
      </c>
      <c r="B67" s="245">
        <v>2044539</v>
      </c>
      <c r="C67" s="246" t="s">
        <v>593</v>
      </c>
      <c r="D67" s="244"/>
      <c r="E67" s="159">
        <v>10357</v>
      </c>
      <c r="F67" s="159"/>
      <c r="G67" s="159">
        <v>11855</v>
      </c>
      <c r="H67" s="123" t="s">
        <v>197</v>
      </c>
      <c r="I67" s="207" t="s">
        <v>303</v>
      </c>
      <c r="J67" s="207"/>
      <c r="M67" s="123">
        <v>2</v>
      </c>
    </row>
    <row r="68" spans="1:13" s="123" customFormat="1">
      <c r="A68" s="245" t="s">
        <v>350</v>
      </c>
      <c r="B68" s="245">
        <v>2042149</v>
      </c>
      <c r="C68" s="246" t="s">
        <v>593</v>
      </c>
      <c r="D68" s="195"/>
      <c r="E68" s="161">
        <v>10405</v>
      </c>
      <c r="F68" s="161"/>
      <c r="G68" s="161">
        <v>11834</v>
      </c>
      <c r="H68" s="160" t="s">
        <v>387</v>
      </c>
      <c r="I68" s="160" t="s">
        <v>792</v>
      </c>
      <c r="J68" s="42"/>
      <c r="M68" s="123">
        <v>2</v>
      </c>
    </row>
    <row r="69" spans="1:13" s="123" customFormat="1">
      <c r="A69" s="245" t="s">
        <v>350</v>
      </c>
      <c r="B69" s="245">
        <v>1998364</v>
      </c>
      <c r="C69" s="246" t="s">
        <v>593</v>
      </c>
      <c r="D69" s="42"/>
      <c r="E69" s="159">
        <v>10426</v>
      </c>
      <c r="F69" s="159"/>
      <c r="G69" s="159">
        <v>11428</v>
      </c>
      <c r="H69" s="123" t="s">
        <v>197</v>
      </c>
      <c r="I69" s="123" t="s">
        <v>792</v>
      </c>
      <c r="J69" s="42"/>
      <c r="M69" s="123">
        <v>2</v>
      </c>
    </row>
    <row r="70" spans="1:13" s="123" customFormat="1">
      <c r="A70" s="245" t="s">
        <v>350</v>
      </c>
      <c r="B70" s="245">
        <v>2018460</v>
      </c>
      <c r="C70" s="246" t="s">
        <v>593</v>
      </c>
      <c r="D70" s="189"/>
      <c r="E70" s="159">
        <v>10455</v>
      </c>
      <c r="F70" s="159"/>
      <c r="G70" s="159">
        <v>11617</v>
      </c>
      <c r="H70" s="123" t="s">
        <v>197</v>
      </c>
      <c r="I70" s="123" t="s">
        <v>199</v>
      </c>
      <c r="J70" s="42"/>
      <c r="M70" s="123">
        <v>2</v>
      </c>
    </row>
    <row r="71" spans="1:13" s="123" customFormat="1">
      <c r="A71" s="245" t="s">
        <v>350</v>
      </c>
      <c r="B71" s="245">
        <v>2030944</v>
      </c>
      <c r="C71" s="246" t="s">
        <v>593</v>
      </c>
      <c r="D71" s="189"/>
      <c r="E71" s="159">
        <v>10477</v>
      </c>
      <c r="F71" s="159"/>
      <c r="G71" s="159">
        <v>11736</v>
      </c>
      <c r="H71" s="123" t="s">
        <v>197</v>
      </c>
      <c r="I71" s="123" t="s">
        <v>411</v>
      </c>
      <c r="J71" s="42"/>
      <c r="L71" s="42"/>
      <c r="M71" s="123">
        <v>2</v>
      </c>
    </row>
    <row r="72" spans="1:13" s="123" customFormat="1">
      <c r="A72" s="245" t="s">
        <v>350</v>
      </c>
      <c r="B72" s="245">
        <v>2034990</v>
      </c>
      <c r="C72" s="246" t="s">
        <v>593</v>
      </c>
      <c r="D72" s="189"/>
      <c r="E72" s="159">
        <v>10486</v>
      </c>
      <c r="F72" s="159"/>
      <c r="G72" s="159">
        <v>11771</v>
      </c>
      <c r="H72" s="123" t="s">
        <v>197</v>
      </c>
      <c r="I72" s="123" t="s">
        <v>191</v>
      </c>
      <c r="J72" s="42"/>
      <c r="L72" s="42"/>
      <c r="M72" s="123">
        <v>2</v>
      </c>
    </row>
    <row r="73" spans="1:13" s="123" customFormat="1">
      <c r="A73" s="245" t="s">
        <v>350</v>
      </c>
      <c r="B73" s="245">
        <v>2021598</v>
      </c>
      <c r="C73" s="246" t="s">
        <v>593</v>
      </c>
      <c r="D73" s="195"/>
      <c r="E73" s="161">
        <v>10493</v>
      </c>
      <c r="F73" s="161"/>
      <c r="G73" s="161">
        <v>11645</v>
      </c>
      <c r="H73" s="160" t="s">
        <v>387</v>
      </c>
      <c r="I73" s="160" t="s">
        <v>792</v>
      </c>
      <c r="J73" s="42"/>
      <c r="L73" s="189"/>
      <c r="M73" s="123">
        <v>2</v>
      </c>
    </row>
    <row r="74" spans="1:13" s="123" customFormat="1">
      <c r="A74" s="245" t="s">
        <v>350</v>
      </c>
      <c r="B74" s="245">
        <v>2033301</v>
      </c>
      <c r="C74" s="246" t="s">
        <v>593</v>
      </c>
      <c r="D74" s="189"/>
      <c r="E74" s="200">
        <v>10500</v>
      </c>
      <c r="F74" s="159"/>
      <c r="G74" s="159">
        <v>11757</v>
      </c>
      <c r="H74" s="123" t="s">
        <v>197</v>
      </c>
      <c r="I74" s="123" t="s">
        <v>413</v>
      </c>
      <c r="J74" s="42"/>
      <c r="L74" s="42"/>
      <c r="M74" s="123">
        <v>2</v>
      </c>
    </row>
    <row r="75" spans="1:13" s="123" customFormat="1">
      <c r="A75" s="245" t="s">
        <v>350</v>
      </c>
      <c r="B75" s="245">
        <v>2202528</v>
      </c>
      <c r="C75" s="246" t="s">
        <v>593</v>
      </c>
      <c r="D75" s="42"/>
      <c r="E75" s="159">
        <v>10566</v>
      </c>
      <c r="F75" s="159"/>
      <c r="G75" s="159">
        <v>13297</v>
      </c>
      <c r="H75" s="123" t="s">
        <v>197</v>
      </c>
      <c r="I75" s="123" t="s">
        <v>153</v>
      </c>
      <c r="J75" s="207"/>
      <c r="L75" s="42"/>
      <c r="M75" s="123">
        <v>2</v>
      </c>
    </row>
    <row r="76" spans="1:13" s="123" customFormat="1">
      <c r="A76" s="245" t="s">
        <v>350</v>
      </c>
      <c r="B76" s="245">
        <v>2005461</v>
      </c>
      <c r="C76" s="246" t="s">
        <v>593</v>
      </c>
      <c r="D76" s="189"/>
      <c r="E76" s="159">
        <v>10589</v>
      </c>
      <c r="F76" s="159"/>
      <c r="G76" s="159">
        <v>11491</v>
      </c>
      <c r="H76" s="123" t="s">
        <v>197</v>
      </c>
      <c r="I76" s="123" t="s">
        <v>792</v>
      </c>
      <c r="J76" s="207"/>
      <c r="L76" s="42"/>
      <c r="M76" s="123">
        <v>2</v>
      </c>
    </row>
    <row r="77" spans="1:13" s="123" customFormat="1">
      <c r="A77" s="245" t="s">
        <v>350</v>
      </c>
      <c r="B77" s="245">
        <v>2080223</v>
      </c>
      <c r="C77" s="246" t="s">
        <v>593</v>
      </c>
      <c r="D77" s="244"/>
      <c r="E77" s="159">
        <v>10591</v>
      </c>
      <c r="F77" s="159"/>
      <c r="G77" s="159">
        <v>12184</v>
      </c>
      <c r="H77" s="123" t="s">
        <v>197</v>
      </c>
      <c r="I77" s="123" t="s">
        <v>792</v>
      </c>
      <c r="J77" s="42"/>
      <c r="L77" s="42"/>
      <c r="M77" s="123">
        <v>2</v>
      </c>
    </row>
    <row r="78" spans="1:13" s="123" customFormat="1">
      <c r="A78" s="165" t="s">
        <v>350</v>
      </c>
      <c r="B78" s="165">
        <v>2007798</v>
      </c>
      <c r="C78" s="166" t="s">
        <v>593</v>
      </c>
      <c r="D78" s="189"/>
      <c r="E78" s="159">
        <v>10599</v>
      </c>
      <c r="F78" s="159"/>
      <c r="G78" s="159">
        <v>11512</v>
      </c>
      <c r="H78" s="123" t="s">
        <v>197</v>
      </c>
      <c r="I78" s="123" t="s">
        <v>792</v>
      </c>
      <c r="J78" s="207"/>
      <c r="L78" s="42"/>
    </row>
    <row r="79" spans="1:13" s="123" customFormat="1">
      <c r="A79" s="165" t="s">
        <v>350</v>
      </c>
      <c r="B79" s="165">
        <v>2002888</v>
      </c>
      <c r="C79" s="166" t="s">
        <v>593</v>
      </c>
      <c r="D79" s="195"/>
      <c r="E79" s="161">
        <v>10617</v>
      </c>
      <c r="F79" s="161"/>
      <c r="G79" s="161">
        <v>11470</v>
      </c>
      <c r="H79" s="160" t="s">
        <v>387</v>
      </c>
      <c r="I79" s="160" t="s">
        <v>792</v>
      </c>
      <c r="J79" s="42"/>
      <c r="L79" s="42"/>
    </row>
    <row r="80" spans="1:13" s="123" customFormat="1">
      <c r="A80" s="165" t="s">
        <v>350</v>
      </c>
      <c r="B80" s="165">
        <v>2002888</v>
      </c>
      <c r="C80" s="166" t="s">
        <v>593</v>
      </c>
      <c r="D80" s="195" t="s">
        <v>486</v>
      </c>
      <c r="E80" s="161">
        <v>10617</v>
      </c>
      <c r="F80" s="196">
        <v>11479</v>
      </c>
      <c r="G80" s="161">
        <v>11540</v>
      </c>
      <c r="H80" s="160" t="s">
        <v>387</v>
      </c>
      <c r="I80" s="160" t="s">
        <v>792</v>
      </c>
      <c r="J80" s="42"/>
      <c r="L80" s="42"/>
    </row>
    <row r="81" spans="1:12" s="123" customFormat="1">
      <c r="A81" s="165" t="s">
        <v>350</v>
      </c>
      <c r="B81" s="165">
        <v>1965034</v>
      </c>
      <c r="C81" s="166" t="s">
        <v>593</v>
      </c>
      <c r="D81" s="195"/>
      <c r="E81" s="161">
        <v>10623</v>
      </c>
      <c r="F81" s="161"/>
      <c r="G81" s="161">
        <v>11141</v>
      </c>
      <c r="H81" s="160" t="s">
        <v>387</v>
      </c>
      <c r="I81" s="160" t="s">
        <v>792</v>
      </c>
      <c r="J81" s="160"/>
      <c r="K81" s="160"/>
      <c r="L81" s="189"/>
    </row>
    <row r="82" spans="1:12" s="123" customFormat="1">
      <c r="A82" s="165" t="s">
        <v>350</v>
      </c>
      <c r="B82" s="165">
        <v>1983128</v>
      </c>
      <c r="C82" s="166" t="s">
        <v>593</v>
      </c>
      <c r="D82" s="195"/>
      <c r="E82" s="161">
        <v>10623</v>
      </c>
      <c r="F82" s="161"/>
      <c r="G82" s="161">
        <v>11295</v>
      </c>
      <c r="H82" s="160" t="s">
        <v>387</v>
      </c>
      <c r="I82" s="160" t="s">
        <v>792</v>
      </c>
      <c r="J82" s="42"/>
      <c r="L82" s="189"/>
    </row>
    <row r="83" spans="1:12" s="123" customFormat="1">
      <c r="A83" s="165" t="s">
        <v>350</v>
      </c>
      <c r="B83" s="165">
        <v>1928283</v>
      </c>
      <c r="C83" s="166" t="s">
        <v>593</v>
      </c>
      <c r="D83" s="42"/>
      <c r="E83" s="200">
        <v>10653</v>
      </c>
      <c r="F83" s="200"/>
      <c r="G83" s="200">
        <v>10861</v>
      </c>
      <c r="H83" s="207" t="s">
        <v>352</v>
      </c>
      <c r="I83" s="42" t="s">
        <v>192</v>
      </c>
      <c r="J83" s="42"/>
      <c r="L83" s="189"/>
    </row>
    <row r="84" spans="1:12" s="123" customFormat="1">
      <c r="A84" s="165" t="s">
        <v>350</v>
      </c>
      <c r="B84" s="165">
        <v>2077557</v>
      </c>
      <c r="C84" s="166" t="s">
        <v>593</v>
      </c>
      <c r="D84" s="195"/>
      <c r="E84" s="161">
        <v>10660</v>
      </c>
      <c r="F84" s="161"/>
      <c r="G84" s="161">
        <v>12163</v>
      </c>
      <c r="H84" s="160" t="s">
        <v>387</v>
      </c>
      <c r="I84" s="160" t="s">
        <v>792</v>
      </c>
      <c r="J84" s="42"/>
      <c r="L84" s="42"/>
    </row>
    <row r="85" spans="1:12" s="123" customFormat="1">
      <c r="A85" s="165" t="s">
        <v>350</v>
      </c>
      <c r="B85" s="165">
        <v>1964462</v>
      </c>
      <c r="C85" s="166" t="s">
        <v>593</v>
      </c>
      <c r="D85" s="42"/>
      <c r="E85" s="159">
        <v>10669</v>
      </c>
      <c r="F85" s="159"/>
      <c r="G85" s="159">
        <v>11134</v>
      </c>
      <c r="H85" s="123" t="s">
        <v>197</v>
      </c>
      <c r="I85" s="123" t="s">
        <v>792</v>
      </c>
      <c r="L85" s="42"/>
    </row>
    <row r="86" spans="1:12" s="123" customFormat="1">
      <c r="A86" s="165" t="s">
        <v>350</v>
      </c>
      <c r="B86" s="165">
        <v>2051636</v>
      </c>
      <c r="C86" s="166" t="s">
        <v>593</v>
      </c>
      <c r="D86" s="244"/>
      <c r="E86" s="159">
        <v>10678</v>
      </c>
      <c r="F86" s="159"/>
      <c r="G86" s="159">
        <v>11918</v>
      </c>
      <c r="H86" s="123" t="s">
        <v>197</v>
      </c>
      <c r="I86" s="123" t="s">
        <v>792</v>
      </c>
      <c r="L86" s="42"/>
    </row>
    <row r="87" spans="1:12" s="123" customFormat="1">
      <c r="A87" s="165" t="s">
        <v>350</v>
      </c>
      <c r="B87" s="165">
        <v>2003766</v>
      </c>
      <c r="C87" s="166" t="s">
        <v>593</v>
      </c>
      <c r="D87" s="189"/>
      <c r="E87" s="159">
        <v>10689</v>
      </c>
      <c r="F87" s="159"/>
      <c r="G87" s="159">
        <v>11477</v>
      </c>
      <c r="H87" s="123" t="s">
        <v>197</v>
      </c>
      <c r="I87" s="123" t="s">
        <v>195</v>
      </c>
      <c r="J87" s="42"/>
    </row>
    <row r="88" spans="1:12" s="123" customFormat="1">
      <c r="A88" s="165" t="s">
        <v>350</v>
      </c>
      <c r="B88" s="165">
        <v>1941419</v>
      </c>
      <c r="C88" s="166" t="s">
        <v>593</v>
      </c>
      <c r="D88" s="42"/>
      <c r="E88" s="159">
        <v>10693</v>
      </c>
      <c r="F88" s="159"/>
      <c r="G88" s="159">
        <v>10952</v>
      </c>
      <c r="H88" s="123" t="s">
        <v>197</v>
      </c>
      <c r="I88" s="123" t="s">
        <v>198</v>
      </c>
    </row>
    <row r="89" spans="1:12" s="123" customFormat="1">
      <c r="A89" s="165" t="s">
        <v>350</v>
      </c>
      <c r="B89" s="165">
        <v>2014114</v>
      </c>
      <c r="C89" s="166" t="s">
        <v>593</v>
      </c>
      <c r="D89" s="189"/>
      <c r="E89" s="159">
        <v>10693</v>
      </c>
      <c r="F89" s="159"/>
      <c r="G89" s="159">
        <v>11575</v>
      </c>
      <c r="H89" s="123" t="s">
        <v>197</v>
      </c>
      <c r="I89" s="194" t="s">
        <v>312</v>
      </c>
    </row>
    <row r="90" spans="1:12" s="123" customFormat="1">
      <c r="A90" s="165" t="s">
        <v>350</v>
      </c>
      <c r="B90" s="165">
        <v>1965656</v>
      </c>
      <c r="C90" s="166" t="s">
        <v>593</v>
      </c>
      <c r="D90" s="42"/>
      <c r="E90" s="159">
        <v>10697</v>
      </c>
      <c r="F90" s="159"/>
      <c r="G90" s="159">
        <v>11148</v>
      </c>
      <c r="H90" s="123" t="s">
        <v>197</v>
      </c>
      <c r="I90" s="123" t="s">
        <v>201</v>
      </c>
      <c r="J90" s="42"/>
    </row>
    <row r="91" spans="1:12" s="123" customFormat="1">
      <c r="A91" s="165" t="s">
        <v>350</v>
      </c>
      <c r="B91" s="165">
        <v>1984068</v>
      </c>
      <c r="C91" s="166" t="s">
        <v>593</v>
      </c>
      <c r="D91" s="42" t="s">
        <v>203</v>
      </c>
      <c r="E91" s="181">
        <v>10697</v>
      </c>
      <c r="F91" s="159">
        <v>11085</v>
      </c>
      <c r="G91" s="159">
        <v>11302</v>
      </c>
      <c r="H91" s="123" t="s">
        <v>197</v>
      </c>
      <c r="I91" s="123" t="s">
        <v>201</v>
      </c>
      <c r="J91" s="42"/>
    </row>
    <row r="92" spans="1:12" s="123" customFormat="1">
      <c r="A92" s="165" t="s">
        <v>350</v>
      </c>
      <c r="B92" s="165">
        <v>2010624</v>
      </c>
      <c r="C92" s="166" t="s">
        <v>593</v>
      </c>
      <c r="D92" s="189"/>
      <c r="E92" s="159">
        <v>10702</v>
      </c>
      <c r="F92" s="159"/>
      <c r="G92" s="159">
        <v>11540</v>
      </c>
      <c r="H92" s="123" t="s">
        <v>197</v>
      </c>
      <c r="I92" s="123" t="s">
        <v>205</v>
      </c>
    </row>
    <row r="93" spans="1:12" s="123" customFormat="1">
      <c r="A93" s="165" t="s">
        <v>350</v>
      </c>
      <c r="B93" s="165">
        <v>2013883</v>
      </c>
      <c r="C93" s="166" t="s">
        <v>593</v>
      </c>
      <c r="D93" s="189"/>
      <c r="E93" s="159">
        <v>10702</v>
      </c>
      <c r="F93" s="159"/>
      <c r="G93" s="159">
        <v>11575</v>
      </c>
      <c r="H93" s="123" t="s">
        <v>197</v>
      </c>
      <c r="I93" s="123" t="s">
        <v>792</v>
      </c>
    </row>
    <row r="94" spans="1:12" s="123" customFormat="1">
      <c r="A94" s="165" t="s">
        <v>350</v>
      </c>
      <c r="B94" s="165">
        <v>2090883</v>
      </c>
      <c r="C94" s="166" t="s">
        <v>593</v>
      </c>
      <c r="D94" s="244"/>
      <c r="E94" s="159">
        <v>10707</v>
      </c>
      <c r="F94" s="159"/>
      <c r="G94" s="159">
        <v>12289</v>
      </c>
      <c r="H94" s="167"/>
      <c r="I94" s="207" t="s">
        <v>421</v>
      </c>
    </row>
    <row r="95" spans="1:12" s="123" customFormat="1">
      <c r="A95" s="165" t="s">
        <v>350</v>
      </c>
      <c r="B95" s="165">
        <v>2005070</v>
      </c>
      <c r="C95" s="166" t="s">
        <v>593</v>
      </c>
      <c r="D95" s="189"/>
      <c r="E95" s="159">
        <v>10716</v>
      </c>
      <c r="F95" s="159"/>
      <c r="G95" s="159">
        <v>11491</v>
      </c>
      <c r="H95" s="123" t="s">
        <v>197</v>
      </c>
      <c r="I95" s="123" t="s">
        <v>517</v>
      </c>
    </row>
    <row r="96" spans="1:12" s="123" customFormat="1">
      <c r="A96" s="165" t="s">
        <v>350</v>
      </c>
      <c r="B96" s="165">
        <v>1978454</v>
      </c>
      <c r="C96" s="166" t="s">
        <v>593</v>
      </c>
      <c r="D96" s="42"/>
      <c r="E96" s="200">
        <v>10745</v>
      </c>
      <c r="F96" s="200"/>
      <c r="G96" s="159">
        <v>11260</v>
      </c>
      <c r="H96" s="123" t="s">
        <v>197</v>
      </c>
      <c r="I96" s="123" t="s">
        <v>792</v>
      </c>
      <c r="J96" s="42"/>
      <c r="L96" s="42"/>
    </row>
    <row r="97" spans="1:12" s="123" customFormat="1">
      <c r="A97" s="165" t="s">
        <v>350</v>
      </c>
      <c r="B97" s="165">
        <v>2016742</v>
      </c>
      <c r="C97" s="166" t="s">
        <v>593</v>
      </c>
      <c r="D97" s="189" t="s">
        <v>206</v>
      </c>
      <c r="E97" s="181">
        <v>10745</v>
      </c>
      <c r="F97" s="181">
        <v>11248</v>
      </c>
      <c r="G97" s="159">
        <v>11603</v>
      </c>
      <c r="H97" s="123" t="s">
        <v>197</v>
      </c>
      <c r="I97" s="123" t="s">
        <v>792</v>
      </c>
      <c r="J97" s="42"/>
      <c r="L97" s="42"/>
    </row>
    <row r="98" spans="1:12" s="123" customFormat="1">
      <c r="A98" s="165" t="s">
        <v>350</v>
      </c>
      <c r="B98" s="165">
        <v>2035876</v>
      </c>
      <c r="C98" s="166" t="s">
        <v>593</v>
      </c>
      <c r="D98" s="195"/>
      <c r="E98" s="161">
        <v>10745</v>
      </c>
      <c r="F98" s="161"/>
      <c r="G98" s="161">
        <v>11778</v>
      </c>
      <c r="H98" s="160" t="s">
        <v>387</v>
      </c>
      <c r="I98" s="160" t="s">
        <v>792</v>
      </c>
      <c r="J98" s="42"/>
      <c r="L98" s="42"/>
    </row>
    <row r="99" spans="1:12" s="123" customFormat="1">
      <c r="A99" s="165" t="s">
        <v>350</v>
      </c>
      <c r="B99" s="165">
        <v>2202521</v>
      </c>
      <c r="C99" s="166" t="s">
        <v>593</v>
      </c>
      <c r="D99" s="42"/>
      <c r="E99" s="200">
        <v>10767</v>
      </c>
      <c r="F99" s="200"/>
      <c r="G99" s="200">
        <v>13297</v>
      </c>
      <c r="H99" s="207" t="s">
        <v>197</v>
      </c>
      <c r="I99" s="207" t="s">
        <v>792</v>
      </c>
      <c r="J99" s="207"/>
      <c r="L99" s="42"/>
    </row>
    <row r="100" spans="1:12" s="123" customFormat="1">
      <c r="A100" s="165" t="s">
        <v>350</v>
      </c>
      <c r="B100" s="165">
        <v>1978259</v>
      </c>
      <c r="C100" s="166" t="s">
        <v>593</v>
      </c>
      <c r="D100" s="42"/>
      <c r="E100" s="200">
        <v>10804</v>
      </c>
      <c r="F100" s="200"/>
      <c r="G100" s="159">
        <v>11253</v>
      </c>
      <c r="H100" s="123" t="s">
        <v>197</v>
      </c>
      <c r="I100" s="123" t="s">
        <v>792</v>
      </c>
      <c r="J100" s="42"/>
      <c r="L100" s="42"/>
    </row>
    <row r="101" spans="1:12" s="123" customFormat="1">
      <c r="A101" s="165" t="s">
        <v>350</v>
      </c>
      <c r="B101" s="165">
        <v>1990988</v>
      </c>
      <c r="C101" s="166" t="s">
        <v>593</v>
      </c>
      <c r="D101" s="42"/>
      <c r="E101" s="159">
        <v>10809</v>
      </c>
      <c r="F101" s="159"/>
      <c r="G101" s="159">
        <v>11365</v>
      </c>
      <c r="H101" s="123" t="s">
        <v>197</v>
      </c>
      <c r="I101" s="123" t="s">
        <v>792</v>
      </c>
      <c r="J101" s="42"/>
      <c r="L101" s="42"/>
    </row>
    <row r="102" spans="1:12" s="123" customFormat="1">
      <c r="A102" s="165" t="s">
        <v>350</v>
      </c>
      <c r="B102" s="165">
        <v>2092806</v>
      </c>
      <c r="C102" s="166" t="s">
        <v>593</v>
      </c>
      <c r="D102" s="244"/>
      <c r="E102" s="159">
        <v>10830</v>
      </c>
      <c r="F102" s="159"/>
      <c r="G102" s="159">
        <v>12310</v>
      </c>
      <c r="H102" s="123" t="s">
        <v>197</v>
      </c>
      <c r="I102" s="123" t="s">
        <v>558</v>
      </c>
      <c r="J102" s="207"/>
      <c r="L102" s="42"/>
    </row>
    <row r="103" spans="1:12" s="123" customFormat="1">
      <c r="A103" s="165" t="s">
        <v>350</v>
      </c>
      <c r="B103" s="165">
        <v>2009968</v>
      </c>
      <c r="C103" s="166" t="s">
        <v>593</v>
      </c>
      <c r="D103" s="189"/>
      <c r="E103" s="159">
        <v>10833</v>
      </c>
      <c r="F103" s="159"/>
      <c r="G103" s="159">
        <v>11533</v>
      </c>
      <c r="H103" s="123" t="s">
        <v>197</v>
      </c>
      <c r="I103" s="123" t="s">
        <v>792</v>
      </c>
      <c r="J103" s="207"/>
      <c r="L103" s="42"/>
    </row>
    <row r="104" spans="1:12" s="123" customFormat="1">
      <c r="A104" s="165" t="s">
        <v>350</v>
      </c>
      <c r="B104" s="165">
        <v>1966247</v>
      </c>
      <c r="C104" s="166" t="s">
        <v>593</v>
      </c>
      <c r="D104" s="42"/>
      <c r="E104" s="159">
        <v>10849</v>
      </c>
      <c r="F104" s="159"/>
      <c r="G104" s="159">
        <v>11148</v>
      </c>
      <c r="H104" s="123" t="s">
        <v>197</v>
      </c>
      <c r="I104" s="123" t="s">
        <v>194</v>
      </c>
      <c r="J104" s="42"/>
      <c r="L104" s="42"/>
    </row>
    <row r="105" spans="1:12" s="123" customFormat="1">
      <c r="A105" s="165" t="s">
        <v>350</v>
      </c>
      <c r="B105" s="165">
        <v>1978086</v>
      </c>
      <c r="C105" s="166" t="s">
        <v>593</v>
      </c>
      <c r="D105" s="42"/>
      <c r="E105" s="159">
        <v>10849</v>
      </c>
      <c r="F105" s="159"/>
      <c r="G105" s="159">
        <v>11253</v>
      </c>
      <c r="H105" s="123" t="s">
        <v>197</v>
      </c>
      <c r="I105" s="123" t="s">
        <v>194</v>
      </c>
      <c r="J105" s="42"/>
      <c r="L105" s="42"/>
    </row>
    <row r="106" spans="1:12" s="123" customFormat="1">
      <c r="A106" s="165" t="s">
        <v>350</v>
      </c>
      <c r="B106" s="165">
        <v>2060620</v>
      </c>
      <c r="C106" s="166" t="s">
        <v>593</v>
      </c>
      <c r="D106" s="244"/>
      <c r="E106" s="159">
        <v>10849</v>
      </c>
      <c r="F106" s="159"/>
      <c r="G106" s="159">
        <v>12002</v>
      </c>
      <c r="H106" s="123" t="s">
        <v>197</v>
      </c>
      <c r="I106" s="123" t="s">
        <v>417</v>
      </c>
      <c r="J106" s="42"/>
      <c r="L106" s="42"/>
    </row>
    <row r="107" spans="1:12" s="123" customFormat="1">
      <c r="A107" s="165" t="s">
        <v>350</v>
      </c>
      <c r="B107" s="165">
        <v>2059806</v>
      </c>
      <c r="C107" s="166" t="s">
        <v>593</v>
      </c>
      <c r="D107" s="244"/>
      <c r="E107" s="159">
        <v>10878</v>
      </c>
      <c r="F107" s="159"/>
      <c r="G107" s="159">
        <v>11995</v>
      </c>
      <c r="H107" s="123" t="s">
        <v>197</v>
      </c>
      <c r="I107" s="123" t="s">
        <v>305</v>
      </c>
      <c r="J107" s="42"/>
      <c r="L107" s="42"/>
    </row>
    <row r="108" spans="1:12" s="123" customFormat="1">
      <c r="A108" s="165" t="s">
        <v>350</v>
      </c>
      <c r="B108" s="165">
        <v>2142168</v>
      </c>
      <c r="C108" s="166" t="s">
        <v>593</v>
      </c>
      <c r="D108" s="42"/>
      <c r="E108" s="159">
        <v>10892</v>
      </c>
      <c r="F108" s="159"/>
      <c r="G108" s="159">
        <v>12786</v>
      </c>
      <c r="H108" s="123" t="s">
        <v>197</v>
      </c>
      <c r="I108" s="123" t="s">
        <v>304</v>
      </c>
      <c r="J108" s="207"/>
      <c r="L108" s="42"/>
    </row>
    <row r="109" spans="1:12" s="123" customFormat="1">
      <c r="A109" s="165" t="s">
        <v>350</v>
      </c>
      <c r="B109" s="165">
        <v>2142168</v>
      </c>
      <c r="C109" s="166" t="s">
        <v>593</v>
      </c>
      <c r="D109" s="42" t="s">
        <v>620</v>
      </c>
      <c r="E109" s="159">
        <v>10892</v>
      </c>
      <c r="F109" s="159">
        <v>13130</v>
      </c>
      <c r="G109" s="159">
        <v>13269</v>
      </c>
      <c r="H109" s="123" t="s">
        <v>197</v>
      </c>
      <c r="I109" s="123" t="s">
        <v>304</v>
      </c>
      <c r="J109" s="207"/>
      <c r="L109" s="42"/>
    </row>
    <row r="110" spans="1:12" s="123" customFormat="1">
      <c r="A110" s="165" t="s">
        <v>350</v>
      </c>
      <c r="B110" s="165">
        <v>1963473</v>
      </c>
      <c r="C110" s="166" t="s">
        <v>593</v>
      </c>
      <c r="D110" s="42"/>
      <c r="E110" s="200">
        <v>10941</v>
      </c>
      <c r="F110" s="200"/>
      <c r="G110" s="200">
        <v>11127</v>
      </c>
      <c r="H110" s="207" t="s">
        <v>197</v>
      </c>
      <c r="I110" s="207" t="s">
        <v>198</v>
      </c>
      <c r="J110" s="207"/>
      <c r="L110" s="42"/>
    </row>
    <row r="111" spans="1:12" s="123" customFormat="1">
      <c r="A111" s="165" t="s">
        <v>350</v>
      </c>
      <c r="B111" s="165">
        <v>2030037</v>
      </c>
      <c r="C111" s="166" t="s">
        <v>593</v>
      </c>
      <c r="D111" s="189"/>
      <c r="E111" s="159">
        <v>10968</v>
      </c>
      <c r="F111" s="159"/>
      <c r="G111" s="159">
        <v>11722</v>
      </c>
      <c r="H111" s="123" t="s">
        <v>197</v>
      </c>
      <c r="I111" s="123" t="s">
        <v>410</v>
      </c>
      <c r="J111" s="42"/>
      <c r="L111" s="42"/>
    </row>
    <row r="112" spans="1:12" s="123" customFormat="1">
      <c r="A112" s="165" t="s">
        <v>350</v>
      </c>
      <c r="B112" s="165">
        <v>1989656</v>
      </c>
      <c r="C112" s="166" t="s">
        <v>593</v>
      </c>
      <c r="D112" s="42"/>
      <c r="E112" s="200">
        <v>10975</v>
      </c>
      <c r="F112" s="200"/>
      <c r="G112" s="200">
        <v>11351</v>
      </c>
      <c r="H112" s="207" t="s">
        <v>197</v>
      </c>
      <c r="I112" s="207" t="s">
        <v>204</v>
      </c>
      <c r="J112" s="42"/>
      <c r="L112" s="42"/>
    </row>
    <row r="113" spans="1:12" s="123" customFormat="1">
      <c r="A113" s="165" t="s">
        <v>350</v>
      </c>
      <c r="B113" s="165">
        <v>2031300</v>
      </c>
      <c r="C113" s="166" t="s">
        <v>593</v>
      </c>
      <c r="D113" s="189"/>
      <c r="E113" s="159">
        <v>10995</v>
      </c>
      <c r="F113" s="159"/>
      <c r="G113" s="159">
        <v>11736</v>
      </c>
      <c r="H113" s="123" t="s">
        <v>197</v>
      </c>
      <c r="I113" s="123" t="s">
        <v>517</v>
      </c>
      <c r="J113" s="42"/>
      <c r="L113" s="42"/>
    </row>
    <row r="114" spans="1:12" s="123" customFormat="1">
      <c r="A114" s="165" t="s">
        <v>350</v>
      </c>
      <c r="B114" s="165">
        <v>2061232</v>
      </c>
      <c r="C114" s="166" t="s">
        <v>593</v>
      </c>
      <c r="D114" s="244"/>
      <c r="E114" s="159">
        <v>11000</v>
      </c>
      <c r="F114" s="159"/>
      <c r="G114" s="159">
        <v>12009</v>
      </c>
      <c r="H114" s="123" t="s">
        <v>197</v>
      </c>
      <c r="I114" s="123" t="s">
        <v>792</v>
      </c>
      <c r="J114" s="42"/>
      <c r="L114" s="42"/>
    </row>
    <row r="115" spans="1:12" s="123" customFormat="1">
      <c r="A115" s="165" t="s">
        <v>350</v>
      </c>
      <c r="B115" s="165">
        <v>1971316</v>
      </c>
      <c r="C115" s="166" t="s">
        <v>593</v>
      </c>
      <c r="D115" s="42"/>
      <c r="E115" s="159">
        <v>11019</v>
      </c>
      <c r="F115" s="159"/>
      <c r="G115" s="159">
        <v>11190</v>
      </c>
      <c r="H115" s="123" t="s">
        <v>197</v>
      </c>
      <c r="I115" s="123" t="s">
        <v>199</v>
      </c>
      <c r="J115" s="42"/>
    </row>
    <row r="116" spans="1:12" s="123" customFormat="1">
      <c r="A116" s="165" t="s">
        <v>350</v>
      </c>
      <c r="B116" s="165">
        <v>2059144</v>
      </c>
      <c r="C116" s="166" t="s">
        <v>593</v>
      </c>
      <c r="D116" s="244"/>
      <c r="E116" s="159">
        <v>11022</v>
      </c>
      <c r="F116" s="159"/>
      <c r="G116" s="159">
        <v>11988</v>
      </c>
      <c r="H116" s="123" t="s">
        <v>197</v>
      </c>
      <c r="I116" s="123" t="s">
        <v>191</v>
      </c>
      <c r="J116" s="42"/>
    </row>
    <row r="117" spans="1:12" s="123" customFormat="1">
      <c r="A117" s="165" t="s">
        <v>350</v>
      </c>
      <c r="B117" s="165">
        <v>2087572</v>
      </c>
      <c r="C117" s="166" t="s">
        <v>593</v>
      </c>
      <c r="D117" s="244"/>
      <c r="E117" s="159">
        <v>11026</v>
      </c>
      <c r="F117" s="159"/>
      <c r="G117" s="159">
        <v>12254</v>
      </c>
      <c r="H117" s="123" t="s">
        <v>197</v>
      </c>
      <c r="I117" s="123" t="s">
        <v>792</v>
      </c>
    </row>
    <row r="118" spans="1:12" s="123" customFormat="1">
      <c r="A118" s="165" t="s">
        <v>350</v>
      </c>
      <c r="B118" s="165">
        <v>2061233</v>
      </c>
      <c r="C118" s="166" t="s">
        <v>593</v>
      </c>
      <c r="D118" s="244"/>
      <c r="E118" s="159">
        <v>11042</v>
      </c>
      <c r="F118" s="159"/>
      <c r="G118" s="159">
        <v>12009</v>
      </c>
      <c r="H118" s="123" t="s">
        <v>197</v>
      </c>
      <c r="I118" s="123" t="s">
        <v>792</v>
      </c>
      <c r="J118" s="42"/>
    </row>
    <row r="119" spans="1:12" s="123" customFormat="1">
      <c r="A119" s="165" t="s">
        <v>350</v>
      </c>
      <c r="B119" s="165">
        <v>2135329</v>
      </c>
      <c r="C119" s="166" t="s">
        <v>593</v>
      </c>
      <c r="D119" s="42"/>
      <c r="E119" s="159">
        <v>11067</v>
      </c>
      <c r="F119" s="159"/>
      <c r="G119" s="159">
        <v>12723</v>
      </c>
      <c r="H119" s="123" t="s">
        <v>197</v>
      </c>
      <c r="I119" s="123" t="s">
        <v>566</v>
      </c>
      <c r="J119" s="207"/>
    </row>
    <row r="120" spans="1:12" s="123" customFormat="1">
      <c r="A120" s="165" t="s">
        <v>350</v>
      </c>
      <c r="B120" s="165">
        <v>2031216</v>
      </c>
      <c r="C120" s="166" t="s">
        <v>593</v>
      </c>
      <c r="D120" s="189"/>
      <c r="E120" s="200">
        <v>11071</v>
      </c>
      <c r="F120" s="200"/>
      <c r="G120" s="200">
        <v>11736</v>
      </c>
      <c r="H120" s="207" t="s">
        <v>197</v>
      </c>
      <c r="I120" s="207" t="s">
        <v>412</v>
      </c>
      <c r="J120" s="42"/>
      <c r="L120" s="42"/>
    </row>
    <row r="121" spans="1:12" s="123" customFormat="1">
      <c r="A121" s="165" t="s">
        <v>350</v>
      </c>
      <c r="B121" s="165">
        <v>2024104</v>
      </c>
      <c r="C121" s="166" t="s">
        <v>593</v>
      </c>
      <c r="D121" s="189"/>
      <c r="E121" s="181">
        <v>11072</v>
      </c>
      <c r="F121" s="181"/>
      <c r="G121" s="159">
        <v>11666</v>
      </c>
      <c r="H121" s="123" t="s">
        <v>197</v>
      </c>
      <c r="I121" s="123" t="s">
        <v>201</v>
      </c>
      <c r="J121" s="42"/>
    </row>
    <row r="122" spans="1:12" s="123" customFormat="1">
      <c r="A122" s="165" t="s">
        <v>350</v>
      </c>
      <c r="B122" s="165">
        <v>2055458</v>
      </c>
      <c r="C122" s="166" t="s">
        <v>593</v>
      </c>
      <c r="D122" s="195"/>
      <c r="E122" s="161">
        <v>11072</v>
      </c>
      <c r="F122" s="161"/>
      <c r="G122" s="161">
        <v>11953</v>
      </c>
      <c r="H122" s="160" t="s">
        <v>387</v>
      </c>
      <c r="I122" s="160" t="s">
        <v>792</v>
      </c>
      <c r="J122" s="42"/>
    </row>
    <row r="123" spans="1:12" s="123" customFormat="1">
      <c r="A123" s="165" t="s">
        <v>350</v>
      </c>
      <c r="B123" s="165">
        <v>2119575</v>
      </c>
      <c r="C123" s="166" t="s">
        <v>593</v>
      </c>
      <c r="D123" s="195" t="s">
        <v>388</v>
      </c>
      <c r="E123" s="161">
        <v>11072</v>
      </c>
      <c r="F123" s="196">
        <v>11900</v>
      </c>
      <c r="G123" s="161">
        <v>12576</v>
      </c>
      <c r="H123" s="160" t="s">
        <v>387</v>
      </c>
      <c r="I123" s="160" t="s">
        <v>792</v>
      </c>
      <c r="J123" s="195"/>
      <c r="K123" s="160"/>
    </row>
    <row r="124" spans="1:12" s="123" customFormat="1">
      <c r="A124" s="165" t="s">
        <v>350</v>
      </c>
      <c r="B124" s="165">
        <v>2026510</v>
      </c>
      <c r="C124" s="166" t="s">
        <v>593</v>
      </c>
      <c r="D124" s="189"/>
      <c r="E124" s="159">
        <v>11073</v>
      </c>
      <c r="F124" s="159"/>
      <c r="G124" s="159">
        <v>11687</v>
      </c>
      <c r="H124" s="123" t="s">
        <v>197</v>
      </c>
      <c r="I124" s="123" t="s">
        <v>189</v>
      </c>
      <c r="J124" s="42"/>
    </row>
    <row r="125" spans="1:12" s="123" customFormat="1">
      <c r="A125" s="165" t="s">
        <v>350</v>
      </c>
      <c r="B125" s="165">
        <v>2043214</v>
      </c>
      <c r="C125" s="166" t="s">
        <v>593</v>
      </c>
      <c r="D125" s="189"/>
      <c r="E125" s="159">
        <v>11073</v>
      </c>
      <c r="F125" s="159"/>
      <c r="G125" s="159">
        <v>11841</v>
      </c>
      <c r="H125" s="123" t="s">
        <v>197</v>
      </c>
      <c r="I125" s="123" t="s">
        <v>411</v>
      </c>
      <c r="J125" s="207"/>
    </row>
    <row r="126" spans="1:12" s="123" customFormat="1">
      <c r="A126" s="165" t="s">
        <v>350</v>
      </c>
      <c r="B126" s="165">
        <v>2093154</v>
      </c>
      <c r="C126" s="166" t="s">
        <v>593</v>
      </c>
      <c r="D126" s="244"/>
      <c r="E126" s="159">
        <v>11089</v>
      </c>
      <c r="F126" s="159"/>
      <c r="G126" s="159">
        <v>12310</v>
      </c>
      <c r="H126" s="123" t="s">
        <v>197</v>
      </c>
      <c r="I126" s="123" t="s">
        <v>199</v>
      </c>
      <c r="J126" s="207"/>
    </row>
    <row r="127" spans="1:12" s="123" customFormat="1">
      <c r="A127" s="165" t="s">
        <v>350</v>
      </c>
      <c r="B127" s="165">
        <v>2143341</v>
      </c>
      <c r="C127" s="166" t="s">
        <v>593</v>
      </c>
      <c r="D127" s="42"/>
      <c r="E127" s="159">
        <v>11115</v>
      </c>
      <c r="F127" s="159"/>
      <c r="G127" s="159">
        <v>12793</v>
      </c>
      <c r="H127" s="123" t="s">
        <v>197</v>
      </c>
      <c r="I127" s="123" t="s">
        <v>304</v>
      </c>
      <c r="J127" s="207"/>
    </row>
    <row r="128" spans="1:12" s="123" customFormat="1">
      <c r="A128" s="165" t="s">
        <v>350</v>
      </c>
      <c r="B128" s="165">
        <v>1997473</v>
      </c>
      <c r="C128" s="166" t="s">
        <v>593</v>
      </c>
      <c r="D128" s="42"/>
      <c r="E128" s="159">
        <v>11155</v>
      </c>
      <c r="F128" s="159"/>
      <c r="G128" s="159">
        <v>11421</v>
      </c>
      <c r="H128" s="123" t="s">
        <v>197</v>
      </c>
      <c r="I128" s="123" t="s">
        <v>204</v>
      </c>
      <c r="J128" s="42"/>
    </row>
    <row r="129" spans="1:12" s="123" customFormat="1">
      <c r="A129" s="165" t="s">
        <v>350</v>
      </c>
      <c r="B129" s="165">
        <v>2005674</v>
      </c>
      <c r="C129" s="166" t="s">
        <v>593</v>
      </c>
      <c r="D129" s="189"/>
      <c r="E129" s="159">
        <v>11169</v>
      </c>
      <c r="F129" s="159"/>
      <c r="G129" s="159">
        <v>11491</v>
      </c>
      <c r="H129" s="123" t="s">
        <v>197</v>
      </c>
      <c r="I129" s="123" t="s">
        <v>792</v>
      </c>
      <c r="J129" s="207"/>
    </row>
    <row r="130" spans="1:12" s="123" customFormat="1">
      <c r="A130" s="165" t="s">
        <v>350</v>
      </c>
      <c r="B130" s="165">
        <v>2014100</v>
      </c>
      <c r="C130" s="166" t="s">
        <v>593</v>
      </c>
      <c r="D130" s="189"/>
      <c r="E130" s="159">
        <v>11185</v>
      </c>
      <c r="F130" s="159"/>
      <c r="G130" s="159">
        <v>11575</v>
      </c>
      <c r="H130" s="123" t="s">
        <v>197</v>
      </c>
      <c r="I130" s="123" t="s">
        <v>517</v>
      </c>
      <c r="J130" s="207"/>
    </row>
    <row r="131" spans="1:12" s="123" customFormat="1">
      <c r="A131" s="165" t="s">
        <v>350</v>
      </c>
      <c r="B131" s="165">
        <v>1999305</v>
      </c>
      <c r="C131" s="166" t="s">
        <v>593</v>
      </c>
      <c r="D131" s="42"/>
      <c r="E131" s="200">
        <v>11186</v>
      </c>
      <c r="F131" s="200"/>
      <c r="G131" s="200">
        <v>11442</v>
      </c>
      <c r="H131" s="207" t="s">
        <v>197</v>
      </c>
      <c r="I131" s="207" t="s">
        <v>185</v>
      </c>
      <c r="J131" s="42"/>
      <c r="L131" s="42"/>
    </row>
    <row r="132" spans="1:12" s="123" customFormat="1">
      <c r="A132" s="165" t="s">
        <v>350</v>
      </c>
      <c r="B132" s="165">
        <v>2079570</v>
      </c>
      <c r="C132" s="166" t="s">
        <v>593</v>
      </c>
      <c r="D132" s="244"/>
      <c r="E132" s="159">
        <v>11212</v>
      </c>
      <c r="F132" s="159"/>
      <c r="G132" s="159">
        <v>12177</v>
      </c>
      <c r="H132" s="123" t="s">
        <v>197</v>
      </c>
      <c r="I132" s="123" t="s">
        <v>194</v>
      </c>
      <c r="J132" s="42"/>
    </row>
    <row r="133" spans="1:12" s="123" customFormat="1">
      <c r="A133" s="165" t="s">
        <v>350</v>
      </c>
      <c r="B133" s="165">
        <v>2018627</v>
      </c>
      <c r="C133" s="166" t="s">
        <v>593</v>
      </c>
      <c r="D133" s="189"/>
      <c r="E133" s="159">
        <v>11219</v>
      </c>
      <c r="F133" s="159"/>
      <c r="G133" s="159">
        <v>11617</v>
      </c>
      <c r="H133" s="123" t="s">
        <v>197</v>
      </c>
      <c r="I133" s="123" t="s">
        <v>297</v>
      </c>
      <c r="J133" s="42"/>
    </row>
    <row r="134" spans="1:12" s="123" customFormat="1">
      <c r="A134" s="165" t="s">
        <v>350</v>
      </c>
      <c r="B134" s="165">
        <v>2025383</v>
      </c>
      <c r="C134" s="166" t="s">
        <v>593</v>
      </c>
      <c r="D134" s="189"/>
      <c r="E134" s="159">
        <v>11222</v>
      </c>
      <c r="F134" s="159"/>
      <c r="G134" s="159">
        <v>11680</v>
      </c>
      <c r="H134" s="123" t="s">
        <v>197</v>
      </c>
      <c r="I134" s="123" t="s">
        <v>298</v>
      </c>
      <c r="J134" s="42"/>
    </row>
    <row r="135" spans="1:12" s="123" customFormat="1">
      <c r="A135" s="165" t="s">
        <v>350</v>
      </c>
      <c r="B135" s="165">
        <v>2085334</v>
      </c>
      <c r="C135" s="166" t="s">
        <v>593</v>
      </c>
      <c r="D135" s="244"/>
      <c r="E135" s="159">
        <v>11344</v>
      </c>
      <c r="F135" s="159"/>
      <c r="G135" s="159">
        <v>12233</v>
      </c>
      <c r="H135" s="123" t="s">
        <v>197</v>
      </c>
      <c r="I135" s="123" t="s">
        <v>420</v>
      </c>
    </row>
    <row r="136" spans="1:12" s="123" customFormat="1">
      <c r="A136" s="165" t="s">
        <v>350</v>
      </c>
      <c r="B136" s="165">
        <v>2110668</v>
      </c>
      <c r="C136" s="166" t="s">
        <v>593</v>
      </c>
      <c r="D136" s="42"/>
      <c r="E136" s="159">
        <v>11352</v>
      </c>
      <c r="F136" s="159"/>
      <c r="G136" s="159">
        <v>12485</v>
      </c>
      <c r="H136" s="123" t="s">
        <v>197</v>
      </c>
      <c r="I136" s="123" t="s">
        <v>194</v>
      </c>
    </row>
    <row r="137" spans="1:12" s="123" customFormat="1">
      <c r="A137" s="165" t="s">
        <v>350</v>
      </c>
      <c r="B137" s="165">
        <v>2071111</v>
      </c>
      <c r="C137" s="166" t="s">
        <v>593</v>
      </c>
      <c r="D137" s="244"/>
      <c r="E137" s="159">
        <v>11354</v>
      </c>
      <c r="F137" s="159"/>
      <c r="G137" s="159">
        <v>12100</v>
      </c>
      <c r="H137" s="123" t="s">
        <v>197</v>
      </c>
      <c r="I137" s="123" t="s">
        <v>418</v>
      </c>
      <c r="J137" s="42"/>
    </row>
    <row r="138" spans="1:12" s="123" customFormat="1">
      <c r="A138" s="165" t="s">
        <v>350</v>
      </c>
      <c r="B138" s="165">
        <v>2059667</v>
      </c>
      <c r="C138" s="166" t="s">
        <v>593</v>
      </c>
      <c r="D138" s="244"/>
      <c r="E138" s="159">
        <v>11357</v>
      </c>
      <c r="F138" s="159"/>
      <c r="G138" s="159">
        <v>11995</v>
      </c>
      <c r="H138" s="207" t="s">
        <v>197</v>
      </c>
      <c r="I138" s="123" t="s">
        <v>410</v>
      </c>
      <c r="J138" s="42"/>
      <c r="L138" s="42"/>
    </row>
    <row r="139" spans="1:12" s="123" customFormat="1">
      <c r="A139" s="165" t="s">
        <v>350</v>
      </c>
      <c r="B139" s="165">
        <v>2028222</v>
      </c>
      <c r="C139" s="166" t="s">
        <v>593</v>
      </c>
      <c r="D139" s="189"/>
      <c r="E139" s="159">
        <v>11366</v>
      </c>
      <c r="F139" s="159"/>
      <c r="G139" s="159">
        <v>11708</v>
      </c>
      <c r="H139" s="123" t="s">
        <v>197</v>
      </c>
      <c r="I139" s="123" t="s">
        <v>200</v>
      </c>
      <c r="J139" s="42"/>
    </row>
    <row r="140" spans="1:12" s="123" customFormat="1">
      <c r="A140" s="165" t="s">
        <v>350</v>
      </c>
      <c r="B140" s="165">
        <v>2053225</v>
      </c>
      <c r="C140" s="166" t="s">
        <v>593</v>
      </c>
      <c r="D140" s="244"/>
      <c r="E140" s="159">
        <v>11390</v>
      </c>
      <c r="F140" s="159"/>
      <c r="G140" s="159">
        <v>11932</v>
      </c>
      <c r="H140" s="123" t="s">
        <v>197</v>
      </c>
      <c r="I140" s="123" t="s">
        <v>305</v>
      </c>
      <c r="J140" s="42"/>
    </row>
    <row r="141" spans="1:12" s="123" customFormat="1">
      <c r="A141" s="165" t="s">
        <v>350</v>
      </c>
      <c r="B141" s="165">
        <v>2068609</v>
      </c>
      <c r="C141" s="166" t="s">
        <v>593</v>
      </c>
      <c r="D141" s="244"/>
      <c r="E141" s="159">
        <v>11390</v>
      </c>
      <c r="F141" s="159"/>
      <c r="G141" s="159">
        <v>12072</v>
      </c>
      <c r="H141" s="123" t="s">
        <v>197</v>
      </c>
      <c r="I141" s="123" t="s">
        <v>198</v>
      </c>
      <c r="J141" s="42"/>
    </row>
    <row r="142" spans="1:12" s="123" customFormat="1">
      <c r="A142" s="165" t="s">
        <v>350</v>
      </c>
      <c r="B142" s="165">
        <v>2090599</v>
      </c>
      <c r="C142" s="166" t="s">
        <v>593</v>
      </c>
      <c r="D142" s="244"/>
      <c r="E142" s="159">
        <v>11390</v>
      </c>
      <c r="F142" s="159"/>
      <c r="G142" s="159">
        <v>12282</v>
      </c>
      <c r="H142" s="123" t="s">
        <v>197</v>
      </c>
      <c r="I142" s="123" t="s">
        <v>198</v>
      </c>
    </row>
    <row r="143" spans="1:12" s="123" customFormat="1">
      <c r="A143" s="165" t="s">
        <v>350</v>
      </c>
      <c r="B143" s="165">
        <v>2092619</v>
      </c>
      <c r="C143" s="166" t="s">
        <v>593</v>
      </c>
      <c r="D143" s="244"/>
      <c r="E143" s="159">
        <v>11395</v>
      </c>
      <c r="F143" s="159"/>
      <c r="G143" s="159">
        <v>12303</v>
      </c>
      <c r="H143" s="123" t="s">
        <v>197</v>
      </c>
      <c r="I143" s="123" t="s">
        <v>792</v>
      </c>
    </row>
    <row r="144" spans="1:12" s="123" customFormat="1">
      <c r="A144" s="165" t="s">
        <v>350</v>
      </c>
      <c r="B144" s="165">
        <v>2066781</v>
      </c>
      <c r="C144" s="166" t="s">
        <v>593</v>
      </c>
      <c r="D144" s="244"/>
      <c r="E144" s="159">
        <v>11401</v>
      </c>
      <c r="F144" s="159"/>
      <c r="G144" s="159">
        <v>12058</v>
      </c>
      <c r="H144" s="123" t="s">
        <v>197</v>
      </c>
      <c r="I144" s="123" t="s">
        <v>194</v>
      </c>
      <c r="J144" s="42"/>
    </row>
    <row r="145" spans="1:12" s="173" customFormat="1">
      <c r="A145" s="165" t="s">
        <v>350</v>
      </c>
      <c r="B145" s="165">
        <v>2161240</v>
      </c>
      <c r="C145" s="166" t="s">
        <v>593</v>
      </c>
      <c r="D145" s="42"/>
      <c r="E145" s="200">
        <v>11409</v>
      </c>
      <c r="F145" s="200"/>
      <c r="G145" s="200">
        <v>12940</v>
      </c>
      <c r="H145" s="207" t="s">
        <v>197</v>
      </c>
      <c r="I145" s="207" t="s">
        <v>304</v>
      </c>
      <c r="J145" s="207"/>
      <c r="K145" s="207"/>
      <c r="L145" s="198" t="s">
        <v>561</v>
      </c>
    </row>
    <row r="146" spans="1:12" s="123" customFormat="1">
      <c r="A146" s="165" t="s">
        <v>350</v>
      </c>
      <c r="B146" s="165">
        <v>2049385</v>
      </c>
      <c r="C146" s="166" t="s">
        <v>593</v>
      </c>
      <c r="D146" s="244"/>
      <c r="E146" s="159">
        <v>11411</v>
      </c>
      <c r="F146" s="159"/>
      <c r="G146" s="159">
        <v>11897</v>
      </c>
      <c r="H146" s="123" t="s">
        <v>197</v>
      </c>
      <c r="I146" s="123" t="s">
        <v>200</v>
      </c>
    </row>
    <row r="147" spans="1:12" s="123" customFormat="1">
      <c r="A147" s="165" t="s">
        <v>350</v>
      </c>
      <c r="B147" s="165">
        <v>2132200</v>
      </c>
      <c r="C147" s="166" t="s">
        <v>593</v>
      </c>
      <c r="D147" s="42"/>
      <c r="E147" s="159">
        <v>11411</v>
      </c>
      <c r="F147" s="159"/>
      <c r="G147" s="159">
        <v>12695</v>
      </c>
      <c r="H147" s="123" t="s">
        <v>197</v>
      </c>
      <c r="I147" s="123" t="s">
        <v>681</v>
      </c>
    </row>
    <row r="148" spans="1:12" s="123" customFormat="1">
      <c r="A148" s="165" t="s">
        <v>350</v>
      </c>
      <c r="B148" s="165">
        <v>2099933</v>
      </c>
      <c r="C148" s="166" t="s">
        <v>593</v>
      </c>
      <c r="D148" s="244"/>
      <c r="E148" s="159">
        <v>11418</v>
      </c>
      <c r="F148" s="159"/>
      <c r="G148" s="159">
        <v>12380</v>
      </c>
      <c r="H148" s="123" t="s">
        <v>197</v>
      </c>
      <c r="I148" s="123" t="s">
        <v>417</v>
      </c>
    </row>
    <row r="149" spans="1:12" s="123" customFormat="1">
      <c r="A149" s="165" t="s">
        <v>350</v>
      </c>
      <c r="B149" s="165">
        <v>2080353</v>
      </c>
      <c r="C149" s="166" t="s">
        <v>593</v>
      </c>
      <c r="D149" s="244"/>
      <c r="E149" s="159">
        <v>11444</v>
      </c>
      <c r="F149" s="159"/>
      <c r="G149" s="159">
        <v>12184</v>
      </c>
      <c r="H149" s="123" t="s">
        <v>197</v>
      </c>
      <c r="I149" s="123" t="s">
        <v>419</v>
      </c>
      <c r="J149" s="42"/>
    </row>
    <row r="150" spans="1:12" s="123" customFormat="1">
      <c r="A150" s="165" t="s">
        <v>350</v>
      </c>
      <c r="B150" s="165">
        <v>2181836</v>
      </c>
      <c r="C150" s="166" t="s">
        <v>593</v>
      </c>
      <c r="D150" s="195"/>
      <c r="E150" s="161">
        <v>11451</v>
      </c>
      <c r="F150" s="161"/>
      <c r="G150" s="196">
        <v>13115</v>
      </c>
      <c r="H150" s="195" t="s">
        <v>184</v>
      </c>
      <c r="I150" s="195" t="s">
        <v>185</v>
      </c>
      <c r="J150" s="195"/>
      <c r="K150" s="195"/>
    </row>
    <row r="151" spans="1:12" s="123" customFormat="1">
      <c r="A151" s="165" t="s">
        <v>350</v>
      </c>
      <c r="B151" s="165">
        <v>2204322</v>
      </c>
      <c r="C151" s="166" t="s">
        <v>593</v>
      </c>
      <c r="D151" s="42" t="s">
        <v>262</v>
      </c>
      <c r="E151" s="159">
        <v>11451</v>
      </c>
      <c r="F151" s="159">
        <v>11646</v>
      </c>
      <c r="G151" s="159">
        <v>13311</v>
      </c>
      <c r="H151" s="123" t="s">
        <v>197</v>
      </c>
      <c r="I151" s="123" t="s">
        <v>185</v>
      </c>
    </row>
    <row r="152" spans="1:12" s="123" customFormat="1">
      <c r="A152" s="165" t="s">
        <v>350</v>
      </c>
      <c r="B152" s="165">
        <v>2063000</v>
      </c>
      <c r="C152" s="166" t="s">
        <v>593</v>
      </c>
      <c r="D152" s="244"/>
      <c r="E152" s="159">
        <v>11463</v>
      </c>
      <c r="F152" s="159"/>
      <c r="G152" s="159">
        <v>12023</v>
      </c>
      <c r="H152" s="123" t="s">
        <v>197</v>
      </c>
      <c r="I152" s="123" t="s">
        <v>198</v>
      </c>
      <c r="J152" s="42"/>
    </row>
    <row r="153" spans="1:12" s="123" customFormat="1">
      <c r="A153" s="165" t="s">
        <v>350</v>
      </c>
      <c r="B153" s="165">
        <v>2111495</v>
      </c>
      <c r="C153" s="166" t="s">
        <v>593</v>
      </c>
      <c r="D153" s="42"/>
      <c r="E153" s="159">
        <v>11463</v>
      </c>
      <c r="F153" s="159"/>
      <c r="G153" s="159">
        <v>12492</v>
      </c>
      <c r="H153" s="207" t="s">
        <v>197</v>
      </c>
      <c r="I153" s="123" t="s">
        <v>411</v>
      </c>
    </row>
    <row r="154" spans="1:12" s="123" customFormat="1">
      <c r="A154" s="165" t="s">
        <v>350</v>
      </c>
      <c r="B154" s="165">
        <v>2037750</v>
      </c>
      <c r="C154" s="166" t="s">
        <v>593</v>
      </c>
      <c r="D154" s="189"/>
      <c r="E154" s="159">
        <v>11465</v>
      </c>
      <c r="F154" s="159"/>
      <c r="G154" s="159">
        <v>11799</v>
      </c>
      <c r="H154" s="123" t="s">
        <v>197</v>
      </c>
      <c r="I154" s="123" t="s">
        <v>193</v>
      </c>
      <c r="J154" s="42"/>
    </row>
    <row r="155" spans="1:12" s="160" customFormat="1">
      <c r="A155" s="165" t="s">
        <v>350</v>
      </c>
      <c r="B155" s="165">
        <v>2109140</v>
      </c>
      <c r="C155" s="166" t="s">
        <v>593</v>
      </c>
      <c r="D155" s="244"/>
      <c r="E155" s="200">
        <v>11470</v>
      </c>
      <c r="F155" s="200"/>
      <c r="G155" s="200">
        <v>12471</v>
      </c>
      <c r="H155" s="207" t="s">
        <v>197</v>
      </c>
      <c r="I155" s="207" t="s">
        <v>562</v>
      </c>
      <c r="J155" s="207"/>
      <c r="K155" s="207"/>
    </row>
    <row r="156" spans="1:12" s="123" customFormat="1">
      <c r="A156" s="165" t="s">
        <v>350</v>
      </c>
      <c r="B156" s="165">
        <v>2107253</v>
      </c>
      <c r="C156" s="166" t="s">
        <v>593</v>
      </c>
      <c r="D156" s="244"/>
      <c r="E156" s="159">
        <v>11471</v>
      </c>
      <c r="F156" s="159"/>
      <c r="G156" s="159">
        <v>12450</v>
      </c>
      <c r="H156" s="123" t="s">
        <v>197</v>
      </c>
      <c r="I156" s="123" t="s">
        <v>298</v>
      </c>
    </row>
    <row r="157" spans="1:12" s="123" customFormat="1">
      <c r="A157" s="165" t="s">
        <v>350</v>
      </c>
      <c r="B157" s="165">
        <v>2121739</v>
      </c>
      <c r="C157" s="166" t="s">
        <v>593</v>
      </c>
      <c r="D157" s="42"/>
      <c r="E157" s="159">
        <v>11530</v>
      </c>
      <c r="F157" s="159"/>
      <c r="G157" s="159">
        <v>12590</v>
      </c>
      <c r="H157" s="123" t="s">
        <v>197</v>
      </c>
      <c r="I157" s="123" t="s">
        <v>194</v>
      </c>
    </row>
    <row r="158" spans="1:12" s="123" customFormat="1">
      <c r="A158" s="165" t="s">
        <v>350</v>
      </c>
      <c r="B158" s="165">
        <v>2108404</v>
      </c>
      <c r="C158" s="166" t="s">
        <v>593</v>
      </c>
      <c r="D158" s="244"/>
      <c r="E158" s="159">
        <v>11604</v>
      </c>
      <c r="F158" s="159"/>
      <c r="G158" s="159">
        <v>12464</v>
      </c>
      <c r="H158" s="123" t="s">
        <v>197</v>
      </c>
      <c r="I158" s="123" t="s">
        <v>417</v>
      </c>
    </row>
    <row r="159" spans="1:12" s="123" customFormat="1">
      <c r="A159" s="165" t="s">
        <v>350</v>
      </c>
      <c r="B159" s="165">
        <v>2093914</v>
      </c>
      <c r="C159" s="166" t="s">
        <v>593</v>
      </c>
      <c r="D159" s="244"/>
      <c r="E159" s="159">
        <v>11619</v>
      </c>
      <c r="F159" s="159"/>
      <c r="G159" s="159">
        <v>12317</v>
      </c>
      <c r="H159" s="123" t="s">
        <v>197</v>
      </c>
      <c r="I159" s="123" t="s">
        <v>417</v>
      </c>
    </row>
    <row r="160" spans="1:12" s="123" customFormat="1">
      <c r="A160" s="165" t="s">
        <v>350</v>
      </c>
      <c r="B160" s="165">
        <v>2054422</v>
      </c>
      <c r="C160" s="166" t="s">
        <v>593</v>
      </c>
      <c r="D160" s="244"/>
      <c r="E160" s="159">
        <v>11660</v>
      </c>
      <c r="F160" s="159"/>
      <c r="G160" s="159">
        <v>11946</v>
      </c>
      <c r="H160" s="123" t="s">
        <v>197</v>
      </c>
      <c r="I160" s="123" t="s">
        <v>417</v>
      </c>
      <c r="J160" s="42"/>
    </row>
    <row r="161" spans="1:11" s="123" customFormat="1">
      <c r="A161" s="165" t="s">
        <v>350</v>
      </c>
      <c r="B161" s="165">
        <v>2198559</v>
      </c>
      <c r="C161" s="166" t="s">
        <v>593</v>
      </c>
      <c r="D161" s="42"/>
      <c r="E161" s="159">
        <v>11747</v>
      </c>
      <c r="F161" s="159"/>
      <c r="G161" s="159">
        <v>13262</v>
      </c>
      <c r="H161" s="123" t="s">
        <v>197</v>
      </c>
      <c r="I161" s="123" t="s">
        <v>151</v>
      </c>
    </row>
    <row r="162" spans="1:11" s="123" customFormat="1">
      <c r="A162" s="165" t="s">
        <v>350</v>
      </c>
      <c r="B162" s="165">
        <v>2122144</v>
      </c>
      <c r="C162" s="166" t="s">
        <v>593</v>
      </c>
      <c r="D162" s="42"/>
      <c r="E162" s="159">
        <v>11792</v>
      </c>
      <c r="F162" s="159"/>
      <c r="G162" s="159">
        <v>12597</v>
      </c>
      <c r="H162" s="123" t="s">
        <v>197</v>
      </c>
      <c r="I162" s="123" t="s">
        <v>194</v>
      </c>
    </row>
    <row r="163" spans="1:11" s="123" customFormat="1">
      <c r="A163" s="165" t="s">
        <v>350</v>
      </c>
      <c r="B163" s="165">
        <v>2116478</v>
      </c>
      <c r="C163" s="166" t="s">
        <v>593</v>
      </c>
      <c r="D163" s="42"/>
      <c r="E163" s="159">
        <v>11886</v>
      </c>
      <c r="F163" s="159"/>
      <c r="G163" s="159">
        <v>12541</v>
      </c>
      <c r="H163" s="123" t="s">
        <v>197</v>
      </c>
      <c r="I163" s="123" t="s">
        <v>564</v>
      </c>
    </row>
    <row r="164" spans="1:11" s="123" customFormat="1">
      <c r="A164" s="165" t="s">
        <v>350</v>
      </c>
      <c r="B164" s="165">
        <v>2246246</v>
      </c>
      <c r="C164" s="166" t="s">
        <v>593</v>
      </c>
      <c r="D164" s="195"/>
      <c r="E164" s="196">
        <v>11912</v>
      </c>
      <c r="F164" s="196"/>
      <c r="G164" s="196">
        <v>13682</v>
      </c>
      <c r="H164" s="195" t="s">
        <v>387</v>
      </c>
      <c r="I164" s="195" t="s">
        <v>792</v>
      </c>
      <c r="J164" s="195"/>
      <c r="K164" s="195"/>
    </row>
    <row r="165" spans="1:11" s="123" customFormat="1">
      <c r="A165" s="165" t="s">
        <v>350</v>
      </c>
      <c r="B165" s="165">
        <v>2140472</v>
      </c>
      <c r="C165" s="166" t="s">
        <v>593</v>
      </c>
      <c r="D165" s="42"/>
      <c r="E165" s="159">
        <v>11914</v>
      </c>
      <c r="F165" s="159"/>
      <c r="G165" s="159">
        <v>12765</v>
      </c>
      <c r="H165" s="123" t="s">
        <v>197</v>
      </c>
      <c r="I165" s="123" t="s">
        <v>792</v>
      </c>
    </row>
    <row r="166" spans="1:11" s="123" customFormat="1">
      <c r="A166" s="165" t="s">
        <v>350</v>
      </c>
      <c r="B166" s="165">
        <v>2099652</v>
      </c>
      <c r="C166" s="166" t="s">
        <v>593</v>
      </c>
      <c r="D166" s="244"/>
      <c r="E166" s="159">
        <v>11943</v>
      </c>
      <c r="F166" s="159"/>
      <c r="G166" s="159">
        <v>12373</v>
      </c>
      <c r="H166" s="123" t="s">
        <v>197</v>
      </c>
      <c r="I166" s="123" t="s">
        <v>417</v>
      </c>
    </row>
    <row r="167" spans="1:11" s="123" customFormat="1">
      <c r="A167" s="165" t="s">
        <v>350</v>
      </c>
      <c r="B167" s="165">
        <v>2161742</v>
      </c>
      <c r="C167" s="166" t="s">
        <v>593</v>
      </c>
      <c r="D167" s="42"/>
      <c r="E167" s="159">
        <v>11957</v>
      </c>
      <c r="F167" s="159"/>
      <c r="G167" s="159">
        <v>12940</v>
      </c>
      <c r="H167" s="123" t="s">
        <v>197</v>
      </c>
      <c r="I167" s="123" t="s">
        <v>792</v>
      </c>
    </row>
    <row r="168" spans="1:11" s="123" customFormat="1">
      <c r="A168" s="165" t="s">
        <v>350</v>
      </c>
      <c r="B168" s="165">
        <v>2122098</v>
      </c>
      <c r="C168" s="166" t="s">
        <v>593</v>
      </c>
      <c r="D168" s="42"/>
      <c r="E168" s="159">
        <v>11984</v>
      </c>
      <c r="F168" s="159"/>
      <c r="G168" s="159">
        <v>12597</v>
      </c>
      <c r="H168" s="123" t="s">
        <v>197</v>
      </c>
      <c r="I168" s="123" t="s">
        <v>194</v>
      </c>
    </row>
    <row r="169" spans="1:11" s="123" customFormat="1">
      <c r="A169" s="165" t="s">
        <v>350</v>
      </c>
      <c r="B169" s="165">
        <v>2166548</v>
      </c>
      <c r="C169" s="166" t="s">
        <v>593</v>
      </c>
      <c r="D169" s="42"/>
      <c r="E169" s="159">
        <v>11989</v>
      </c>
      <c r="F169" s="159"/>
      <c r="G169" s="159">
        <v>12982</v>
      </c>
      <c r="H169" s="123" t="s">
        <v>197</v>
      </c>
      <c r="I169" s="123" t="s">
        <v>194</v>
      </c>
    </row>
    <row r="170" spans="1:11" s="123" customFormat="1">
      <c r="A170" s="165" t="s">
        <v>350</v>
      </c>
      <c r="B170" s="165">
        <v>2105444</v>
      </c>
      <c r="C170" s="166" t="s">
        <v>593</v>
      </c>
      <c r="D170" s="244"/>
      <c r="E170" s="159">
        <v>11996</v>
      </c>
      <c r="F170" s="159"/>
      <c r="G170" s="159">
        <v>12429</v>
      </c>
      <c r="H170" s="207" t="s">
        <v>197</v>
      </c>
      <c r="I170" s="123" t="s">
        <v>411</v>
      </c>
      <c r="K170" s="207"/>
    </row>
    <row r="171" spans="1:11" s="123" customFormat="1">
      <c r="A171" s="165" t="s">
        <v>350</v>
      </c>
      <c r="B171" s="165">
        <v>2165527</v>
      </c>
      <c r="C171" s="166" t="s">
        <v>593</v>
      </c>
      <c r="D171" s="42"/>
      <c r="E171" s="159">
        <v>11998</v>
      </c>
      <c r="F171" s="159"/>
      <c r="G171" s="159">
        <v>12975</v>
      </c>
      <c r="H171" s="123" t="s">
        <v>197</v>
      </c>
      <c r="I171" s="123" t="s">
        <v>193</v>
      </c>
    </row>
    <row r="172" spans="1:11" s="123" customFormat="1">
      <c r="A172" s="165" t="s">
        <v>350</v>
      </c>
      <c r="B172" s="165">
        <v>2112610</v>
      </c>
      <c r="C172" s="166" t="s">
        <v>593</v>
      </c>
      <c r="D172" s="42"/>
      <c r="E172" s="159">
        <v>12016</v>
      </c>
      <c r="F172" s="159"/>
      <c r="G172" s="159">
        <v>12506</v>
      </c>
      <c r="H172" s="167"/>
      <c r="I172" s="123" t="s">
        <v>563</v>
      </c>
    </row>
    <row r="173" spans="1:11" s="160" customFormat="1">
      <c r="A173" s="165" t="s">
        <v>350</v>
      </c>
      <c r="B173" s="165">
        <v>2169979</v>
      </c>
      <c r="C173" s="166" t="s">
        <v>593</v>
      </c>
      <c r="D173" s="42"/>
      <c r="E173" s="200">
        <v>12033</v>
      </c>
      <c r="F173" s="200"/>
      <c r="G173" s="200">
        <v>13010</v>
      </c>
      <c r="H173" s="207" t="s">
        <v>197</v>
      </c>
      <c r="I173" s="207" t="s">
        <v>198</v>
      </c>
      <c r="J173" s="207"/>
      <c r="K173" s="207"/>
    </row>
    <row r="174" spans="1:11" s="123" customFormat="1">
      <c r="A174" s="165" t="s">
        <v>350</v>
      </c>
      <c r="B174" s="165">
        <v>2162107</v>
      </c>
      <c r="C174" s="166" t="s">
        <v>593</v>
      </c>
      <c r="D174" s="42"/>
      <c r="E174" s="159">
        <v>12038</v>
      </c>
      <c r="F174" s="159"/>
      <c r="G174" s="159">
        <v>12947</v>
      </c>
      <c r="H174" s="167"/>
      <c r="I174" s="123" t="s">
        <v>567</v>
      </c>
      <c r="J174" s="123" t="s">
        <v>683</v>
      </c>
      <c r="K174" s="46">
        <v>11979</v>
      </c>
    </row>
    <row r="175" spans="1:11" s="123" customFormat="1">
      <c r="A175" s="165" t="s">
        <v>350</v>
      </c>
      <c r="B175" s="165">
        <v>2102562</v>
      </c>
      <c r="C175" s="166" t="s">
        <v>593</v>
      </c>
      <c r="D175" s="244"/>
      <c r="E175" s="159">
        <v>12039</v>
      </c>
      <c r="F175" s="159"/>
      <c r="G175" s="159">
        <v>12401</v>
      </c>
      <c r="H175" s="123" t="s">
        <v>197</v>
      </c>
      <c r="I175" s="123" t="s">
        <v>199</v>
      </c>
    </row>
    <row r="176" spans="1:11" s="123" customFormat="1">
      <c r="A176" s="165" t="s">
        <v>350</v>
      </c>
      <c r="B176" s="165">
        <v>2145023</v>
      </c>
      <c r="C176" s="166" t="s">
        <v>593</v>
      </c>
      <c r="D176" s="42"/>
      <c r="E176" s="159">
        <v>12102</v>
      </c>
      <c r="F176" s="159"/>
      <c r="G176" s="159">
        <v>12807</v>
      </c>
      <c r="H176" s="123" t="s">
        <v>197</v>
      </c>
      <c r="I176" s="123" t="s">
        <v>517</v>
      </c>
    </row>
    <row r="177" spans="1:11" s="123" customFormat="1">
      <c r="A177" s="165" t="s">
        <v>350</v>
      </c>
      <c r="B177" s="165">
        <v>2127449</v>
      </c>
      <c r="C177" s="166" t="s">
        <v>593</v>
      </c>
      <c r="D177" s="42"/>
      <c r="E177" s="159">
        <v>12108</v>
      </c>
      <c r="F177" s="159"/>
      <c r="G177" s="159">
        <v>12646</v>
      </c>
      <c r="H177" s="123" t="s">
        <v>197</v>
      </c>
      <c r="I177" s="123" t="s">
        <v>198</v>
      </c>
    </row>
    <row r="178" spans="1:11" s="123" customFormat="1">
      <c r="A178" s="165" t="s">
        <v>350</v>
      </c>
      <c r="B178" s="165">
        <v>2189650</v>
      </c>
      <c r="C178" s="166" t="s">
        <v>593</v>
      </c>
      <c r="D178" s="42"/>
      <c r="E178" s="159">
        <v>12134</v>
      </c>
      <c r="F178" s="159" t="s">
        <v>150</v>
      </c>
      <c r="G178" s="159">
        <v>13185</v>
      </c>
      <c r="H178" s="123" t="s">
        <v>197</v>
      </c>
      <c r="I178" s="123" t="s">
        <v>790</v>
      </c>
    </row>
    <row r="179" spans="1:11" s="123" customFormat="1">
      <c r="A179" s="165" t="s">
        <v>350</v>
      </c>
      <c r="B179" s="165">
        <v>2178319</v>
      </c>
      <c r="C179" s="166" t="s">
        <v>593</v>
      </c>
      <c r="D179" s="195"/>
      <c r="E179" s="161">
        <v>12145</v>
      </c>
      <c r="F179" s="161"/>
      <c r="G179" s="196">
        <v>13087</v>
      </c>
      <c r="H179" s="195" t="s">
        <v>387</v>
      </c>
      <c r="I179" s="195" t="s">
        <v>517</v>
      </c>
      <c r="J179" s="195"/>
      <c r="K179" s="195"/>
    </row>
    <row r="180" spans="1:11" s="123" customFormat="1">
      <c r="A180" s="165" t="s">
        <v>350</v>
      </c>
      <c r="B180" s="165">
        <v>2207998</v>
      </c>
      <c r="C180" s="166" t="s">
        <v>593</v>
      </c>
      <c r="D180" s="42"/>
      <c r="E180" s="159">
        <v>12145</v>
      </c>
      <c r="F180" s="159"/>
      <c r="G180" s="159">
        <v>13346</v>
      </c>
      <c r="H180" s="123" t="s">
        <v>197</v>
      </c>
      <c r="I180" s="123" t="s">
        <v>264</v>
      </c>
    </row>
    <row r="181" spans="1:11" s="160" customFormat="1">
      <c r="A181" s="165" t="s">
        <v>350</v>
      </c>
      <c r="B181" s="165">
        <v>2185844</v>
      </c>
      <c r="C181" s="166" t="s">
        <v>593</v>
      </c>
      <c r="D181" s="42"/>
      <c r="E181" s="200">
        <v>12151</v>
      </c>
      <c r="F181" s="200"/>
      <c r="G181" s="200">
        <v>13150</v>
      </c>
      <c r="H181" s="207" t="s">
        <v>197</v>
      </c>
      <c r="I181" s="207" t="s">
        <v>149</v>
      </c>
      <c r="J181" s="207"/>
      <c r="K181" s="207"/>
    </row>
    <row r="182" spans="1:11" s="160" customFormat="1">
      <c r="A182" s="165" t="s">
        <v>350</v>
      </c>
      <c r="B182" s="165">
        <v>2143485</v>
      </c>
      <c r="C182" s="166" t="s">
        <v>593</v>
      </c>
      <c r="D182" s="42"/>
      <c r="E182" s="200">
        <v>12197</v>
      </c>
      <c r="F182" s="200"/>
      <c r="G182" s="200">
        <v>12793</v>
      </c>
      <c r="H182" s="207" t="s">
        <v>197</v>
      </c>
      <c r="I182" s="207" t="s">
        <v>194</v>
      </c>
      <c r="J182" s="207"/>
      <c r="K182" s="207"/>
    </row>
    <row r="183" spans="1:11" s="123" customFormat="1">
      <c r="A183" s="165" t="s">
        <v>350</v>
      </c>
      <c r="B183" s="165">
        <v>2168884</v>
      </c>
      <c r="C183" s="166" t="s">
        <v>593</v>
      </c>
      <c r="D183" s="42"/>
      <c r="E183" s="159">
        <v>12255</v>
      </c>
      <c r="F183" s="159"/>
      <c r="G183" s="159">
        <v>13003</v>
      </c>
      <c r="H183" s="123" t="s">
        <v>197</v>
      </c>
      <c r="I183" s="123" t="s">
        <v>198</v>
      </c>
    </row>
    <row r="184" spans="1:11" s="123" customFormat="1">
      <c r="A184" s="165" t="s">
        <v>350</v>
      </c>
      <c r="B184" s="165">
        <v>2177615</v>
      </c>
      <c r="C184" s="166" t="s">
        <v>593</v>
      </c>
      <c r="D184" s="42"/>
      <c r="E184" s="159">
        <v>12262</v>
      </c>
      <c r="F184" s="159"/>
      <c r="G184" s="159">
        <v>13080</v>
      </c>
      <c r="H184" s="123" t="s">
        <v>197</v>
      </c>
      <c r="I184" s="123" t="s">
        <v>193</v>
      </c>
    </row>
    <row r="185" spans="1:11" s="123" customFormat="1">
      <c r="A185" s="165" t="s">
        <v>350</v>
      </c>
      <c r="B185" s="165">
        <v>2175989</v>
      </c>
      <c r="C185" s="166" t="s">
        <v>593</v>
      </c>
      <c r="D185" s="42"/>
      <c r="E185" s="159">
        <v>12277</v>
      </c>
      <c r="F185" s="159"/>
      <c r="G185" s="159">
        <v>13066</v>
      </c>
      <c r="H185" s="123" t="s">
        <v>197</v>
      </c>
      <c r="I185" s="123" t="s">
        <v>792</v>
      </c>
    </row>
    <row r="186" spans="1:11" s="123" customFormat="1">
      <c r="A186" s="165" t="s">
        <v>350</v>
      </c>
      <c r="B186" s="165">
        <v>2167930</v>
      </c>
      <c r="C186" s="166" t="s">
        <v>593</v>
      </c>
      <c r="D186" s="42"/>
      <c r="E186" s="159">
        <v>12278</v>
      </c>
      <c r="F186" s="159"/>
      <c r="G186" s="159">
        <v>12996</v>
      </c>
      <c r="H186" s="123" t="s">
        <v>197</v>
      </c>
      <c r="I186" s="123" t="s">
        <v>200</v>
      </c>
    </row>
    <row r="187" spans="1:11" s="123" customFormat="1">
      <c r="A187" s="165" t="s">
        <v>350</v>
      </c>
      <c r="B187" s="165">
        <v>2214936</v>
      </c>
      <c r="C187" s="166" t="s">
        <v>593</v>
      </c>
      <c r="D187" s="42"/>
      <c r="E187" s="159">
        <v>12278</v>
      </c>
      <c r="F187" s="159"/>
      <c r="G187" s="159">
        <v>13409</v>
      </c>
      <c r="H187" s="123" t="s">
        <v>197</v>
      </c>
      <c r="I187" s="123" t="s">
        <v>155</v>
      </c>
    </row>
    <row r="188" spans="1:11" s="123" customFormat="1">
      <c r="A188" s="165" t="s">
        <v>350</v>
      </c>
      <c r="B188" s="165">
        <v>2273372</v>
      </c>
      <c r="C188" s="166" t="s">
        <v>593</v>
      </c>
      <c r="D188" s="42"/>
      <c r="E188" s="159">
        <v>12298</v>
      </c>
      <c r="F188" s="159"/>
      <c r="G188" s="159">
        <v>13927</v>
      </c>
      <c r="H188" s="123" t="s">
        <v>197</v>
      </c>
      <c r="I188" s="123" t="s">
        <v>154</v>
      </c>
    </row>
    <row r="189" spans="1:11" s="123" customFormat="1">
      <c r="A189" s="165" t="s">
        <v>350</v>
      </c>
      <c r="B189" s="165">
        <v>2295782</v>
      </c>
      <c r="C189" s="166" t="s">
        <v>593</v>
      </c>
      <c r="D189" s="42"/>
      <c r="E189" s="159">
        <v>12334</v>
      </c>
      <c r="F189" s="159"/>
      <c r="G189" s="159">
        <v>14137</v>
      </c>
      <c r="H189" s="123" t="s">
        <v>197</v>
      </c>
      <c r="I189" s="123" t="s">
        <v>792</v>
      </c>
    </row>
    <row r="190" spans="1:11" s="123" customFormat="1">
      <c r="A190" s="165" t="s">
        <v>350</v>
      </c>
      <c r="B190" s="165">
        <v>2169836</v>
      </c>
      <c r="C190" s="166" t="s">
        <v>593</v>
      </c>
      <c r="D190" s="42"/>
      <c r="E190" s="159">
        <v>12337</v>
      </c>
      <c r="F190" s="159"/>
      <c r="G190" s="159">
        <v>13010</v>
      </c>
      <c r="H190" s="123" t="s">
        <v>684</v>
      </c>
      <c r="I190" s="123" t="s">
        <v>432</v>
      </c>
    </row>
    <row r="191" spans="1:11" s="123" customFormat="1">
      <c r="A191" s="165" t="s">
        <v>350</v>
      </c>
      <c r="B191" s="165">
        <v>2266395</v>
      </c>
      <c r="C191" s="166" t="s">
        <v>593</v>
      </c>
      <c r="D191" s="42"/>
      <c r="E191" s="159">
        <v>12393</v>
      </c>
      <c r="F191" s="159"/>
      <c r="G191" s="159">
        <v>13864</v>
      </c>
      <c r="H191" s="123" t="s">
        <v>197</v>
      </c>
      <c r="I191" s="123" t="s">
        <v>790</v>
      </c>
    </row>
    <row r="192" spans="1:11" s="123" customFormat="1">
      <c r="A192" s="165" t="s">
        <v>350</v>
      </c>
      <c r="B192" s="165">
        <v>2214383</v>
      </c>
      <c r="C192" s="166" t="s">
        <v>593</v>
      </c>
      <c r="D192" s="42"/>
      <c r="E192" s="159">
        <v>12402</v>
      </c>
      <c r="F192" s="159"/>
      <c r="G192" s="159">
        <v>13402</v>
      </c>
      <c r="H192" s="123" t="s">
        <v>197</v>
      </c>
      <c r="I192" s="123" t="s">
        <v>198</v>
      </c>
    </row>
    <row r="193" spans="1:12" s="123" customFormat="1">
      <c r="A193" s="165" t="s">
        <v>350</v>
      </c>
      <c r="B193" s="165">
        <v>2266513</v>
      </c>
      <c r="C193" s="166" t="s">
        <v>593</v>
      </c>
      <c r="D193" s="42"/>
      <c r="E193" s="159">
        <v>12404</v>
      </c>
      <c r="F193" s="159"/>
      <c r="G193" s="159">
        <v>13864</v>
      </c>
      <c r="H193" s="123" t="s">
        <v>197</v>
      </c>
      <c r="I193" s="123" t="s">
        <v>198</v>
      </c>
    </row>
    <row r="194" spans="1:12" s="123" customFormat="1">
      <c r="A194" s="165" t="s">
        <v>350</v>
      </c>
      <c r="B194" s="165">
        <v>2258421</v>
      </c>
      <c r="C194" s="166" t="s">
        <v>593</v>
      </c>
      <c r="D194" s="42"/>
      <c r="E194" s="159">
        <v>12411</v>
      </c>
      <c r="F194" s="159"/>
      <c r="G194" s="159">
        <v>13794</v>
      </c>
      <c r="H194" s="123" t="s">
        <v>197</v>
      </c>
      <c r="I194" s="123" t="s">
        <v>198</v>
      </c>
    </row>
    <row r="195" spans="1:12" s="123" customFormat="1">
      <c r="A195" s="165" t="s">
        <v>350</v>
      </c>
      <c r="B195" s="165">
        <v>2125831</v>
      </c>
      <c r="C195" s="166" t="s">
        <v>593</v>
      </c>
      <c r="D195" s="42"/>
      <c r="E195" s="159">
        <v>12416</v>
      </c>
      <c r="F195" s="159"/>
      <c r="G195" s="159">
        <v>12632</v>
      </c>
      <c r="H195" s="123" t="s">
        <v>197</v>
      </c>
      <c r="I195" s="123" t="s">
        <v>517</v>
      </c>
    </row>
    <row r="196" spans="1:12" s="123" customFormat="1">
      <c r="A196" s="165" t="s">
        <v>350</v>
      </c>
      <c r="B196" s="165">
        <v>2223252</v>
      </c>
      <c r="C196" s="166" t="s">
        <v>593</v>
      </c>
      <c r="D196" s="195"/>
      <c r="E196" s="196">
        <v>12424</v>
      </c>
      <c r="F196" s="196"/>
      <c r="G196" s="196">
        <v>13479</v>
      </c>
      <c r="H196" s="195" t="s">
        <v>387</v>
      </c>
      <c r="I196" s="195" t="s">
        <v>186</v>
      </c>
      <c r="J196" s="195"/>
      <c r="K196" s="195"/>
    </row>
    <row r="197" spans="1:12" s="123" customFormat="1">
      <c r="A197" s="165" t="s">
        <v>350</v>
      </c>
      <c r="B197" s="165">
        <v>2259974</v>
      </c>
      <c r="C197" s="166" t="s">
        <v>593</v>
      </c>
      <c r="D197" s="195" t="s">
        <v>187</v>
      </c>
      <c r="E197" s="196">
        <v>12424</v>
      </c>
      <c r="F197" s="196">
        <v>13401</v>
      </c>
      <c r="G197" s="196">
        <v>13808</v>
      </c>
      <c r="H197" s="195" t="s">
        <v>387</v>
      </c>
      <c r="I197" s="195" t="s">
        <v>186</v>
      </c>
      <c r="J197" s="195"/>
      <c r="K197" s="195"/>
    </row>
    <row r="198" spans="1:12" s="123" customFormat="1">
      <c r="A198" s="165" t="s">
        <v>350</v>
      </c>
      <c r="B198" s="165">
        <v>2201092</v>
      </c>
      <c r="C198" s="166" t="s">
        <v>593</v>
      </c>
      <c r="D198" s="42"/>
      <c r="E198" s="159">
        <v>12445</v>
      </c>
      <c r="F198" s="159"/>
      <c r="G198" s="159">
        <v>13283</v>
      </c>
      <c r="H198" s="123" t="s">
        <v>197</v>
      </c>
      <c r="I198" s="123" t="s">
        <v>152</v>
      </c>
    </row>
    <row r="199" spans="1:12" s="123" customFormat="1">
      <c r="A199" s="165" t="s">
        <v>350</v>
      </c>
      <c r="B199" s="165">
        <v>2242070</v>
      </c>
      <c r="C199" s="166" t="s">
        <v>593</v>
      </c>
      <c r="D199" s="42"/>
      <c r="E199" s="159">
        <v>12457</v>
      </c>
      <c r="F199" s="159"/>
      <c r="G199" s="159">
        <v>13647</v>
      </c>
      <c r="H199" s="123" t="s">
        <v>197</v>
      </c>
      <c r="I199" s="123" t="s">
        <v>151</v>
      </c>
    </row>
    <row r="200" spans="1:12" s="160" customFormat="1">
      <c r="A200" s="165" t="s">
        <v>350</v>
      </c>
      <c r="B200" s="165">
        <v>2167248</v>
      </c>
      <c r="C200" s="166" t="s">
        <v>593</v>
      </c>
      <c r="D200" s="195"/>
      <c r="E200" s="161">
        <v>12468</v>
      </c>
      <c r="F200" s="161"/>
      <c r="G200" s="161">
        <v>12989</v>
      </c>
      <c r="H200" s="199"/>
      <c r="I200" s="195" t="s">
        <v>516</v>
      </c>
      <c r="J200" s="195"/>
    </row>
    <row r="201" spans="1:12" s="123" customFormat="1">
      <c r="A201" s="165" t="s">
        <v>350</v>
      </c>
      <c r="B201" s="165">
        <v>2219733</v>
      </c>
      <c r="C201" s="166" t="s">
        <v>593</v>
      </c>
      <c r="D201" s="42"/>
      <c r="E201" s="159">
        <v>12521</v>
      </c>
      <c r="F201" s="159"/>
      <c r="G201" s="159">
        <v>13451</v>
      </c>
      <c r="H201" s="123" t="s">
        <v>197</v>
      </c>
      <c r="I201" s="123" t="s">
        <v>193</v>
      </c>
    </row>
    <row r="202" spans="1:12" s="123" customFormat="1">
      <c r="A202" s="165" t="s">
        <v>350</v>
      </c>
      <c r="B202" s="165">
        <v>2198081</v>
      </c>
      <c r="C202" s="166" t="s">
        <v>593</v>
      </c>
      <c r="D202" s="42"/>
      <c r="E202" s="159">
        <v>12537</v>
      </c>
      <c r="F202" s="159"/>
      <c r="G202" s="159">
        <v>13262</v>
      </c>
      <c r="H202" s="123" t="s">
        <v>197</v>
      </c>
      <c r="I202" s="123" t="s">
        <v>792</v>
      </c>
    </row>
    <row r="203" spans="1:12" s="160" customFormat="1">
      <c r="A203" s="165" t="s">
        <v>350</v>
      </c>
      <c r="B203" s="165">
        <v>2182220</v>
      </c>
      <c r="C203" s="166" t="s">
        <v>593</v>
      </c>
      <c r="D203" s="42"/>
      <c r="E203" s="200">
        <v>12559</v>
      </c>
      <c r="F203" s="200"/>
      <c r="G203" s="200">
        <v>13122</v>
      </c>
      <c r="H203" s="207" t="s">
        <v>197</v>
      </c>
      <c r="I203" s="207" t="s">
        <v>517</v>
      </c>
      <c r="J203" s="207"/>
      <c r="K203" s="207"/>
    </row>
    <row r="204" spans="1:12" s="123" customFormat="1">
      <c r="A204" s="165" t="s">
        <v>350</v>
      </c>
      <c r="B204" s="165">
        <v>2220039</v>
      </c>
      <c r="C204" s="166" t="s">
        <v>593</v>
      </c>
      <c r="D204" s="42"/>
      <c r="E204" s="159">
        <v>12572</v>
      </c>
      <c r="F204" s="159"/>
      <c r="G204" s="159">
        <v>13451</v>
      </c>
      <c r="H204" s="123" t="s">
        <v>197</v>
      </c>
      <c r="I204" s="123" t="s">
        <v>186</v>
      </c>
    </row>
    <row r="205" spans="1:12" s="160" customFormat="1">
      <c r="A205" s="165" t="s">
        <v>350</v>
      </c>
      <c r="B205" s="165">
        <v>2271852</v>
      </c>
      <c r="C205" s="166" t="s">
        <v>593</v>
      </c>
      <c r="D205" s="42"/>
      <c r="E205" s="200">
        <v>12585</v>
      </c>
      <c r="F205" s="200"/>
      <c r="G205" s="200">
        <v>13913</v>
      </c>
      <c r="H205" s="207" t="s">
        <v>197</v>
      </c>
      <c r="I205" s="207" t="s">
        <v>157</v>
      </c>
      <c r="J205" s="207"/>
      <c r="K205" s="207"/>
      <c r="L205" s="195"/>
    </row>
    <row r="206" spans="1:12" s="123" customFormat="1">
      <c r="A206" s="165" t="s">
        <v>350</v>
      </c>
      <c r="B206" s="165">
        <v>2243813</v>
      </c>
      <c r="C206" s="166" t="s">
        <v>593</v>
      </c>
      <c r="D206" s="42"/>
      <c r="E206" s="159">
        <v>12628</v>
      </c>
      <c r="F206" s="159"/>
      <c r="G206" s="159">
        <v>13661</v>
      </c>
      <c r="H206" s="123" t="s">
        <v>197</v>
      </c>
      <c r="I206" s="123" t="s">
        <v>156</v>
      </c>
    </row>
    <row r="207" spans="1:12" s="123" customFormat="1">
      <c r="A207" s="165" t="s">
        <v>350</v>
      </c>
      <c r="B207" s="165">
        <v>2210238</v>
      </c>
      <c r="C207" s="166" t="s">
        <v>593</v>
      </c>
      <c r="D207" s="42"/>
      <c r="E207" s="159">
        <v>12712</v>
      </c>
      <c r="F207" s="159"/>
      <c r="G207" s="159">
        <v>13367</v>
      </c>
      <c r="H207" s="123" t="s">
        <v>197</v>
      </c>
      <c r="I207" s="123" t="s">
        <v>186</v>
      </c>
    </row>
    <row r="208" spans="1:12" s="123" customFormat="1">
      <c r="A208" s="165" t="s">
        <v>350</v>
      </c>
      <c r="B208" s="165">
        <v>2265769</v>
      </c>
      <c r="C208" s="166" t="s">
        <v>593</v>
      </c>
      <c r="D208" s="42"/>
      <c r="E208" s="159">
        <v>12713</v>
      </c>
      <c r="F208" s="159"/>
      <c r="G208" s="159">
        <v>13857</v>
      </c>
      <c r="H208" s="123" t="s">
        <v>197</v>
      </c>
      <c r="I208" s="123" t="s">
        <v>193</v>
      </c>
    </row>
    <row r="209" spans="1:9" s="123" customFormat="1">
      <c r="A209" s="165" t="s">
        <v>350</v>
      </c>
      <c r="B209" s="165">
        <v>2265769</v>
      </c>
      <c r="C209" s="166" t="s">
        <v>593</v>
      </c>
      <c r="D209" s="42" t="s">
        <v>621</v>
      </c>
      <c r="E209" s="159">
        <v>12713</v>
      </c>
      <c r="F209" s="159">
        <v>14032</v>
      </c>
      <c r="G209" s="159">
        <v>14466</v>
      </c>
      <c r="H209" s="123" t="s">
        <v>197</v>
      </c>
      <c r="I209" s="123" t="s">
        <v>193</v>
      </c>
    </row>
    <row r="210" spans="1:9" s="123" customFormat="1">
      <c r="A210" s="165" t="s">
        <v>350</v>
      </c>
      <c r="B210" s="165">
        <v>2214372</v>
      </c>
      <c r="C210" s="166" t="s">
        <v>593</v>
      </c>
      <c r="D210" s="42"/>
      <c r="E210" s="159">
        <v>12850</v>
      </c>
      <c r="F210" s="159"/>
      <c r="G210" s="159">
        <v>13402</v>
      </c>
      <c r="H210" s="123" t="s">
        <v>197</v>
      </c>
      <c r="I210" s="123" t="s">
        <v>151</v>
      </c>
    </row>
    <row r="211" spans="1:9" s="123" customFormat="1">
      <c r="A211" s="165" t="s">
        <v>350</v>
      </c>
      <c r="B211" s="165">
        <v>2366227</v>
      </c>
      <c r="C211" s="166" t="s">
        <v>593</v>
      </c>
      <c r="D211" s="42"/>
      <c r="E211" s="159">
        <v>13509</v>
      </c>
      <c r="F211" s="159"/>
      <c r="G211" s="159">
        <v>14977</v>
      </c>
      <c r="H211" s="123" t="s">
        <v>197</v>
      </c>
      <c r="I211" s="123" t="s">
        <v>195</v>
      </c>
    </row>
    <row r="212" spans="1:9" s="123" customFormat="1">
      <c r="A212" s="165" t="s">
        <v>350</v>
      </c>
      <c r="B212" s="165">
        <v>2295512</v>
      </c>
      <c r="C212" s="166" t="s">
        <v>593</v>
      </c>
      <c r="D212" s="42"/>
      <c r="E212" s="159">
        <v>13513</v>
      </c>
      <c r="F212" s="159"/>
      <c r="G212" s="159">
        <v>14130</v>
      </c>
      <c r="H212" s="123" t="s">
        <v>197</v>
      </c>
      <c r="I212" s="123" t="s">
        <v>517</v>
      </c>
    </row>
    <row r="213" spans="1:9" s="123" customFormat="1">
      <c r="A213" s="165" t="s">
        <v>350</v>
      </c>
      <c r="B213" s="165">
        <v>2354188</v>
      </c>
      <c r="C213" s="166" t="s">
        <v>593</v>
      </c>
      <c r="D213" s="42"/>
      <c r="E213" s="159">
        <v>13516</v>
      </c>
      <c r="F213" s="159"/>
      <c r="G213" s="159">
        <v>14816</v>
      </c>
      <c r="H213" s="123" t="s">
        <v>197</v>
      </c>
      <c r="I213" s="123" t="s">
        <v>86</v>
      </c>
    </row>
    <row r="214" spans="1:9" s="123" customFormat="1">
      <c r="A214" s="165" t="s">
        <v>350</v>
      </c>
      <c r="B214" s="165">
        <v>2357361</v>
      </c>
      <c r="C214" s="166" t="s">
        <v>593</v>
      </c>
      <c r="D214" s="42"/>
      <c r="E214" s="159">
        <v>13525</v>
      </c>
      <c r="F214" s="159"/>
      <c r="G214" s="159">
        <v>14858</v>
      </c>
      <c r="H214" s="123" t="s">
        <v>197</v>
      </c>
      <c r="I214" s="123" t="s">
        <v>411</v>
      </c>
    </row>
    <row r="215" spans="1:9" s="123" customFormat="1">
      <c r="A215" s="165" t="s">
        <v>350</v>
      </c>
      <c r="B215" s="165">
        <v>2358344</v>
      </c>
      <c r="C215" s="166" t="s">
        <v>593</v>
      </c>
      <c r="D215" s="42"/>
      <c r="E215" s="159">
        <v>13544</v>
      </c>
      <c r="F215" s="159"/>
      <c r="G215" s="159">
        <v>14872</v>
      </c>
      <c r="H215" s="123" t="s">
        <v>197</v>
      </c>
      <c r="I215" s="123" t="s">
        <v>199</v>
      </c>
    </row>
    <row r="216" spans="1:9" s="123" customFormat="1">
      <c r="A216" s="165" t="s">
        <v>490</v>
      </c>
      <c r="B216" s="165">
        <v>2427163</v>
      </c>
      <c r="C216" s="166" t="s">
        <v>491</v>
      </c>
      <c r="D216" s="42"/>
      <c r="E216" s="159">
        <v>13657</v>
      </c>
      <c r="F216" s="159"/>
      <c r="G216" s="159">
        <v>15957</v>
      </c>
      <c r="H216" s="123" t="s">
        <v>197</v>
      </c>
      <c r="I216" s="123" t="s">
        <v>411</v>
      </c>
    </row>
    <row r="217" spans="1:9" s="123" customFormat="1">
      <c r="A217" s="165" t="s">
        <v>350</v>
      </c>
      <c r="B217" s="165">
        <v>2413601</v>
      </c>
      <c r="C217" s="166" t="s">
        <v>593</v>
      </c>
      <c r="D217" s="42"/>
      <c r="E217" s="159">
        <v>13675</v>
      </c>
      <c r="F217" s="159"/>
      <c r="G217" s="159">
        <v>15705</v>
      </c>
      <c r="H217" s="123" t="s">
        <v>197</v>
      </c>
      <c r="I217" s="123" t="s">
        <v>517</v>
      </c>
    </row>
    <row r="218" spans="1:9" s="123" customFormat="1">
      <c r="A218" s="165" t="s">
        <v>350</v>
      </c>
      <c r="B218" s="165">
        <v>2384451</v>
      </c>
      <c r="C218" s="166" t="s">
        <v>593</v>
      </c>
      <c r="D218" s="42"/>
      <c r="E218" s="159">
        <v>13794</v>
      </c>
      <c r="F218" s="159"/>
      <c r="G218" s="159">
        <v>15229</v>
      </c>
      <c r="H218" s="123" t="s">
        <v>197</v>
      </c>
      <c r="I218" s="123" t="s">
        <v>157</v>
      </c>
    </row>
    <row r="219" spans="1:9" s="123" customFormat="1">
      <c r="A219" s="165" t="s">
        <v>350</v>
      </c>
      <c r="B219" s="165">
        <v>2370111</v>
      </c>
      <c r="C219" s="166" t="s">
        <v>593</v>
      </c>
      <c r="D219" s="42"/>
      <c r="E219" s="159">
        <v>13874</v>
      </c>
      <c r="F219" s="159"/>
      <c r="G219" s="159">
        <v>15026</v>
      </c>
      <c r="H219" s="123" t="s">
        <v>197</v>
      </c>
      <c r="I219" s="123" t="s">
        <v>87</v>
      </c>
    </row>
    <row r="220" spans="1:9" s="123" customFormat="1">
      <c r="A220" s="165" t="s">
        <v>350</v>
      </c>
      <c r="B220" s="165">
        <v>2333074</v>
      </c>
      <c r="C220" s="166" t="s">
        <v>593</v>
      </c>
      <c r="D220" s="42"/>
      <c r="E220" s="159">
        <v>13901</v>
      </c>
      <c r="F220" s="159"/>
      <c r="G220" s="159">
        <v>14543</v>
      </c>
      <c r="H220" s="123" t="s">
        <v>197</v>
      </c>
      <c r="I220" s="123" t="s">
        <v>84</v>
      </c>
    </row>
    <row r="221" spans="1:9" s="123" customFormat="1">
      <c r="A221" s="165" t="s">
        <v>350</v>
      </c>
      <c r="B221" s="165">
        <v>2345914</v>
      </c>
      <c r="C221" s="166" t="s">
        <v>593</v>
      </c>
      <c r="D221" s="42"/>
      <c r="E221" s="159">
        <v>13965</v>
      </c>
      <c r="F221" s="159"/>
      <c r="G221" s="159">
        <v>14704</v>
      </c>
      <c r="H221" s="123" t="s">
        <v>197</v>
      </c>
      <c r="I221" s="123" t="s">
        <v>517</v>
      </c>
    </row>
    <row r="222" spans="1:9" s="123" customFormat="1">
      <c r="A222" s="165" t="s">
        <v>350</v>
      </c>
      <c r="B222" s="165">
        <v>2340244</v>
      </c>
      <c r="C222" s="166" t="s">
        <v>593</v>
      </c>
      <c r="D222" s="42"/>
      <c r="E222" s="159">
        <v>13970</v>
      </c>
      <c r="F222" s="159"/>
      <c r="G222" s="159">
        <v>14634</v>
      </c>
      <c r="H222" s="123" t="s">
        <v>197</v>
      </c>
      <c r="I222" s="123" t="s">
        <v>85</v>
      </c>
    </row>
    <row r="223" spans="1:9" s="123" customFormat="1">
      <c r="A223" s="165" t="s">
        <v>490</v>
      </c>
      <c r="B223" s="165">
        <v>2449477</v>
      </c>
      <c r="C223" s="166" t="s">
        <v>491</v>
      </c>
      <c r="D223" s="42"/>
      <c r="E223" s="159">
        <v>13973</v>
      </c>
      <c r="F223" s="159"/>
      <c r="G223" s="159">
        <v>16328</v>
      </c>
      <c r="H223" s="123" t="s">
        <v>197</v>
      </c>
      <c r="I223" s="123" t="s">
        <v>90</v>
      </c>
    </row>
    <row r="224" spans="1:9" s="123" customFormat="1">
      <c r="A224" s="165" t="s">
        <v>350</v>
      </c>
      <c r="B224" s="165">
        <v>2424957</v>
      </c>
      <c r="C224" s="166" t="s">
        <v>593</v>
      </c>
      <c r="D224" s="42"/>
      <c r="E224" s="159">
        <v>14260</v>
      </c>
      <c r="F224" s="159"/>
      <c r="G224" s="159">
        <v>15915</v>
      </c>
      <c r="H224" s="123" t="s">
        <v>197</v>
      </c>
      <c r="I224" s="123" t="s">
        <v>89</v>
      </c>
    </row>
    <row r="225" spans="1:9" s="123" customFormat="1">
      <c r="A225" s="165" t="s">
        <v>350</v>
      </c>
      <c r="B225" s="165">
        <v>2346105</v>
      </c>
      <c r="C225" s="166" t="s">
        <v>593</v>
      </c>
      <c r="D225" s="42"/>
      <c r="E225" s="159">
        <v>14302</v>
      </c>
      <c r="F225" s="159"/>
      <c r="G225" s="159">
        <v>14704</v>
      </c>
      <c r="H225" s="123" t="s">
        <v>197</v>
      </c>
      <c r="I225" s="123" t="s">
        <v>186</v>
      </c>
    </row>
    <row r="226" spans="1:9" s="123" customFormat="1">
      <c r="A226" s="165" t="s">
        <v>350</v>
      </c>
      <c r="B226" s="165">
        <v>2403310</v>
      </c>
      <c r="C226" s="166" t="s">
        <v>593</v>
      </c>
      <c r="D226" s="42"/>
      <c r="E226" s="159">
        <v>14423</v>
      </c>
      <c r="F226" s="159"/>
      <c r="G226" s="159">
        <v>15523</v>
      </c>
      <c r="H226" s="123" t="s">
        <v>197</v>
      </c>
      <c r="I226" s="123" t="s">
        <v>204</v>
      </c>
    </row>
    <row r="227" spans="1:9" s="123" customFormat="1">
      <c r="A227" s="165" t="s">
        <v>490</v>
      </c>
      <c r="B227" s="165">
        <v>2431160</v>
      </c>
      <c r="C227" s="166" t="s">
        <v>491</v>
      </c>
      <c r="D227" s="42"/>
      <c r="E227" s="159">
        <v>14488</v>
      </c>
      <c r="F227" s="159"/>
      <c r="G227" s="159">
        <v>16027</v>
      </c>
      <c r="H227" s="123" t="s">
        <v>197</v>
      </c>
      <c r="I227" s="123" t="s">
        <v>517</v>
      </c>
    </row>
    <row r="228" spans="1:9" s="123" customFormat="1">
      <c r="A228" s="165" t="s">
        <v>490</v>
      </c>
      <c r="B228" s="165">
        <v>2432413</v>
      </c>
      <c r="C228" s="166" t="s">
        <v>491</v>
      </c>
      <c r="D228" s="42"/>
      <c r="E228" s="159">
        <v>14501</v>
      </c>
      <c r="F228" s="159"/>
      <c r="G228" s="159">
        <v>16048</v>
      </c>
      <c r="H228" s="123" t="s">
        <v>197</v>
      </c>
      <c r="I228" s="123" t="s">
        <v>186</v>
      </c>
    </row>
    <row r="229" spans="1:9" s="123" customFormat="1">
      <c r="A229" s="165" t="s">
        <v>350</v>
      </c>
      <c r="B229" s="165">
        <v>2421738</v>
      </c>
      <c r="C229" s="166" t="s">
        <v>593</v>
      </c>
      <c r="D229" s="42"/>
      <c r="E229" s="159">
        <v>14602</v>
      </c>
      <c r="F229" s="159"/>
      <c r="G229" s="159">
        <v>15859</v>
      </c>
      <c r="H229" s="123" t="s">
        <v>197</v>
      </c>
      <c r="I229" s="123" t="s">
        <v>88</v>
      </c>
    </row>
    <row r="230" spans="1:9" s="123" customFormat="1">
      <c r="A230" s="165" t="s">
        <v>490</v>
      </c>
      <c r="B230" s="165">
        <v>2516514</v>
      </c>
      <c r="C230" s="166" t="s">
        <v>491</v>
      </c>
      <c r="D230" s="42"/>
      <c r="E230" s="159">
        <v>15069</v>
      </c>
      <c r="F230" s="159"/>
      <c r="G230" s="159">
        <v>17007</v>
      </c>
      <c r="H230" s="123" t="s">
        <v>197</v>
      </c>
      <c r="I230" s="123" t="s">
        <v>186</v>
      </c>
    </row>
    <row r="231" spans="1:9" s="123" customFormat="1">
      <c r="A231" s="165" t="s">
        <v>490</v>
      </c>
      <c r="B231" s="165">
        <v>2446875</v>
      </c>
      <c r="C231" s="166" t="s">
        <v>491</v>
      </c>
      <c r="D231" s="42"/>
      <c r="E231" s="159">
        <v>15072</v>
      </c>
      <c r="F231" s="159"/>
      <c r="G231" s="159">
        <v>16293</v>
      </c>
      <c r="H231" s="123" t="s">
        <v>197</v>
      </c>
      <c r="I231" s="123" t="s">
        <v>186</v>
      </c>
    </row>
    <row r="232" spans="1:9" s="123" customFormat="1">
      <c r="A232" s="165" t="s">
        <v>490</v>
      </c>
      <c r="B232" s="165">
        <v>2489141</v>
      </c>
      <c r="C232" s="166" t="s">
        <v>491</v>
      </c>
      <c r="D232" s="42"/>
      <c r="E232" s="159">
        <v>15173</v>
      </c>
      <c r="F232" s="159"/>
      <c r="G232" s="159">
        <v>16762</v>
      </c>
      <c r="H232" s="123" t="s">
        <v>197</v>
      </c>
      <c r="I232" s="123" t="s">
        <v>91</v>
      </c>
    </row>
    <row r="233" spans="1:9" s="123" customFormat="1">
      <c r="A233" s="165" t="s">
        <v>490</v>
      </c>
      <c r="B233" s="165">
        <v>2591659</v>
      </c>
      <c r="C233" s="166" t="s">
        <v>491</v>
      </c>
      <c r="D233" s="42">
        <v>682651</v>
      </c>
      <c r="E233" s="159">
        <v>15531</v>
      </c>
      <c r="F233" s="159"/>
      <c r="G233" s="159">
        <v>17623</v>
      </c>
      <c r="H233" s="123" t="s">
        <v>197</v>
      </c>
      <c r="I233" s="123" t="s">
        <v>261</v>
      </c>
    </row>
    <row r="234" spans="1:9" s="123" customFormat="1">
      <c r="A234" s="165" t="s">
        <v>490</v>
      </c>
      <c r="B234" s="165">
        <v>2578164</v>
      </c>
      <c r="C234" s="166" t="s">
        <v>491</v>
      </c>
      <c r="D234" s="42">
        <v>696848</v>
      </c>
      <c r="E234" s="159">
        <v>15596</v>
      </c>
      <c r="F234" s="159"/>
      <c r="G234" s="159">
        <v>17511</v>
      </c>
      <c r="H234" s="123" t="s">
        <v>197</v>
      </c>
      <c r="I234" s="123" t="s">
        <v>304</v>
      </c>
    </row>
    <row r="235" spans="1:9" s="123" customFormat="1">
      <c r="A235" s="165" t="s">
        <v>490</v>
      </c>
      <c r="B235" s="165">
        <v>2522211</v>
      </c>
      <c r="C235" s="166" t="s">
        <v>491</v>
      </c>
      <c r="D235" s="42"/>
      <c r="E235" s="159">
        <v>15722</v>
      </c>
      <c r="F235" s="159"/>
      <c r="G235" s="159">
        <v>17056</v>
      </c>
      <c r="H235" s="123" t="s">
        <v>197</v>
      </c>
      <c r="I235" s="123" t="s">
        <v>94</v>
      </c>
    </row>
    <row r="236" spans="1:9" s="123" customFormat="1">
      <c r="A236" s="165" t="s">
        <v>490</v>
      </c>
      <c r="B236" s="165">
        <v>2601768</v>
      </c>
      <c r="C236" s="166" t="s">
        <v>491</v>
      </c>
      <c r="D236" s="42">
        <v>744244</v>
      </c>
      <c r="E236" s="159">
        <v>15821</v>
      </c>
      <c r="F236" s="159"/>
      <c r="G236" s="159">
        <v>17714</v>
      </c>
      <c r="H236" s="123" t="s">
        <v>197</v>
      </c>
      <c r="I236" s="123" t="s">
        <v>186</v>
      </c>
    </row>
    <row r="237" spans="1:9" s="123" customFormat="1">
      <c r="A237" s="165" t="s">
        <v>490</v>
      </c>
      <c r="B237" s="165">
        <v>2570387</v>
      </c>
      <c r="C237" s="166" t="s">
        <v>491</v>
      </c>
      <c r="D237" s="42">
        <v>778515</v>
      </c>
      <c r="E237" s="159">
        <v>15985</v>
      </c>
      <c r="F237" s="159"/>
      <c r="G237" s="159">
        <v>17448</v>
      </c>
      <c r="H237" s="123" t="s">
        <v>197</v>
      </c>
      <c r="I237" s="123" t="s">
        <v>364</v>
      </c>
    </row>
    <row r="238" spans="1:9" s="123" customFormat="1">
      <c r="A238" s="165" t="s">
        <v>490</v>
      </c>
      <c r="B238" s="165">
        <v>2580186</v>
      </c>
      <c r="C238" s="166" t="s">
        <v>491</v>
      </c>
      <c r="D238" s="42">
        <v>8334</v>
      </c>
      <c r="E238" s="159">
        <v>16115</v>
      </c>
      <c r="F238" s="159"/>
      <c r="G238" s="159">
        <v>17525</v>
      </c>
      <c r="H238" s="123" t="s">
        <v>197</v>
      </c>
      <c r="I238" s="123" t="s">
        <v>347</v>
      </c>
    </row>
    <row r="239" spans="1:9" s="123" customFormat="1">
      <c r="A239" s="165" t="s">
        <v>490</v>
      </c>
      <c r="B239" s="165">
        <v>2655018</v>
      </c>
      <c r="C239" s="166" t="s">
        <v>491</v>
      </c>
      <c r="D239" s="42">
        <v>33748</v>
      </c>
      <c r="E239" s="159">
        <v>16240</v>
      </c>
      <c r="F239" s="159"/>
      <c r="G239" s="159">
        <v>18183</v>
      </c>
      <c r="H239" s="123" t="s">
        <v>197</v>
      </c>
      <c r="I239" s="123" t="s">
        <v>186</v>
      </c>
    </row>
    <row r="240" spans="1:9" s="123" customFormat="1">
      <c r="A240" s="165" t="s">
        <v>490</v>
      </c>
      <c r="B240" s="165">
        <v>2570388</v>
      </c>
      <c r="C240" s="166" t="s">
        <v>491</v>
      </c>
      <c r="D240" s="42">
        <v>93232</v>
      </c>
      <c r="E240" s="159">
        <v>16570</v>
      </c>
      <c r="F240" s="159"/>
      <c r="G240" s="159">
        <v>17448</v>
      </c>
      <c r="H240" s="123" t="s">
        <v>197</v>
      </c>
      <c r="I240" s="123" t="s">
        <v>85</v>
      </c>
    </row>
    <row r="241" spans="1:12" s="123" customFormat="1">
      <c r="A241" s="165" t="s">
        <v>490</v>
      </c>
      <c r="B241" s="165">
        <v>2679358</v>
      </c>
      <c r="C241" s="166" t="s">
        <v>491</v>
      </c>
      <c r="D241" s="42">
        <v>108109</v>
      </c>
      <c r="E241" s="159">
        <v>16650</v>
      </c>
      <c r="F241" s="159"/>
      <c r="G241" s="159">
        <v>18407</v>
      </c>
      <c r="H241" s="123" t="s">
        <v>197</v>
      </c>
      <c r="I241" s="123" t="s">
        <v>193</v>
      </c>
    </row>
    <row r="242" spans="1:12" s="123" customFormat="1">
      <c r="A242" s="165" t="s">
        <v>490</v>
      </c>
      <c r="B242" s="165">
        <v>2605626</v>
      </c>
      <c r="C242" s="166" t="s">
        <v>491</v>
      </c>
      <c r="D242" s="42">
        <v>135688</v>
      </c>
      <c r="E242" s="181">
        <v>16799</v>
      </c>
      <c r="F242" s="181"/>
      <c r="G242" s="181">
        <v>17749</v>
      </c>
      <c r="H242" s="42" t="s">
        <v>197</v>
      </c>
      <c r="I242" s="42" t="s">
        <v>186</v>
      </c>
      <c r="J242" s="42"/>
      <c r="K242" s="42"/>
    </row>
    <row r="243" spans="1:12" s="123" customFormat="1">
      <c r="A243" s="165" t="s">
        <v>490</v>
      </c>
      <c r="B243" s="165">
        <v>2627737</v>
      </c>
      <c r="C243" s="166" t="s">
        <v>491</v>
      </c>
      <c r="D243" s="42">
        <v>169852</v>
      </c>
      <c r="E243" s="159">
        <v>16975</v>
      </c>
      <c r="F243" s="159"/>
      <c r="G243" s="159">
        <v>17938</v>
      </c>
      <c r="H243" s="123" t="s">
        <v>197</v>
      </c>
      <c r="I243" s="123" t="s">
        <v>348</v>
      </c>
    </row>
    <row r="244" spans="1:12" s="42" customFormat="1">
      <c r="A244" s="165" t="s">
        <v>490</v>
      </c>
      <c r="B244" s="165">
        <v>2653906</v>
      </c>
      <c r="C244" s="166" t="s">
        <v>491</v>
      </c>
      <c r="D244" s="42">
        <v>180972</v>
      </c>
      <c r="E244" s="200">
        <v>17036</v>
      </c>
      <c r="F244" s="200"/>
      <c r="G244" s="200">
        <v>18169</v>
      </c>
      <c r="H244" s="207" t="s">
        <v>197</v>
      </c>
      <c r="I244" s="207" t="s">
        <v>517</v>
      </c>
      <c r="J244" s="207"/>
      <c r="K244" s="207"/>
    </row>
    <row r="245" spans="1:12" s="123" customFormat="1">
      <c r="A245" s="165" t="s">
        <v>350</v>
      </c>
      <c r="B245" s="165">
        <v>2101048</v>
      </c>
      <c r="C245" s="166" t="s">
        <v>593</v>
      </c>
      <c r="D245" s="244"/>
      <c r="E245" s="197" t="s">
        <v>670</v>
      </c>
      <c r="F245" s="197"/>
      <c r="G245" s="197">
        <v>12394</v>
      </c>
      <c r="H245" s="173"/>
      <c r="I245" s="173"/>
      <c r="J245" s="173"/>
      <c r="K245" s="173"/>
    </row>
    <row r="246" spans="1:12" s="123" customFormat="1">
      <c r="A246" s="165" t="s">
        <v>350</v>
      </c>
      <c r="B246" s="165">
        <v>1981035</v>
      </c>
      <c r="C246" s="166" t="s">
        <v>593</v>
      </c>
      <c r="D246" s="42"/>
      <c r="E246" s="159"/>
      <c r="F246" s="159"/>
      <c r="G246" s="159">
        <v>11281</v>
      </c>
      <c r="H246" s="123" t="s">
        <v>197</v>
      </c>
      <c r="I246" s="123" t="s">
        <v>792</v>
      </c>
      <c r="J246" s="42"/>
    </row>
    <row r="248" spans="1:12" s="42" customFormat="1">
      <c r="A248" s="42" t="s">
        <v>350</v>
      </c>
      <c r="B248" s="42" t="s">
        <v>351</v>
      </c>
      <c r="C248" s="42" t="s">
        <v>386</v>
      </c>
      <c r="E248" s="164">
        <v>16916</v>
      </c>
      <c r="F248" s="164"/>
      <c r="G248" s="164"/>
      <c r="I248" s="42" t="s">
        <v>508</v>
      </c>
    </row>
    <row r="249" spans="1:12" s="162" customFormat="1">
      <c r="A249" s="42" t="s">
        <v>160</v>
      </c>
      <c r="B249" s="42" t="s">
        <v>351</v>
      </c>
      <c r="C249" s="42" t="s">
        <v>161</v>
      </c>
      <c r="D249" s="42"/>
      <c r="E249" s="200">
        <v>11462</v>
      </c>
      <c r="F249" s="200"/>
      <c r="G249" s="200">
        <v>11918</v>
      </c>
      <c r="H249" t="s">
        <v>684</v>
      </c>
      <c r="I249" s="383" t="s">
        <v>353</v>
      </c>
      <c r="J249" s="383"/>
      <c r="K249"/>
      <c r="L249"/>
    </row>
    <row r="250" spans="1:12" s="162" customFormat="1">
      <c r="A250" s="42" t="s">
        <v>160</v>
      </c>
      <c r="B250" s="42" t="s">
        <v>351</v>
      </c>
      <c r="C250" s="42" t="s">
        <v>509</v>
      </c>
      <c r="D250" s="42"/>
      <c r="E250" s="200">
        <v>11710</v>
      </c>
      <c r="F250" s="200"/>
      <c r="G250" s="200">
        <v>11995</v>
      </c>
      <c r="H250" t="s">
        <v>684</v>
      </c>
      <c r="I250" s="383" t="s">
        <v>510</v>
      </c>
      <c r="J250" s="383"/>
      <c r="K250"/>
      <c r="L250"/>
    </row>
    <row r="251" spans="1:12" s="162" customFormat="1">
      <c r="A251" s="42" t="s">
        <v>160</v>
      </c>
      <c r="B251" s="42" t="s">
        <v>351</v>
      </c>
      <c r="C251" s="42" t="s">
        <v>511</v>
      </c>
      <c r="D251" s="42"/>
      <c r="E251" s="200">
        <v>12958</v>
      </c>
      <c r="F251" s="200"/>
      <c r="G251" s="200">
        <v>13129</v>
      </c>
      <c r="H251" t="s">
        <v>684</v>
      </c>
      <c r="I251" s="383" t="s">
        <v>353</v>
      </c>
      <c r="J251" s="383"/>
      <c r="K251"/>
      <c r="L251"/>
    </row>
    <row r="252" spans="1:12" s="162" customFormat="1">
      <c r="A252" s="42" t="s">
        <v>160</v>
      </c>
      <c r="B252" s="42" t="s">
        <v>351</v>
      </c>
      <c r="C252" s="42" t="s">
        <v>384</v>
      </c>
      <c r="D252" s="42"/>
      <c r="E252" s="200">
        <v>14210</v>
      </c>
      <c r="F252" s="200"/>
      <c r="G252" s="200">
        <v>14522</v>
      </c>
      <c r="H252" t="s">
        <v>684</v>
      </c>
      <c r="I252" s="383" t="s">
        <v>385</v>
      </c>
      <c r="J252" s="383"/>
      <c r="K252"/>
      <c r="L252"/>
    </row>
    <row r="253" spans="1:12" s="123" customFormat="1">
      <c r="A253" s="42" t="s">
        <v>350</v>
      </c>
      <c r="B253" s="42" t="s">
        <v>188</v>
      </c>
      <c r="C253" s="42" t="s">
        <v>92</v>
      </c>
      <c r="D253" s="42"/>
      <c r="E253" s="159">
        <v>11302</v>
      </c>
      <c r="F253" s="159"/>
      <c r="G253" s="159">
        <v>11785</v>
      </c>
      <c r="H253" s="123" t="s">
        <v>197</v>
      </c>
      <c r="I253" s="123" t="s">
        <v>194</v>
      </c>
      <c r="L253" s="123" t="s">
        <v>93</v>
      </c>
    </row>
    <row r="254" spans="1:12" s="123" customFormat="1">
      <c r="A254" s="42" t="s">
        <v>350</v>
      </c>
      <c r="B254" s="42" t="s">
        <v>188</v>
      </c>
      <c r="C254" s="42" t="s">
        <v>256</v>
      </c>
      <c r="D254" s="42"/>
      <c r="E254" s="159">
        <v>11700</v>
      </c>
      <c r="F254" s="159"/>
      <c r="G254" s="159">
        <v>11932</v>
      </c>
      <c r="H254" s="123" t="s">
        <v>197</v>
      </c>
      <c r="I254" s="123" t="s">
        <v>194</v>
      </c>
      <c r="L254" s="123" t="s">
        <v>93</v>
      </c>
    </row>
    <row r="255" spans="1:12" s="123" customFormat="1">
      <c r="A255" s="42" t="s">
        <v>350</v>
      </c>
      <c r="B255" s="42" t="s">
        <v>188</v>
      </c>
      <c r="C255" s="42" t="s">
        <v>257</v>
      </c>
      <c r="D255" s="42"/>
      <c r="E255" s="159">
        <v>12052</v>
      </c>
      <c r="F255" s="159"/>
      <c r="G255" s="159">
        <v>12107</v>
      </c>
      <c r="H255" s="123" t="s">
        <v>197</v>
      </c>
      <c r="I255" s="123" t="s">
        <v>194</v>
      </c>
      <c r="L255" s="123" t="s">
        <v>93</v>
      </c>
    </row>
    <row r="256" spans="1:12" s="123" customFormat="1">
      <c r="A256" s="42" t="s">
        <v>350</v>
      </c>
      <c r="B256" s="42" t="s">
        <v>188</v>
      </c>
      <c r="C256" s="42" t="s">
        <v>258</v>
      </c>
      <c r="D256" s="42"/>
      <c r="E256" s="159">
        <v>11822</v>
      </c>
      <c r="F256" s="159"/>
      <c r="G256" s="159">
        <v>12338</v>
      </c>
      <c r="H256" s="123" t="s">
        <v>197</v>
      </c>
      <c r="I256" s="123" t="s">
        <v>194</v>
      </c>
      <c r="L256" s="123" t="s">
        <v>93</v>
      </c>
    </row>
    <row r="257" spans="1:12" s="123" customFormat="1">
      <c r="A257" s="42" t="s">
        <v>350</v>
      </c>
      <c r="B257" s="42" t="s">
        <v>188</v>
      </c>
      <c r="C257" s="42" t="s">
        <v>259</v>
      </c>
      <c r="D257" s="42"/>
      <c r="E257" s="159">
        <v>12223</v>
      </c>
      <c r="F257" s="159"/>
      <c r="G257" s="159">
        <v>12821</v>
      </c>
      <c r="H257" s="123" t="s">
        <v>197</v>
      </c>
      <c r="I257" s="123" t="s">
        <v>152</v>
      </c>
      <c r="L257" s="123" t="s">
        <v>93</v>
      </c>
    </row>
    <row r="258" spans="1:12" s="123" customFormat="1">
      <c r="A258" s="42" t="s">
        <v>350</v>
      </c>
      <c r="B258" s="42" t="s">
        <v>188</v>
      </c>
      <c r="C258" s="42" t="s">
        <v>260</v>
      </c>
      <c r="D258" s="42"/>
      <c r="E258" s="159">
        <v>13643</v>
      </c>
      <c r="F258" s="159"/>
      <c r="G258" s="159">
        <v>14116</v>
      </c>
      <c r="H258" s="123" t="s">
        <v>197</v>
      </c>
      <c r="I258" s="123" t="s">
        <v>87</v>
      </c>
      <c r="L258" s="123" t="s">
        <v>93</v>
      </c>
    </row>
    <row r="259" spans="1:12" s="123" customFormat="1">
      <c r="A259" s="42"/>
      <c r="B259" s="42"/>
      <c r="C259" s="42"/>
      <c r="D259" s="42"/>
      <c r="E259" s="159"/>
      <c r="F259" s="159"/>
      <c r="G259" s="159"/>
    </row>
    <row r="261" spans="1:12">
      <c r="A261" s="126" t="s">
        <v>1977</v>
      </c>
    </row>
    <row r="262" spans="1:12">
      <c r="A262" s="127" t="s">
        <v>1043</v>
      </c>
    </row>
    <row r="264" spans="1:12">
      <c r="A264" s="42" t="s">
        <v>1033</v>
      </c>
    </row>
    <row r="265" spans="1:12">
      <c r="A265" s="42" t="s">
        <v>1284</v>
      </c>
    </row>
    <row r="266" spans="1:12">
      <c r="A266" s="42" t="s">
        <v>1045</v>
      </c>
    </row>
    <row r="267" spans="1:12">
      <c r="A267" s="42" t="s">
        <v>1065</v>
      </c>
    </row>
    <row r="268" spans="1:12">
      <c r="A268" s="42" t="s">
        <v>3986</v>
      </c>
    </row>
    <row r="269" spans="1:12">
      <c r="A269" s="42" t="s">
        <v>1369</v>
      </c>
    </row>
    <row r="270" spans="1:12">
      <c r="A270" s="42" t="s">
        <v>1106</v>
      </c>
    </row>
    <row r="271" spans="1:12">
      <c r="A271" s="42" t="s">
        <v>1321</v>
      </c>
    </row>
    <row r="272" spans="1:12">
      <c r="A272" s="42" t="s">
        <v>1034</v>
      </c>
    </row>
    <row r="273" spans="1:3">
      <c r="A273" s="42" t="s">
        <v>1031</v>
      </c>
    </row>
    <row r="274" spans="1:3">
      <c r="A274" s="42" t="s">
        <v>40</v>
      </c>
    </row>
    <row r="275" spans="1:3">
      <c r="A275" s="42" t="s">
        <v>118</v>
      </c>
    </row>
    <row r="276" spans="1:3">
      <c r="A276" s="42"/>
    </row>
    <row r="277" spans="1:3">
      <c r="A277" s="126" t="s">
        <v>2410</v>
      </c>
    </row>
    <row r="278" spans="1:3">
      <c r="A278" s="42" t="s">
        <v>1074</v>
      </c>
    </row>
    <row r="279" spans="1:3">
      <c r="A279" s="42" t="s">
        <v>2768</v>
      </c>
    </row>
    <row r="280" spans="1:3">
      <c r="A280" s="189"/>
    </row>
    <row r="281" spans="1:3">
      <c r="A281" s="126" t="s">
        <v>1080</v>
      </c>
    </row>
    <row r="282" spans="1:3">
      <c r="A282" s="42" t="s">
        <v>1032</v>
      </c>
      <c r="B282" s="127">
        <v>1932</v>
      </c>
    </row>
    <row r="283" spans="1:3">
      <c r="A283" s="42" t="s">
        <v>1099</v>
      </c>
      <c r="B283" s="127">
        <v>1932</v>
      </c>
    </row>
    <row r="286" spans="1:3">
      <c r="A286" s="42"/>
      <c r="C286" s="42"/>
    </row>
    <row r="287" spans="1:3">
      <c r="A287" s="42"/>
      <c r="C287" s="42"/>
    </row>
    <row r="288" spans="1:3">
      <c r="A288" s="42"/>
      <c r="C288" s="42"/>
    </row>
    <row r="289" spans="1:3">
      <c r="A289" s="42"/>
      <c r="C289" s="42"/>
    </row>
    <row r="290" spans="1:3">
      <c r="A290" s="42"/>
      <c r="C290" s="42"/>
    </row>
    <row r="291" spans="1:3">
      <c r="A291" s="42"/>
      <c r="C291" s="42"/>
    </row>
    <row r="292" spans="1:3">
      <c r="A292" s="42"/>
      <c r="C292" s="42"/>
    </row>
    <row r="293" spans="1:3">
      <c r="A293" s="42"/>
      <c r="C293" s="42"/>
    </row>
    <row r="294" spans="1:3">
      <c r="A294" s="42"/>
      <c r="C294" s="42"/>
    </row>
    <row r="295" spans="1:3">
      <c r="A295" s="42"/>
      <c r="C295" s="42"/>
    </row>
    <row r="296" spans="1:3">
      <c r="A296" s="42"/>
      <c r="C296" s="42"/>
    </row>
    <row r="297" spans="1:3">
      <c r="A297" s="42"/>
      <c r="C297" s="42"/>
    </row>
    <row r="298" spans="1:3">
      <c r="A298" s="42"/>
      <c r="C298" s="42"/>
    </row>
    <row r="299" spans="1:3">
      <c r="A299" s="42"/>
      <c r="C299" s="42"/>
    </row>
    <row r="300" spans="1:3">
      <c r="A300" s="42"/>
      <c r="C300" s="42"/>
    </row>
    <row r="301" spans="1:3">
      <c r="A301" s="42"/>
      <c r="C301" s="42"/>
    </row>
    <row r="302" spans="1:3">
      <c r="A302" s="42"/>
      <c r="C302" s="42"/>
    </row>
    <row r="303" spans="1:3">
      <c r="A303" s="42"/>
      <c r="C303" s="42"/>
    </row>
    <row r="304" spans="1:3">
      <c r="A304" s="42"/>
      <c r="C304" s="42"/>
    </row>
    <row r="305" spans="1:3">
      <c r="A305" s="42"/>
      <c r="C305" s="42"/>
    </row>
    <row r="306" spans="1:3">
      <c r="A306" s="42"/>
      <c r="C306" s="42"/>
    </row>
    <row r="307" spans="1:3">
      <c r="A307" s="42"/>
      <c r="C307" s="42"/>
    </row>
    <row r="308" spans="1:3">
      <c r="A308" s="42"/>
      <c r="C308" s="42"/>
    </row>
    <row r="309" spans="1:3">
      <c r="A309" s="42"/>
      <c r="C309" s="42"/>
    </row>
    <row r="310" spans="1:3">
      <c r="A310" s="42"/>
      <c r="C310" s="42"/>
    </row>
    <row r="311" spans="1:3">
      <c r="A311" s="42"/>
      <c r="C311" s="42"/>
    </row>
    <row r="312" spans="1:3">
      <c r="A312" s="42"/>
      <c r="C312" s="42"/>
    </row>
    <row r="313" spans="1:3">
      <c r="A313" s="42"/>
      <c r="C313" s="42"/>
    </row>
    <row r="314" spans="1:3">
      <c r="A314" s="42"/>
      <c r="C314" s="42"/>
    </row>
    <row r="315" spans="1:3">
      <c r="A315" s="42"/>
      <c r="C315" s="42"/>
    </row>
    <row r="316" spans="1:3">
      <c r="A316" s="42"/>
      <c r="C316" s="42"/>
    </row>
    <row r="317" spans="1:3">
      <c r="A317" s="42"/>
      <c r="C317" s="42"/>
    </row>
    <row r="318" spans="1:3">
      <c r="A318" s="42"/>
      <c r="C318" s="42"/>
    </row>
    <row r="319" spans="1:3">
      <c r="A319" s="42"/>
      <c r="C319" s="42"/>
    </row>
    <row r="320" spans="1:3">
      <c r="A320" s="42"/>
      <c r="C320" s="42"/>
    </row>
    <row r="321" spans="1:3">
      <c r="A321" s="42"/>
      <c r="C321" s="42"/>
    </row>
    <row r="322" spans="1:3">
      <c r="A322" s="42"/>
      <c r="C322" s="42"/>
    </row>
    <row r="323" spans="1:3">
      <c r="A323" s="42"/>
      <c r="C323" s="42"/>
    </row>
    <row r="324" spans="1:3">
      <c r="A324" s="42"/>
      <c r="C324" s="42"/>
    </row>
    <row r="325" spans="1:3">
      <c r="A325" s="42"/>
      <c r="C325" s="42"/>
    </row>
    <row r="326" spans="1:3">
      <c r="A326" s="42"/>
      <c r="C326" s="42"/>
    </row>
    <row r="327" spans="1:3">
      <c r="A327" s="42"/>
      <c r="C327" s="42"/>
    </row>
    <row r="328" spans="1:3">
      <c r="A328" s="42"/>
      <c r="C328" s="42"/>
    </row>
    <row r="329" spans="1:3">
      <c r="A329" s="42"/>
      <c r="C329" s="42"/>
    </row>
    <row r="330" spans="1:3">
      <c r="A330" s="42"/>
      <c r="C330" s="42"/>
    </row>
    <row r="331" spans="1:3">
      <c r="A331" s="42"/>
      <c r="C331" s="42"/>
    </row>
    <row r="332" spans="1:3">
      <c r="A332" s="42"/>
      <c r="C332" s="42"/>
    </row>
    <row r="333" spans="1:3">
      <c r="A333" s="42"/>
      <c r="C333" s="42"/>
    </row>
    <row r="334" spans="1:3">
      <c r="A334" s="42"/>
      <c r="C334" s="42"/>
    </row>
    <row r="335" spans="1:3">
      <c r="A335" s="42"/>
      <c r="C335" s="42"/>
    </row>
    <row r="336" spans="1:3">
      <c r="A336" s="42"/>
      <c r="C336" s="42"/>
    </row>
    <row r="337" spans="1:3">
      <c r="A337" s="42"/>
      <c r="C337" s="42"/>
    </row>
    <row r="338" spans="1:3">
      <c r="A338" s="42"/>
      <c r="C338" s="42"/>
    </row>
    <row r="339" spans="1:3">
      <c r="A339" s="42"/>
      <c r="C339" s="42"/>
    </row>
    <row r="340" spans="1:3">
      <c r="A340" s="42"/>
      <c r="C340" s="42"/>
    </row>
    <row r="341" spans="1:3">
      <c r="A341" s="42"/>
      <c r="C341" s="42"/>
    </row>
    <row r="342" spans="1:3">
      <c r="A342" s="42"/>
      <c r="C342" s="42"/>
    </row>
    <row r="343" spans="1:3">
      <c r="A343" s="42"/>
      <c r="C343" s="42"/>
    </row>
    <row r="344" spans="1:3">
      <c r="A344" s="42"/>
      <c r="C344" s="42"/>
    </row>
    <row r="345" spans="1:3">
      <c r="A345" s="42"/>
      <c r="C345" s="42"/>
    </row>
    <row r="346" spans="1:3">
      <c r="A346" s="42"/>
      <c r="C346" s="42"/>
    </row>
    <row r="347" spans="1:3">
      <c r="A347" s="42"/>
      <c r="C347" s="42"/>
    </row>
  </sheetData>
  <sortState ref="A45:K246">
    <sortCondition ref="E45:E246"/>
  </sortState>
  <mergeCells count="4">
    <mergeCell ref="I249:J249"/>
    <mergeCell ref="I250:J250"/>
    <mergeCell ref="I251:J251"/>
    <mergeCell ref="I252:J252"/>
  </mergeCells>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W82"/>
  <sheetViews>
    <sheetView workbookViewId="0">
      <selection activeCell="A4" sqref="A4"/>
    </sheetView>
  </sheetViews>
  <sheetFormatPr baseColWidth="10" defaultColWidth="11" defaultRowHeight="13"/>
  <cols>
    <col min="1" max="1" width="9" style="42" customWidth="1"/>
    <col min="2" max="3" width="11" style="42"/>
    <col min="6" max="6" width="18.5703125" customWidth="1"/>
  </cols>
  <sheetData>
    <row r="1" spans="1:49" s="12" customFormat="1" ht="36">
      <c r="A1" s="52" t="s">
        <v>1869</v>
      </c>
      <c r="B1" s="52" t="s">
        <v>1747</v>
      </c>
      <c r="C1" s="1" t="s">
        <v>2827</v>
      </c>
      <c r="D1" s="1" t="s">
        <v>1774</v>
      </c>
      <c r="E1" s="1" t="s">
        <v>1777</v>
      </c>
      <c r="F1" s="1" t="s">
        <v>1787</v>
      </c>
      <c r="G1" s="2" t="s">
        <v>1631</v>
      </c>
      <c r="H1" s="3" t="s">
        <v>1632</v>
      </c>
      <c r="I1" s="4" t="s">
        <v>1797</v>
      </c>
      <c r="J1" s="4" t="s">
        <v>1689</v>
      </c>
      <c r="K1" s="4" t="s">
        <v>1633</v>
      </c>
      <c r="L1" s="4" t="s">
        <v>1827</v>
      </c>
      <c r="M1" s="4" t="s">
        <v>1828</v>
      </c>
      <c r="N1" s="4" t="s">
        <v>1692</v>
      </c>
      <c r="O1" s="4" t="s">
        <v>1793</v>
      </c>
      <c r="P1" s="4" t="s">
        <v>1638</v>
      </c>
      <c r="Q1" s="4" t="s">
        <v>1801</v>
      </c>
      <c r="R1" s="4" t="s">
        <v>1700</v>
      </c>
      <c r="S1" s="5" t="s">
        <v>1683</v>
      </c>
      <c r="T1" s="6" t="s">
        <v>1684</v>
      </c>
      <c r="U1" s="6" t="s">
        <v>1900</v>
      </c>
      <c r="V1" s="6" t="s">
        <v>1901</v>
      </c>
      <c r="W1" s="6" t="s">
        <v>1685</v>
      </c>
      <c r="X1" s="6" t="s">
        <v>1686</v>
      </c>
      <c r="Y1" s="7" t="s">
        <v>1687</v>
      </c>
      <c r="Z1" s="8" t="s">
        <v>1688</v>
      </c>
      <c r="AA1" s="9" t="s">
        <v>1810</v>
      </c>
      <c r="AB1" s="9" t="s">
        <v>1728</v>
      </c>
      <c r="AC1" s="9" t="s">
        <v>1763</v>
      </c>
      <c r="AD1" s="9" t="s">
        <v>1764</v>
      </c>
      <c r="AE1" s="9" t="s">
        <v>1860</v>
      </c>
      <c r="AF1" s="9" t="s">
        <v>1861</v>
      </c>
      <c r="AG1" s="9" t="s">
        <v>1693</v>
      </c>
      <c r="AH1" s="5" t="s">
        <v>1694</v>
      </c>
      <c r="AI1" s="6" t="s">
        <v>1862</v>
      </c>
      <c r="AJ1" s="6" t="s">
        <v>1744</v>
      </c>
      <c r="AK1" s="7" t="s">
        <v>1758</v>
      </c>
      <c r="AL1" s="7" t="s">
        <v>1921</v>
      </c>
      <c r="AM1" s="7" t="s">
        <v>1835</v>
      </c>
      <c r="AN1" s="7" t="s">
        <v>1836</v>
      </c>
      <c r="AO1" s="7" t="s">
        <v>1893</v>
      </c>
      <c r="AP1" s="7" t="s">
        <v>1894</v>
      </c>
      <c r="AQ1" s="10" t="s">
        <v>1895</v>
      </c>
      <c r="AR1" s="10" t="s">
        <v>1745</v>
      </c>
      <c r="AS1" s="10" t="s">
        <v>1751</v>
      </c>
      <c r="AT1" s="11" t="s">
        <v>1746</v>
      </c>
      <c r="AU1" s="1" t="s">
        <v>1899</v>
      </c>
      <c r="AV1" s="1" t="s">
        <v>1680</v>
      </c>
      <c r="AW1" s="1" t="s">
        <v>1681</v>
      </c>
    </row>
    <row r="2" spans="1:49" s="54" customFormat="1" ht="12" customHeight="1">
      <c r="A2" s="57" t="s">
        <v>1796</v>
      </c>
      <c r="B2" s="55"/>
      <c r="C2" s="55"/>
      <c r="D2" s="55"/>
      <c r="E2" s="55"/>
      <c r="F2" s="55"/>
      <c r="G2" s="56"/>
      <c r="H2" s="56"/>
      <c r="I2" s="55"/>
      <c r="J2" s="55"/>
      <c r="K2" s="55"/>
      <c r="L2" s="55"/>
      <c r="M2" s="55"/>
      <c r="N2" s="55"/>
      <c r="O2" s="55"/>
      <c r="P2" s="55"/>
      <c r="Q2" s="55"/>
      <c r="R2" s="55"/>
      <c r="S2" s="56"/>
      <c r="T2" s="56"/>
      <c r="U2" s="56"/>
      <c r="V2" s="56"/>
      <c r="W2" s="56"/>
      <c r="X2" s="56"/>
      <c r="Y2" s="56"/>
      <c r="Z2" s="56"/>
      <c r="AA2" s="56"/>
      <c r="AB2" s="56"/>
      <c r="AC2" s="56"/>
      <c r="AD2" s="56"/>
      <c r="AE2" s="56"/>
      <c r="AF2" s="56"/>
      <c r="AG2" s="56"/>
      <c r="AH2" s="56"/>
      <c r="AI2" s="56"/>
      <c r="AJ2" s="56"/>
      <c r="AK2" s="56"/>
      <c r="AL2" s="56"/>
      <c r="AM2" s="56"/>
      <c r="AN2" s="56"/>
      <c r="AO2" s="56"/>
      <c r="AP2" s="56"/>
      <c r="AQ2" s="55"/>
      <c r="AR2" s="55"/>
      <c r="AS2" s="55"/>
      <c r="AT2" s="56"/>
      <c r="AU2" s="55"/>
      <c r="AV2" s="55"/>
      <c r="AW2" s="55"/>
    </row>
    <row r="3" spans="1:49" s="12" customFormat="1">
      <c r="A3" s="220" t="s">
        <v>1771</v>
      </c>
      <c r="B3" s="249">
        <v>1907947</v>
      </c>
      <c r="C3" s="249"/>
      <c r="D3" s="248">
        <v>7804</v>
      </c>
      <c r="E3" s="40">
        <v>10721</v>
      </c>
      <c r="F3" s="36" t="s">
        <v>1808</v>
      </c>
      <c r="G3">
        <v>417</v>
      </c>
      <c r="H3">
        <v>401</v>
      </c>
      <c r="I3"/>
      <c r="J3"/>
      <c r="K3"/>
      <c r="L3"/>
      <c r="M3"/>
      <c r="N3"/>
      <c r="O3"/>
      <c r="P3"/>
      <c r="Q3"/>
      <c r="R3"/>
      <c r="S3">
        <v>91</v>
      </c>
      <c r="T3">
        <v>313</v>
      </c>
      <c r="U3"/>
      <c r="V3"/>
      <c r="W3"/>
      <c r="X3"/>
      <c r="Y3"/>
      <c r="Z3"/>
      <c r="AA3"/>
      <c r="AB3"/>
      <c r="AC3"/>
      <c r="AD3"/>
      <c r="AE3"/>
      <c r="AF3"/>
      <c r="AG3"/>
      <c r="AH3"/>
      <c r="AI3"/>
      <c r="AJ3"/>
      <c r="AK3"/>
      <c r="AL3"/>
      <c r="AM3"/>
      <c r="AN3"/>
      <c r="AO3"/>
      <c r="AP3"/>
      <c r="AQ3"/>
      <c r="AR3"/>
      <c r="AS3"/>
      <c r="AT3"/>
      <c r="AU3"/>
      <c r="AV3"/>
      <c r="AW3"/>
    </row>
    <row r="4" spans="1:49" s="12" customFormat="1">
      <c r="A4" s="220" t="s">
        <v>1771</v>
      </c>
      <c r="B4" s="220">
        <v>1907951</v>
      </c>
      <c r="C4" s="220"/>
      <c r="D4" s="46">
        <v>9961</v>
      </c>
      <c r="E4" s="40">
        <v>10721</v>
      </c>
      <c r="F4" t="s">
        <v>1809</v>
      </c>
      <c r="G4">
        <v>417</v>
      </c>
      <c r="H4">
        <v>403</v>
      </c>
      <c r="I4"/>
      <c r="J4"/>
      <c r="K4"/>
      <c r="L4"/>
      <c r="M4"/>
      <c r="N4"/>
      <c r="O4"/>
      <c r="P4"/>
      <c r="Q4"/>
      <c r="R4"/>
      <c r="S4">
        <v>91</v>
      </c>
      <c r="T4">
        <v>308</v>
      </c>
      <c r="U4">
        <v>313</v>
      </c>
      <c r="V4"/>
      <c r="W4"/>
      <c r="X4"/>
      <c r="Y4"/>
      <c r="Z4"/>
      <c r="AA4"/>
      <c r="AB4"/>
      <c r="AC4"/>
      <c r="AD4"/>
      <c r="AE4"/>
      <c r="AF4"/>
      <c r="AG4"/>
      <c r="AH4"/>
      <c r="AI4"/>
      <c r="AJ4"/>
      <c r="AK4"/>
      <c r="AL4"/>
      <c r="AM4"/>
      <c r="AN4"/>
      <c r="AO4"/>
      <c r="AP4"/>
      <c r="AQ4"/>
      <c r="AR4"/>
      <c r="AS4"/>
      <c r="AT4"/>
      <c r="AU4"/>
      <c r="AV4"/>
      <c r="AW4"/>
    </row>
    <row r="5" spans="1:49" s="12" customFormat="1">
      <c r="A5" s="220" t="s">
        <v>1771</v>
      </c>
      <c r="B5" s="220">
        <v>2081220</v>
      </c>
      <c r="C5" s="220"/>
      <c r="D5" s="40">
        <v>10426</v>
      </c>
      <c r="E5" s="40">
        <v>12198</v>
      </c>
      <c r="F5" t="s">
        <v>1755</v>
      </c>
      <c r="G5">
        <v>417</v>
      </c>
      <c r="H5">
        <v>404</v>
      </c>
      <c r="I5"/>
      <c r="J5"/>
      <c r="K5"/>
      <c r="L5"/>
      <c r="M5"/>
      <c r="N5"/>
      <c r="O5"/>
      <c r="P5"/>
      <c r="Q5"/>
      <c r="R5"/>
      <c r="S5">
        <v>29</v>
      </c>
      <c r="T5" t="s">
        <v>1756</v>
      </c>
      <c r="U5"/>
      <c r="V5"/>
      <c r="W5"/>
      <c r="X5"/>
      <c r="Y5"/>
      <c r="Z5">
        <v>91</v>
      </c>
      <c r="AA5">
        <v>309</v>
      </c>
      <c r="AB5">
        <v>112</v>
      </c>
      <c r="AC5"/>
      <c r="AD5"/>
      <c r="AE5"/>
      <c r="AF5"/>
      <c r="AG5"/>
      <c r="AH5"/>
      <c r="AI5"/>
      <c r="AJ5"/>
      <c r="AK5"/>
      <c r="AL5"/>
      <c r="AM5"/>
      <c r="AN5"/>
      <c r="AO5"/>
      <c r="AP5"/>
      <c r="AQ5"/>
      <c r="AR5"/>
      <c r="AS5"/>
      <c r="AT5"/>
      <c r="AU5"/>
      <c r="AV5"/>
      <c r="AW5"/>
    </row>
    <row r="6" spans="1:49" s="12" customFormat="1">
      <c r="A6" t="s">
        <v>1878</v>
      </c>
      <c r="B6">
        <v>2081223</v>
      </c>
      <c r="C6"/>
      <c r="D6" s="40">
        <v>11058</v>
      </c>
      <c r="E6" s="40">
        <v>12198</v>
      </c>
      <c r="F6" t="s">
        <v>1755</v>
      </c>
      <c r="G6">
        <v>417</v>
      </c>
      <c r="H6">
        <v>404</v>
      </c>
      <c r="I6"/>
      <c r="J6"/>
      <c r="K6"/>
      <c r="L6"/>
      <c r="M6"/>
      <c r="N6"/>
      <c r="O6"/>
      <c r="P6"/>
      <c r="Q6"/>
      <c r="R6"/>
      <c r="S6">
        <v>91</v>
      </c>
      <c r="T6">
        <v>300</v>
      </c>
      <c r="U6">
        <v>319</v>
      </c>
      <c r="V6"/>
      <c r="W6"/>
      <c r="X6"/>
      <c r="Y6"/>
      <c r="Z6">
        <v>92</v>
      </c>
      <c r="AA6">
        <v>143</v>
      </c>
      <c r="AB6"/>
      <c r="AC6"/>
      <c r="AD6"/>
      <c r="AE6"/>
      <c r="AF6"/>
      <c r="AG6"/>
      <c r="AH6"/>
      <c r="AI6"/>
      <c r="AJ6"/>
      <c r="AK6"/>
      <c r="AL6"/>
      <c r="AM6"/>
      <c r="AN6"/>
      <c r="AO6"/>
      <c r="AP6"/>
      <c r="AQ6"/>
      <c r="AR6"/>
      <c r="AS6"/>
      <c r="AT6"/>
      <c r="AU6"/>
      <c r="AV6"/>
      <c r="AW6"/>
    </row>
    <row r="7" spans="1:49" s="12" customFormat="1">
      <c r="A7" t="s">
        <v>1878</v>
      </c>
      <c r="B7">
        <v>2473864</v>
      </c>
      <c r="C7"/>
      <c r="D7" s="40">
        <v>15473</v>
      </c>
      <c r="E7" s="40">
        <v>16608</v>
      </c>
      <c r="F7" t="s">
        <v>1872</v>
      </c>
      <c r="G7">
        <v>417</v>
      </c>
      <c r="H7">
        <v>313</v>
      </c>
      <c r="I7">
        <v>403</v>
      </c>
      <c r="J7">
        <v>431</v>
      </c>
      <c r="K7"/>
      <c r="L7"/>
      <c r="M7"/>
      <c r="N7"/>
      <c r="O7"/>
      <c r="P7"/>
      <c r="Q7"/>
      <c r="R7"/>
      <c r="S7"/>
      <c r="T7"/>
      <c r="U7"/>
      <c r="V7"/>
      <c r="W7"/>
      <c r="X7"/>
      <c r="Y7"/>
      <c r="Z7"/>
      <c r="AA7"/>
      <c r="AB7"/>
      <c r="AC7"/>
      <c r="AD7"/>
      <c r="AE7"/>
      <c r="AF7"/>
      <c r="AG7"/>
      <c r="AH7"/>
      <c r="AI7"/>
      <c r="AJ7"/>
      <c r="AK7"/>
      <c r="AL7"/>
      <c r="AM7"/>
      <c r="AN7"/>
      <c r="AO7"/>
      <c r="AP7"/>
      <c r="AQ7"/>
      <c r="AR7"/>
      <c r="AS7"/>
      <c r="AT7"/>
      <c r="AU7"/>
      <c r="AV7"/>
      <c r="AW7"/>
    </row>
    <row r="8" spans="1:49" s="12" customFormat="1">
      <c r="A8" s="42"/>
      <c r="B8" s="42"/>
      <c r="C8" s="42"/>
      <c r="D8" s="61"/>
      <c r="E8" s="40"/>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row>
    <row r="9" spans="1:49" s="12" customFormat="1">
      <c r="A9" s="42" t="s">
        <v>4099</v>
      </c>
      <c r="B9" s="42"/>
      <c r="C9" s="42"/>
      <c r="D9" s="40"/>
      <c r="E9" s="40"/>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row>
    <row r="10" spans="1:49" s="45" customFormat="1">
      <c r="A10" s="326" t="s">
        <v>2728</v>
      </c>
      <c r="B10" s="326">
        <v>1235112</v>
      </c>
      <c r="C10" s="326"/>
      <c r="D10" s="43">
        <v>3904</v>
      </c>
      <c r="E10" s="43">
        <v>4960</v>
      </c>
      <c r="F10" s="42" t="s">
        <v>1695</v>
      </c>
      <c r="G10" s="44">
        <v>417</v>
      </c>
      <c r="H10" s="44">
        <v>541</v>
      </c>
      <c r="I10" s="45">
        <v>543</v>
      </c>
      <c r="S10" s="44">
        <v>166</v>
      </c>
      <c r="T10" s="44">
        <v>68</v>
      </c>
      <c r="U10" s="44"/>
      <c r="V10" s="44"/>
      <c r="W10" s="44"/>
      <c r="X10" s="44"/>
      <c r="Y10" s="44"/>
      <c r="Z10" s="44"/>
      <c r="AA10" s="44"/>
      <c r="AB10" s="44"/>
      <c r="AC10" s="44"/>
      <c r="AD10" s="44"/>
      <c r="AE10" s="44"/>
      <c r="AF10" s="44"/>
      <c r="AG10" s="44"/>
      <c r="AH10" s="44"/>
      <c r="AI10" s="44"/>
      <c r="AJ10" s="44"/>
      <c r="AK10" s="44"/>
      <c r="AL10" s="44"/>
      <c r="AM10" s="44"/>
      <c r="AN10" s="44"/>
      <c r="AO10" s="44"/>
      <c r="AP10" s="44"/>
      <c r="AT10" s="44"/>
    </row>
    <row r="11" spans="1:49">
      <c r="A11" s="326" t="s">
        <v>2728</v>
      </c>
      <c r="B11" s="326">
        <v>1577971</v>
      </c>
      <c r="C11" s="326"/>
      <c r="D11" s="40">
        <v>6994</v>
      </c>
      <c r="E11" s="40">
        <v>8117</v>
      </c>
      <c r="F11" t="s">
        <v>1857</v>
      </c>
      <c r="G11">
        <v>417</v>
      </c>
      <c r="H11">
        <v>403</v>
      </c>
      <c r="S11">
        <v>91</v>
      </c>
      <c r="T11">
        <v>313</v>
      </c>
    </row>
    <row r="12" spans="1:49">
      <c r="A12" s="326" t="s">
        <v>2728</v>
      </c>
      <c r="B12" s="326">
        <v>1562688</v>
      </c>
      <c r="C12" s="326"/>
      <c r="D12" s="40">
        <v>7169</v>
      </c>
      <c r="E12" s="40">
        <v>7998</v>
      </c>
      <c r="F12" t="s">
        <v>1856</v>
      </c>
      <c r="G12">
        <v>417</v>
      </c>
      <c r="H12">
        <v>403</v>
      </c>
    </row>
    <row r="13" spans="1:49">
      <c r="A13" s="326" t="s">
        <v>2728</v>
      </c>
      <c r="B13" s="326">
        <v>1585893</v>
      </c>
      <c r="C13" s="326"/>
      <c r="D13" s="40">
        <v>7213</v>
      </c>
      <c r="E13" s="40">
        <v>8180</v>
      </c>
      <c r="F13" t="s">
        <v>1696</v>
      </c>
      <c r="G13">
        <v>266</v>
      </c>
      <c r="H13">
        <v>49</v>
      </c>
      <c r="I13">
        <v>144</v>
      </c>
      <c r="J13">
        <v>57</v>
      </c>
      <c r="K13">
        <v>74</v>
      </c>
    </row>
    <row r="14" spans="1:49">
      <c r="A14" s="326" t="s">
        <v>2728</v>
      </c>
      <c r="B14" s="326">
        <v>1560129</v>
      </c>
      <c r="C14" s="326"/>
      <c r="D14" s="40">
        <v>7505</v>
      </c>
      <c r="E14" s="40">
        <v>7977</v>
      </c>
      <c r="F14" t="s">
        <v>1849</v>
      </c>
      <c r="G14">
        <v>175</v>
      </c>
      <c r="H14">
        <v>207</v>
      </c>
      <c r="S14">
        <v>384</v>
      </c>
      <c r="T14">
        <v>322</v>
      </c>
    </row>
    <row r="15" spans="1:49">
      <c r="A15" s="326" t="s">
        <v>2728</v>
      </c>
      <c r="B15" s="326">
        <v>1596959</v>
      </c>
      <c r="C15" s="326"/>
      <c r="D15" s="40">
        <v>7505</v>
      </c>
      <c r="E15" s="40">
        <v>8271</v>
      </c>
      <c r="F15" t="s">
        <v>1731</v>
      </c>
      <c r="G15">
        <v>285</v>
      </c>
      <c r="H15">
        <v>61</v>
      </c>
      <c r="I15">
        <v>272</v>
      </c>
      <c r="J15">
        <v>275</v>
      </c>
      <c r="K15">
        <v>356</v>
      </c>
    </row>
    <row r="16" spans="1:49">
      <c r="A16" s="326" t="s">
        <v>2728</v>
      </c>
      <c r="B16" s="326">
        <v>1603874</v>
      </c>
      <c r="C16" s="326"/>
      <c r="D16" s="40">
        <v>7603</v>
      </c>
      <c r="E16" s="40">
        <v>8327</v>
      </c>
      <c r="F16" t="s">
        <v>1858</v>
      </c>
      <c r="G16">
        <v>166</v>
      </c>
      <c r="H16">
        <v>105.5</v>
      </c>
    </row>
    <row r="17" spans="1:35">
      <c r="A17" s="326" t="s">
        <v>2728</v>
      </c>
      <c r="B17" s="326">
        <v>1629018</v>
      </c>
      <c r="C17" s="326"/>
      <c r="D17" s="40">
        <v>7675</v>
      </c>
      <c r="E17" s="40">
        <v>8537</v>
      </c>
      <c r="F17" t="s">
        <v>1885</v>
      </c>
      <c r="G17">
        <v>166</v>
      </c>
      <c r="H17">
        <v>229</v>
      </c>
      <c r="S17">
        <v>210</v>
      </c>
      <c r="T17">
        <v>497.01</v>
      </c>
      <c r="Z17">
        <v>29</v>
      </c>
      <c r="AA17">
        <v>896.6</v>
      </c>
      <c r="AB17">
        <v>896.62</v>
      </c>
    </row>
    <row r="18" spans="1:35">
      <c r="A18" s="326" t="s">
        <v>2728</v>
      </c>
      <c r="B18" s="326">
        <v>1579903</v>
      </c>
      <c r="C18" s="326"/>
      <c r="D18" s="40">
        <v>7811</v>
      </c>
      <c r="E18" s="40">
        <v>8131</v>
      </c>
      <c r="F18" t="s">
        <v>1851</v>
      </c>
      <c r="G18">
        <v>192</v>
      </c>
      <c r="H18" t="s">
        <v>1643</v>
      </c>
    </row>
    <row r="19" spans="1:35">
      <c r="A19" s="326" t="s">
        <v>2728</v>
      </c>
      <c r="B19" s="326">
        <v>1662984</v>
      </c>
      <c r="C19" s="326"/>
      <c r="D19" s="40">
        <v>8112</v>
      </c>
      <c r="E19" s="40">
        <v>8845</v>
      </c>
      <c r="F19" t="s">
        <v>1690</v>
      </c>
      <c r="G19">
        <v>166</v>
      </c>
      <c r="H19">
        <v>78.099999999999994</v>
      </c>
      <c r="I19">
        <v>84.1</v>
      </c>
      <c r="J19">
        <v>85.5</v>
      </c>
      <c r="S19">
        <v>173</v>
      </c>
      <c r="T19">
        <v>149</v>
      </c>
      <c r="Z19">
        <v>277</v>
      </c>
      <c r="AA19">
        <v>329</v>
      </c>
      <c r="AB19">
        <v>503</v>
      </c>
      <c r="AH19">
        <v>74</v>
      </c>
      <c r="AI19">
        <v>142</v>
      </c>
    </row>
    <row r="20" spans="1:35">
      <c r="A20" s="326" t="s">
        <v>2728</v>
      </c>
      <c r="B20" s="326">
        <v>1828857</v>
      </c>
      <c r="C20" s="326"/>
      <c r="D20" s="40">
        <v>8130</v>
      </c>
      <c r="E20" s="40">
        <v>10161</v>
      </c>
      <c r="F20" t="s">
        <v>1886</v>
      </c>
      <c r="G20">
        <v>417</v>
      </c>
      <c r="H20">
        <v>391</v>
      </c>
      <c r="I20">
        <v>403</v>
      </c>
      <c r="S20">
        <v>91</v>
      </c>
      <c r="T20">
        <v>313</v>
      </c>
    </row>
    <row r="21" spans="1:35">
      <c r="A21" s="326" t="s">
        <v>2728</v>
      </c>
      <c r="B21" s="326">
        <v>1740003</v>
      </c>
      <c r="C21" s="326"/>
      <c r="D21" s="40">
        <v>8179</v>
      </c>
      <c r="E21" s="40">
        <v>9482</v>
      </c>
      <c r="F21" t="s">
        <v>1885</v>
      </c>
      <c r="G21">
        <v>417</v>
      </c>
      <c r="H21">
        <v>259</v>
      </c>
      <c r="I21">
        <v>418</v>
      </c>
    </row>
    <row r="22" spans="1:35">
      <c r="A22" s="326" t="s">
        <v>2728</v>
      </c>
      <c r="B22" s="326">
        <v>1764473</v>
      </c>
      <c r="C22" s="326"/>
      <c r="D22" s="40">
        <v>8236</v>
      </c>
      <c r="E22" s="40">
        <v>9664</v>
      </c>
      <c r="F22" t="s">
        <v>1690</v>
      </c>
      <c r="G22">
        <v>92</v>
      </c>
      <c r="H22">
        <v>119</v>
      </c>
    </row>
    <row r="23" spans="1:35">
      <c r="A23" s="326" t="s">
        <v>2728</v>
      </c>
      <c r="B23" s="326">
        <v>1946454</v>
      </c>
      <c r="C23" s="326"/>
      <c r="D23" s="40">
        <v>8447</v>
      </c>
      <c r="E23" s="40">
        <v>10994</v>
      </c>
      <c r="F23" t="s">
        <v>1866</v>
      </c>
      <c r="G23">
        <v>91</v>
      </c>
      <c r="H23">
        <v>306</v>
      </c>
      <c r="I23">
        <v>308</v>
      </c>
      <c r="J23">
        <v>319</v>
      </c>
      <c r="K23">
        <v>109</v>
      </c>
      <c r="S23">
        <v>417</v>
      </c>
      <c r="T23">
        <v>403</v>
      </c>
    </row>
    <row r="24" spans="1:35">
      <c r="A24" s="326" t="s">
        <v>2728</v>
      </c>
      <c r="B24" s="326">
        <v>1970596</v>
      </c>
      <c r="C24" s="326"/>
      <c r="D24" s="40">
        <v>9047</v>
      </c>
      <c r="E24" s="40">
        <v>11190</v>
      </c>
      <c r="F24" t="s">
        <v>1873</v>
      </c>
      <c r="G24">
        <v>74</v>
      </c>
      <c r="H24">
        <v>89.22</v>
      </c>
      <c r="I24">
        <v>37</v>
      </c>
    </row>
    <row r="25" spans="1:35">
      <c r="A25" s="326" t="s">
        <v>2728</v>
      </c>
      <c r="B25" s="326">
        <v>1959344</v>
      </c>
      <c r="C25" s="326"/>
      <c r="D25" s="40">
        <v>9322</v>
      </c>
      <c r="E25" s="40">
        <v>11099</v>
      </c>
      <c r="F25" t="s">
        <v>1798</v>
      </c>
      <c r="G25">
        <v>148</v>
      </c>
      <c r="H25">
        <v>509</v>
      </c>
      <c r="I25">
        <v>590</v>
      </c>
      <c r="J25">
        <v>642</v>
      </c>
      <c r="K25">
        <v>644</v>
      </c>
      <c r="S25">
        <v>219</v>
      </c>
      <c r="T25">
        <v>155</v>
      </c>
      <c r="Z25">
        <v>266</v>
      </c>
      <c r="AA25">
        <v>102</v>
      </c>
      <c r="AB25">
        <v>113</v>
      </c>
    </row>
    <row r="26" spans="1:35">
      <c r="A26" s="326" t="s">
        <v>2728</v>
      </c>
      <c r="B26" s="326">
        <v>1887736</v>
      </c>
      <c r="C26" s="326"/>
      <c r="D26" s="40">
        <v>9531</v>
      </c>
      <c r="E26" s="40">
        <v>10546</v>
      </c>
      <c r="F26" t="s">
        <v>1922</v>
      </c>
      <c r="G26">
        <v>417</v>
      </c>
      <c r="H26">
        <v>403</v>
      </c>
      <c r="S26">
        <v>91</v>
      </c>
      <c r="T26">
        <v>337</v>
      </c>
    </row>
    <row r="27" spans="1:35">
      <c r="A27" s="326" t="s">
        <v>2728</v>
      </c>
      <c r="B27" s="326">
        <v>1801673</v>
      </c>
      <c r="C27" s="326"/>
      <c r="D27" s="40">
        <v>9574</v>
      </c>
      <c r="E27" s="40">
        <v>9972</v>
      </c>
      <c r="F27" t="s">
        <v>1813</v>
      </c>
      <c r="G27">
        <v>175</v>
      </c>
      <c r="H27">
        <v>302</v>
      </c>
      <c r="I27">
        <v>304</v>
      </c>
    </row>
    <row r="28" spans="1:35">
      <c r="A28" s="326" t="s">
        <v>2728</v>
      </c>
      <c r="B28" s="326">
        <v>1900588</v>
      </c>
      <c r="C28" s="326"/>
      <c r="D28" s="40">
        <v>9649</v>
      </c>
      <c r="E28" s="40">
        <v>10658</v>
      </c>
      <c r="F28" t="s">
        <v>1815</v>
      </c>
      <c r="G28">
        <v>417</v>
      </c>
      <c r="H28">
        <v>90</v>
      </c>
      <c r="I28">
        <v>450</v>
      </c>
    </row>
    <row r="29" spans="1:35">
      <c r="A29" s="326" t="s">
        <v>2728</v>
      </c>
      <c r="B29" s="326">
        <v>1909493</v>
      </c>
      <c r="C29" s="326"/>
      <c r="D29" s="40">
        <v>10099</v>
      </c>
      <c r="E29" s="40">
        <v>10728</v>
      </c>
      <c r="F29" t="s">
        <v>1852</v>
      </c>
      <c r="G29">
        <v>417</v>
      </c>
      <c r="H29">
        <v>403</v>
      </c>
      <c r="S29">
        <v>91</v>
      </c>
      <c r="T29">
        <v>320</v>
      </c>
    </row>
    <row r="30" spans="1:35">
      <c r="A30" s="326" t="s">
        <v>2728</v>
      </c>
      <c r="B30" s="326">
        <v>1957320</v>
      </c>
      <c r="C30" s="326"/>
      <c r="D30" s="40">
        <v>10580</v>
      </c>
      <c r="E30" s="40">
        <v>11078</v>
      </c>
      <c r="F30" t="s">
        <v>1734</v>
      </c>
      <c r="G30">
        <v>166</v>
      </c>
      <c r="H30">
        <v>369</v>
      </c>
      <c r="S30">
        <v>417</v>
      </c>
      <c r="T30">
        <v>12</v>
      </c>
      <c r="U30">
        <v>46</v>
      </c>
    </row>
    <row r="31" spans="1:35">
      <c r="A31" s="326" t="s">
        <v>2728</v>
      </c>
      <c r="B31" s="326">
        <v>2046769</v>
      </c>
      <c r="C31" s="326"/>
      <c r="D31" s="40">
        <v>10623</v>
      </c>
      <c r="E31" s="40">
        <v>11876</v>
      </c>
      <c r="F31" t="s">
        <v>1885</v>
      </c>
      <c r="G31">
        <v>166</v>
      </c>
      <c r="H31">
        <v>265</v>
      </c>
      <c r="I31">
        <v>369</v>
      </c>
      <c r="J31">
        <v>64</v>
      </c>
      <c r="K31">
        <v>68.5</v>
      </c>
    </row>
    <row r="32" spans="1:35">
      <c r="A32" s="326" t="s">
        <v>2728</v>
      </c>
      <c r="B32" s="326">
        <v>2046770</v>
      </c>
      <c r="C32" s="326"/>
      <c r="D32" s="40">
        <v>10623</v>
      </c>
      <c r="E32" s="40">
        <v>11876</v>
      </c>
      <c r="F32" t="s">
        <v>1799</v>
      </c>
      <c r="G32">
        <v>210</v>
      </c>
      <c r="H32">
        <v>108</v>
      </c>
      <c r="I32">
        <v>135</v>
      </c>
      <c r="J32">
        <v>138</v>
      </c>
      <c r="K32">
        <v>411</v>
      </c>
    </row>
    <row r="33" spans="1:27">
      <c r="A33" s="326" t="s">
        <v>2728</v>
      </c>
      <c r="B33" s="326">
        <v>2081221</v>
      </c>
      <c r="C33" s="326"/>
      <c r="D33" s="40">
        <v>10623</v>
      </c>
      <c r="E33" s="40">
        <v>12198</v>
      </c>
      <c r="F33" s="64" t="s">
        <v>1644</v>
      </c>
      <c r="G33">
        <v>417</v>
      </c>
      <c r="H33">
        <v>569</v>
      </c>
      <c r="I33">
        <v>539</v>
      </c>
      <c r="S33">
        <v>92</v>
      </c>
      <c r="T33">
        <v>169.1</v>
      </c>
      <c r="U33">
        <v>80</v>
      </c>
    </row>
    <row r="34" spans="1:27">
      <c r="A34" s="326" t="s">
        <v>2728</v>
      </c>
      <c r="B34" s="326">
        <v>2030050</v>
      </c>
      <c r="C34" s="326"/>
      <c r="D34" s="40">
        <v>10657</v>
      </c>
      <c r="E34" s="40">
        <v>11729</v>
      </c>
      <c r="F34" s="207" t="s">
        <v>1798</v>
      </c>
      <c r="G34">
        <v>148</v>
      </c>
      <c r="H34">
        <v>197</v>
      </c>
      <c r="I34">
        <v>201</v>
      </c>
      <c r="S34">
        <v>266</v>
      </c>
      <c r="T34">
        <v>49</v>
      </c>
      <c r="U34">
        <v>54</v>
      </c>
      <c r="Z34">
        <v>29</v>
      </c>
      <c r="AA34" t="s">
        <v>1803</v>
      </c>
    </row>
    <row r="37" spans="1:27">
      <c r="A37" s="126" t="s">
        <v>1859</v>
      </c>
      <c r="G37" s="44"/>
      <c r="H37" s="44"/>
      <c r="I37" s="44"/>
    </row>
    <row r="38" spans="1:27">
      <c r="A38" s="42" t="s">
        <v>1605</v>
      </c>
    </row>
    <row r="39" spans="1:27">
      <c r="A39" s="42" t="s">
        <v>1806</v>
      </c>
    </row>
    <row r="40" spans="1:27">
      <c r="A40" s="42" t="s">
        <v>1907</v>
      </c>
    </row>
    <row r="41" spans="1:27">
      <c r="A41" s="42" t="s">
        <v>1754</v>
      </c>
    </row>
    <row r="42" spans="1:27">
      <c r="A42" s="42" t="s">
        <v>1753</v>
      </c>
    </row>
    <row r="43" spans="1:27">
      <c r="A43" s="42" t="s">
        <v>1906</v>
      </c>
    </row>
    <row r="44" spans="1:27">
      <c r="A44" s="42" t="s">
        <v>1595</v>
      </c>
    </row>
    <row r="46" spans="1:27">
      <c r="A46" s="247" t="s">
        <v>1645</v>
      </c>
    </row>
    <row r="48" spans="1:27">
      <c r="A48" s="42" t="s">
        <v>1802</v>
      </c>
      <c r="B48" s="42">
        <v>2119736</v>
      </c>
      <c r="D48" s="40">
        <v>11058</v>
      </c>
      <c r="E48" s="40">
        <v>12576</v>
      </c>
      <c r="F48" s="64" t="s">
        <v>1755</v>
      </c>
    </row>
    <row r="49" spans="1:6">
      <c r="A49" s="42" t="s">
        <v>1802</v>
      </c>
      <c r="B49" s="42">
        <v>2204120</v>
      </c>
      <c r="D49" s="40">
        <v>11058</v>
      </c>
      <c r="E49" s="40">
        <v>13311</v>
      </c>
      <c r="F49" s="64" t="s">
        <v>1755</v>
      </c>
    </row>
    <row r="50" spans="1:6">
      <c r="A50" s="42" t="s">
        <v>1802</v>
      </c>
      <c r="B50" s="42">
        <v>2081222</v>
      </c>
      <c r="D50" s="40">
        <v>11058</v>
      </c>
      <c r="E50" s="40">
        <v>12198</v>
      </c>
      <c r="F50" s="64" t="s">
        <v>1755</v>
      </c>
    </row>
    <row r="51" spans="1:6">
      <c r="A51" s="42" t="s">
        <v>1802</v>
      </c>
      <c r="B51" s="42">
        <v>2224216</v>
      </c>
      <c r="D51" s="40">
        <v>11058</v>
      </c>
      <c r="E51" s="40">
        <v>13493</v>
      </c>
      <c r="F51" s="64" t="s">
        <v>1755</v>
      </c>
    </row>
    <row r="52" spans="1:6">
      <c r="A52" s="42" t="s">
        <v>1802</v>
      </c>
      <c r="B52" s="42">
        <v>2081224</v>
      </c>
      <c r="D52" s="40">
        <v>11238</v>
      </c>
      <c r="E52" s="40">
        <v>12198</v>
      </c>
      <c r="F52" s="64" t="s">
        <v>1644</v>
      </c>
    </row>
    <row r="53" spans="1:6">
      <c r="A53" s="42" t="s">
        <v>1802</v>
      </c>
      <c r="B53" s="42">
        <v>2081225</v>
      </c>
      <c r="D53" s="40">
        <v>11386</v>
      </c>
      <c r="E53" s="40">
        <v>12198</v>
      </c>
      <c r="F53" s="64" t="s">
        <v>1755</v>
      </c>
    </row>
    <row r="54" spans="1:6">
      <c r="A54" s="42" t="s">
        <v>1802</v>
      </c>
      <c r="B54" s="42">
        <v>2119737</v>
      </c>
      <c r="D54" s="40">
        <v>11672</v>
      </c>
      <c r="E54" s="40">
        <v>12576</v>
      </c>
      <c r="F54" s="64" t="s">
        <v>1755</v>
      </c>
    </row>
    <row r="55" spans="1:6">
      <c r="A55" s="42" t="s">
        <v>1802</v>
      </c>
      <c r="B55" s="42">
        <v>2180400</v>
      </c>
      <c r="D55" s="40">
        <v>11821</v>
      </c>
      <c r="E55" s="40">
        <v>12743</v>
      </c>
      <c r="F55" s="64" t="s">
        <v>1755</v>
      </c>
    </row>
    <row r="56" spans="1:6">
      <c r="A56" s="42" t="s">
        <v>1802</v>
      </c>
      <c r="B56" s="42">
        <v>2134174</v>
      </c>
      <c r="D56" s="40">
        <v>12164</v>
      </c>
      <c r="E56" s="40">
        <v>12716</v>
      </c>
      <c r="F56" s="64" t="s">
        <v>1755</v>
      </c>
    </row>
    <row r="57" spans="1:6">
      <c r="A57" s="42" t="s">
        <v>1802</v>
      </c>
      <c r="B57" s="42">
        <v>2179480</v>
      </c>
      <c r="D57" s="40">
        <v>12164</v>
      </c>
      <c r="E57" s="40">
        <v>13101</v>
      </c>
      <c r="F57" s="64" t="s">
        <v>1755</v>
      </c>
    </row>
    <row r="58" spans="1:6">
      <c r="A58" s="42" t="s">
        <v>1802</v>
      </c>
      <c r="B58" s="42">
        <v>2257107</v>
      </c>
      <c r="D58" s="40">
        <v>12278</v>
      </c>
      <c r="E58" s="40">
        <v>13787</v>
      </c>
      <c r="F58" s="64" t="s">
        <v>1755</v>
      </c>
    </row>
    <row r="59" spans="1:6">
      <c r="A59" s="42" t="s">
        <v>1802</v>
      </c>
      <c r="B59" s="42">
        <v>2179482</v>
      </c>
      <c r="D59" s="40">
        <v>12493</v>
      </c>
      <c r="E59" s="65">
        <v>13101</v>
      </c>
      <c r="F59" s="64" t="s">
        <v>1755</v>
      </c>
    </row>
    <row r="60" spans="1:6">
      <c r="A60" s="42" t="s">
        <v>1802</v>
      </c>
      <c r="B60" s="42">
        <v>2266356</v>
      </c>
      <c r="D60" s="40">
        <v>12556</v>
      </c>
      <c r="E60" s="40">
        <v>13864</v>
      </c>
      <c r="F60" s="64" t="s">
        <v>1755</v>
      </c>
    </row>
    <row r="61" spans="1:6">
      <c r="A61" s="42" t="s">
        <v>1802</v>
      </c>
      <c r="B61" s="42">
        <v>2242777</v>
      </c>
      <c r="D61" s="40">
        <v>12627</v>
      </c>
      <c r="E61" s="40">
        <v>13654</v>
      </c>
      <c r="F61" s="64" t="s">
        <v>1755</v>
      </c>
    </row>
    <row r="62" spans="1:6">
      <c r="A62" s="42" t="s">
        <v>1802</v>
      </c>
      <c r="B62" s="42">
        <v>2307451</v>
      </c>
      <c r="D62" s="40">
        <v>13363</v>
      </c>
      <c r="E62" s="40">
        <v>14249</v>
      </c>
      <c r="F62" s="64" t="s">
        <v>1755</v>
      </c>
    </row>
    <row r="63" spans="1:6">
      <c r="A63" s="42" t="s">
        <v>1802</v>
      </c>
      <c r="B63" s="42">
        <v>2311157</v>
      </c>
      <c r="D63" s="40">
        <v>13602</v>
      </c>
      <c r="E63" s="40">
        <v>14291</v>
      </c>
      <c r="F63" s="64" t="s">
        <v>1755</v>
      </c>
    </row>
    <row r="65" spans="1:3">
      <c r="A65" s="42" t="s">
        <v>1338</v>
      </c>
    </row>
    <row r="66" spans="1:3">
      <c r="A66" s="42" t="s">
        <v>1365</v>
      </c>
    </row>
    <row r="67" spans="1:3">
      <c r="A67" s="42" t="s">
        <v>1366</v>
      </c>
    </row>
    <row r="68" spans="1:3">
      <c r="A68" s="42" t="s">
        <v>1367</v>
      </c>
    </row>
    <row r="69" spans="1:3">
      <c r="A69" s="42" t="s">
        <v>3905</v>
      </c>
    </row>
    <row r="70" spans="1:3">
      <c r="A70" s="42" t="s">
        <v>1369</v>
      </c>
    </row>
    <row r="71" spans="1:3">
      <c r="A71" s="42" t="s">
        <v>1370</v>
      </c>
    </row>
    <row r="72" spans="1:3">
      <c r="A72" s="42" t="s">
        <v>1371</v>
      </c>
    </row>
    <row r="73" spans="1:3">
      <c r="A73" s="42" t="s">
        <v>1375</v>
      </c>
    </row>
    <row r="74" spans="1:3">
      <c r="A74" s="42" t="s">
        <v>1376</v>
      </c>
    </row>
    <row r="75" spans="1:3">
      <c r="A75" s="42" t="s">
        <v>1377</v>
      </c>
    </row>
    <row r="76" spans="1:3" s="203" customFormat="1">
      <c r="A76" s="42" t="s">
        <v>270</v>
      </c>
      <c r="B76" s="42"/>
      <c r="C76" s="42"/>
    </row>
    <row r="78" spans="1:3">
      <c r="A78" s="126" t="s">
        <v>1407</v>
      </c>
    </row>
    <row r="82" spans="1:1">
      <c r="A82" s="126" t="s">
        <v>1411</v>
      </c>
    </row>
  </sheetData>
  <sortState ref="A35:XFD36">
    <sortCondition ref="D35:D36"/>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W47"/>
  <sheetViews>
    <sheetView workbookViewId="0">
      <selection activeCell="A5" sqref="A5"/>
    </sheetView>
  </sheetViews>
  <sheetFormatPr baseColWidth="10" defaultColWidth="11" defaultRowHeight="13"/>
  <cols>
    <col min="3" max="3" width="11" style="207"/>
  </cols>
  <sheetData>
    <row r="1" spans="1:49" s="12" customFormat="1" ht="36">
      <c r="A1" s="1" t="s">
        <v>1869</v>
      </c>
      <c r="B1" s="1" t="s">
        <v>1747</v>
      </c>
      <c r="C1" s="1" t="s">
        <v>2827</v>
      </c>
      <c r="D1" s="1" t="s">
        <v>1774</v>
      </c>
      <c r="E1" s="1" t="s">
        <v>1777</v>
      </c>
      <c r="F1" s="1" t="s">
        <v>1787</v>
      </c>
      <c r="G1" s="2" t="s">
        <v>1631</v>
      </c>
      <c r="H1" s="3" t="s">
        <v>1632</v>
      </c>
      <c r="I1" s="4" t="s">
        <v>1797</v>
      </c>
      <c r="J1" s="4" t="s">
        <v>1689</v>
      </c>
      <c r="K1" s="4" t="s">
        <v>1633</v>
      </c>
      <c r="L1" s="4" t="s">
        <v>1827</v>
      </c>
      <c r="M1" s="4" t="s">
        <v>1828</v>
      </c>
      <c r="N1" s="4" t="s">
        <v>1692</v>
      </c>
      <c r="O1" s="4" t="s">
        <v>1793</v>
      </c>
      <c r="P1" s="4" t="s">
        <v>1638</v>
      </c>
      <c r="Q1" s="4" t="s">
        <v>1801</v>
      </c>
      <c r="R1" s="4" t="s">
        <v>1700</v>
      </c>
      <c r="S1" s="5" t="s">
        <v>1683</v>
      </c>
      <c r="T1" s="6" t="s">
        <v>1684</v>
      </c>
      <c r="U1" s="6" t="s">
        <v>1900</v>
      </c>
      <c r="V1" s="6" t="s">
        <v>1901</v>
      </c>
      <c r="W1" s="6" t="s">
        <v>1685</v>
      </c>
      <c r="X1" s="6" t="s">
        <v>1686</v>
      </c>
      <c r="Y1" s="7" t="s">
        <v>1687</v>
      </c>
      <c r="Z1" s="8" t="s">
        <v>1688</v>
      </c>
      <c r="AA1" s="9" t="s">
        <v>1810</v>
      </c>
      <c r="AB1" s="9" t="s">
        <v>1728</v>
      </c>
      <c r="AC1" s="9" t="s">
        <v>1763</v>
      </c>
      <c r="AD1" s="9" t="s">
        <v>1764</v>
      </c>
      <c r="AE1" s="9" t="s">
        <v>1860</v>
      </c>
      <c r="AF1" s="9" t="s">
        <v>1861</v>
      </c>
      <c r="AG1" s="9" t="s">
        <v>1693</v>
      </c>
      <c r="AH1" s="5" t="s">
        <v>1694</v>
      </c>
      <c r="AI1" s="6" t="s">
        <v>1862</v>
      </c>
      <c r="AJ1" s="6" t="s">
        <v>1744</v>
      </c>
      <c r="AK1" s="7" t="s">
        <v>1758</v>
      </c>
      <c r="AL1" s="7" t="s">
        <v>1921</v>
      </c>
      <c r="AM1" s="7" t="s">
        <v>1835</v>
      </c>
      <c r="AN1" s="7" t="s">
        <v>1836</v>
      </c>
      <c r="AO1" s="7" t="s">
        <v>1893</v>
      </c>
      <c r="AP1" s="7" t="s">
        <v>1894</v>
      </c>
      <c r="AQ1" s="10" t="s">
        <v>1895</v>
      </c>
      <c r="AR1" s="10" t="s">
        <v>1745</v>
      </c>
      <c r="AS1" s="10" t="s">
        <v>1751</v>
      </c>
      <c r="AT1" s="11" t="s">
        <v>1746</v>
      </c>
      <c r="AU1" s="1" t="s">
        <v>1899</v>
      </c>
      <c r="AV1" s="1" t="s">
        <v>1680</v>
      </c>
      <c r="AW1" s="1" t="s">
        <v>1681</v>
      </c>
    </row>
    <row r="2" spans="1:49" s="12" customFormat="1" ht="12">
      <c r="A2" s="32" t="s">
        <v>1924</v>
      </c>
      <c r="B2" s="1"/>
      <c r="C2" s="1"/>
      <c r="D2" s="1"/>
      <c r="E2" s="1"/>
      <c r="F2" s="1"/>
      <c r="G2" s="50"/>
      <c r="H2" s="50"/>
      <c r="I2" s="4"/>
      <c r="J2" s="4"/>
      <c r="K2" s="4"/>
      <c r="L2" s="4"/>
      <c r="M2" s="4"/>
      <c r="N2" s="4"/>
      <c r="O2" s="4"/>
      <c r="P2" s="4"/>
      <c r="Q2" s="4"/>
      <c r="R2" s="4"/>
      <c r="S2" s="6"/>
      <c r="T2" s="6"/>
      <c r="U2" s="6"/>
      <c r="V2" s="6"/>
      <c r="W2" s="6"/>
      <c r="X2" s="6"/>
      <c r="Y2" s="6"/>
      <c r="Z2" s="9"/>
      <c r="AA2" s="9"/>
      <c r="AB2" s="9"/>
      <c r="AC2" s="9"/>
      <c r="AD2" s="9"/>
      <c r="AE2" s="9"/>
      <c r="AF2" s="9"/>
      <c r="AG2" s="9"/>
      <c r="AH2" s="6"/>
      <c r="AI2" s="6"/>
      <c r="AJ2" s="6"/>
      <c r="AK2" s="6"/>
      <c r="AL2" s="6"/>
      <c r="AM2" s="6"/>
      <c r="AN2" s="6"/>
      <c r="AO2" s="6"/>
      <c r="AP2" s="6"/>
      <c r="AQ2" s="10"/>
      <c r="AR2" s="10"/>
      <c r="AS2" s="10"/>
      <c r="AT2" s="51"/>
      <c r="AU2" s="1"/>
      <c r="AV2" s="1"/>
      <c r="AW2" s="1"/>
    </row>
    <row r="3" spans="1:49">
      <c r="A3" s="231" t="s">
        <v>1829</v>
      </c>
      <c r="B3" s="231">
        <v>2002991</v>
      </c>
      <c r="C3" s="231"/>
      <c r="D3" s="40">
        <v>9071</v>
      </c>
      <c r="E3" s="40">
        <v>11470</v>
      </c>
      <c r="F3" s="33" t="s">
        <v>1867</v>
      </c>
      <c r="G3">
        <v>409</v>
      </c>
      <c r="H3">
        <v>146</v>
      </c>
      <c r="S3">
        <v>74</v>
      </c>
      <c r="T3">
        <v>441</v>
      </c>
    </row>
    <row r="4" spans="1:49">
      <c r="A4" s="231" t="s">
        <v>1691</v>
      </c>
      <c r="B4" s="231">
        <v>2029094</v>
      </c>
      <c r="C4" s="231"/>
      <c r="D4" s="40">
        <v>10570</v>
      </c>
      <c r="E4" s="40">
        <v>11715</v>
      </c>
      <c r="F4" s="33" t="s">
        <v>1867</v>
      </c>
      <c r="G4">
        <v>74</v>
      </c>
      <c r="H4" t="s">
        <v>1825</v>
      </c>
      <c r="S4">
        <v>192</v>
      </c>
      <c r="T4">
        <v>138</v>
      </c>
      <c r="Z4">
        <v>49</v>
      </c>
      <c r="AA4">
        <v>138</v>
      </c>
      <c r="AH4">
        <v>82</v>
      </c>
      <c r="AI4">
        <v>132</v>
      </c>
    </row>
    <row r="5" spans="1:49">
      <c r="A5" s="231" t="s">
        <v>1829</v>
      </c>
      <c r="B5" s="231">
        <v>1981224</v>
      </c>
      <c r="C5" s="231"/>
      <c r="D5" s="40">
        <v>10577</v>
      </c>
      <c r="E5" s="40">
        <v>11281</v>
      </c>
      <c r="F5" s="33" t="s">
        <v>1867</v>
      </c>
      <c r="G5">
        <v>409</v>
      </c>
      <c r="H5">
        <v>208</v>
      </c>
      <c r="I5">
        <v>209</v>
      </c>
    </row>
    <row r="7" spans="1:49">
      <c r="A7" s="324" t="s">
        <v>4100</v>
      </c>
    </row>
    <row r="8" spans="1:49" s="26" customFormat="1" ht="12">
      <c r="A8" s="143" t="s">
        <v>1829</v>
      </c>
      <c r="B8" s="143">
        <v>1962979</v>
      </c>
      <c r="C8" s="143"/>
      <c r="D8" s="35">
        <v>10732</v>
      </c>
      <c r="E8" s="27"/>
      <c r="F8" s="33" t="s">
        <v>1830</v>
      </c>
      <c r="G8" s="27">
        <v>409</v>
      </c>
      <c r="H8" s="27">
        <v>146</v>
      </c>
      <c r="I8" s="27"/>
      <c r="J8" s="27"/>
      <c r="K8" s="27"/>
      <c r="L8" s="27"/>
      <c r="M8" s="27"/>
      <c r="N8" s="27"/>
      <c r="O8" s="27"/>
      <c r="P8" s="27"/>
      <c r="Q8" s="27"/>
      <c r="R8" s="27"/>
    </row>
    <row r="9" spans="1:49" s="26" customFormat="1" ht="12">
      <c r="A9" s="143" t="s">
        <v>1829</v>
      </c>
      <c r="B9" s="143">
        <v>2119705</v>
      </c>
      <c r="C9" s="143"/>
      <c r="D9" s="144">
        <v>12060</v>
      </c>
      <c r="E9" s="27"/>
      <c r="F9" s="33" t="s">
        <v>1831</v>
      </c>
      <c r="G9" s="27">
        <v>74</v>
      </c>
      <c r="H9" s="27">
        <v>441</v>
      </c>
      <c r="I9" s="27"/>
      <c r="J9" s="27"/>
      <c r="K9" s="27"/>
      <c r="L9" s="27"/>
      <c r="M9" s="27"/>
      <c r="N9" s="27"/>
      <c r="O9" s="27"/>
      <c r="P9" s="27"/>
      <c r="Q9" s="27"/>
      <c r="R9" s="27"/>
    </row>
    <row r="10" spans="1:49" s="26" customFormat="1" ht="12">
      <c r="A10" s="143" t="s">
        <v>1829</v>
      </c>
      <c r="B10" s="143">
        <v>2124852</v>
      </c>
      <c r="C10" s="143"/>
      <c r="D10" s="144">
        <v>11025</v>
      </c>
      <c r="E10" s="27"/>
      <c r="F10" s="33" t="s">
        <v>1832</v>
      </c>
      <c r="G10" s="27">
        <v>409</v>
      </c>
      <c r="H10" s="27">
        <v>146</v>
      </c>
      <c r="I10" s="27"/>
      <c r="J10" s="27"/>
      <c r="K10" s="27"/>
      <c r="L10" s="27"/>
      <c r="M10" s="27"/>
      <c r="N10" s="27"/>
      <c r="O10" s="27"/>
      <c r="P10" s="27"/>
      <c r="Q10" s="27"/>
      <c r="R10" s="27"/>
      <c r="S10" s="26">
        <v>74</v>
      </c>
      <c r="T10" s="26">
        <v>441</v>
      </c>
    </row>
    <row r="11" spans="1:49" s="26" customFormat="1" ht="12">
      <c r="A11" s="143" t="s">
        <v>1829</v>
      </c>
      <c r="B11" s="143">
        <v>2025634</v>
      </c>
      <c r="C11" s="143"/>
      <c r="D11" s="144">
        <v>11025</v>
      </c>
      <c r="E11" s="27"/>
      <c r="F11" s="33" t="s">
        <v>1819</v>
      </c>
      <c r="G11" s="27"/>
      <c r="H11" s="27"/>
      <c r="I11" s="27"/>
      <c r="J11" s="27"/>
      <c r="K11" s="27"/>
      <c r="L11" s="27"/>
      <c r="M11" s="27"/>
      <c r="N11" s="27"/>
      <c r="O11" s="27"/>
      <c r="P11" s="27"/>
      <c r="Q11" s="27"/>
      <c r="R11" s="27"/>
    </row>
    <row r="12" spans="1:49">
      <c r="A12" s="42"/>
      <c r="B12" s="42"/>
      <c r="C12" s="42"/>
      <c r="D12" s="42"/>
    </row>
    <row r="13" spans="1:49">
      <c r="A13" s="145" t="s">
        <v>1610</v>
      </c>
      <c r="B13" s="42"/>
      <c r="C13" s="42"/>
      <c r="D13" s="42"/>
    </row>
    <row r="14" spans="1:49">
      <c r="A14" s="143" t="s">
        <v>1691</v>
      </c>
      <c r="B14" s="143">
        <v>2123825</v>
      </c>
      <c r="C14" s="143"/>
      <c r="D14" s="43">
        <v>11023</v>
      </c>
      <c r="E14" s="40">
        <v>12611</v>
      </c>
      <c r="F14" s="33" t="s">
        <v>1611</v>
      </c>
    </row>
    <row r="15" spans="1:49">
      <c r="A15" s="143" t="s">
        <v>1691</v>
      </c>
      <c r="B15" s="143">
        <v>2059091</v>
      </c>
      <c r="C15" s="143"/>
      <c r="D15" s="43">
        <v>11079</v>
      </c>
      <c r="E15" s="40">
        <v>11988</v>
      </c>
      <c r="F15" s="33" t="s">
        <v>1611</v>
      </c>
    </row>
    <row r="18" spans="1:1">
      <c r="A18" s="48" t="s">
        <v>1955</v>
      </c>
    </row>
    <row r="19" spans="1:1">
      <c r="A19" s="34" t="s">
        <v>2037</v>
      </c>
    </row>
    <row r="20" spans="1:1">
      <c r="A20" s="34" t="s">
        <v>81</v>
      </c>
    </row>
    <row r="21" spans="1:1">
      <c r="A21" s="34" t="s">
        <v>1609</v>
      </c>
    </row>
    <row r="22" spans="1:1">
      <c r="A22" s="34" t="s">
        <v>1879</v>
      </c>
    </row>
    <row r="23" spans="1:1">
      <c r="A23" s="34" t="s">
        <v>1816</v>
      </c>
    </row>
    <row r="24" spans="1:1">
      <c r="A24" s="34" t="s">
        <v>1933</v>
      </c>
    </row>
    <row r="27" spans="1:1">
      <c r="A27" s="120" t="s">
        <v>1338</v>
      </c>
    </row>
    <row r="28" spans="1:1">
      <c r="A28" s="120" t="s">
        <v>1365</v>
      </c>
    </row>
    <row r="29" spans="1:1">
      <c r="A29" s="120" t="s">
        <v>1366</v>
      </c>
    </row>
    <row r="30" spans="1:1">
      <c r="A30" s="120" t="s">
        <v>1367</v>
      </c>
    </row>
    <row r="31" spans="1:1">
      <c r="A31" s="120" t="s">
        <v>1368</v>
      </c>
    </row>
    <row r="32" spans="1:1">
      <c r="A32" s="120" t="s">
        <v>1369</v>
      </c>
    </row>
    <row r="33" spans="1:1">
      <c r="A33" s="120" t="s">
        <v>1370</v>
      </c>
    </row>
    <row r="34" spans="1:1">
      <c r="A34" s="120" t="s">
        <v>1371</v>
      </c>
    </row>
    <row r="35" spans="1:1">
      <c r="A35" s="120" t="s">
        <v>1375</v>
      </c>
    </row>
    <row r="36" spans="1:1">
      <c r="A36" s="120" t="s">
        <v>1376</v>
      </c>
    </row>
    <row r="37" spans="1:1">
      <c r="A37" s="120" t="s">
        <v>1377</v>
      </c>
    </row>
    <row r="38" spans="1:1">
      <c r="A38" s="120"/>
    </row>
    <row r="39" spans="1:1">
      <c r="A39" s="47" t="s">
        <v>1407</v>
      </c>
    </row>
    <row r="40" spans="1:1">
      <c r="A40" s="120"/>
    </row>
    <row r="41" spans="1:1">
      <c r="A41" s="120"/>
    </row>
    <row r="42" spans="1:1">
      <c r="A42" s="120"/>
    </row>
    <row r="43" spans="1:1">
      <c r="A43" s="47" t="s">
        <v>1411</v>
      </c>
    </row>
    <row r="44" spans="1:1">
      <c r="A44" s="120"/>
    </row>
    <row r="45" spans="1:1">
      <c r="A45" s="120"/>
    </row>
    <row r="46" spans="1:1">
      <c r="A46" s="120"/>
    </row>
    <row r="47" spans="1:1">
      <c r="A47" s="120"/>
    </row>
  </sheetData>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X184"/>
  <sheetViews>
    <sheetView topLeftCell="R1" workbookViewId="0">
      <selection activeCell="D41" sqref="D41"/>
    </sheetView>
  </sheetViews>
  <sheetFormatPr baseColWidth="10" defaultColWidth="11" defaultRowHeight="13"/>
  <cols>
    <col min="1" max="3" width="11" style="42"/>
    <col min="7" max="7" width="11" style="123"/>
  </cols>
  <sheetData>
    <row r="1" spans="1:50" s="12" customFormat="1" ht="36">
      <c r="A1" s="52" t="s">
        <v>1869</v>
      </c>
      <c r="B1" s="52" t="s">
        <v>1747</v>
      </c>
      <c r="C1" s="52" t="s">
        <v>1175</v>
      </c>
      <c r="D1" s="1" t="s">
        <v>1774</v>
      </c>
      <c r="E1" s="1" t="s">
        <v>1777</v>
      </c>
      <c r="F1" s="1" t="s">
        <v>1787</v>
      </c>
      <c r="G1" s="1"/>
      <c r="H1" s="2" t="s">
        <v>1631</v>
      </c>
      <c r="I1" s="3" t="s">
        <v>1632</v>
      </c>
      <c r="J1" s="4" t="s">
        <v>1797</v>
      </c>
      <c r="K1" s="4" t="s">
        <v>1689</v>
      </c>
      <c r="L1" s="4" t="s">
        <v>1633</v>
      </c>
      <c r="M1" s="4" t="s">
        <v>1827</v>
      </c>
      <c r="N1" s="4" t="s">
        <v>1828</v>
      </c>
      <c r="O1" s="4" t="s">
        <v>1692</v>
      </c>
      <c r="P1" s="4" t="s">
        <v>1793</v>
      </c>
      <c r="Q1" s="4" t="s">
        <v>1638</v>
      </c>
      <c r="R1" s="4" t="s">
        <v>1801</v>
      </c>
      <c r="S1" s="4" t="s">
        <v>1700</v>
      </c>
      <c r="T1" s="5" t="s">
        <v>1683</v>
      </c>
      <c r="U1" s="6" t="s">
        <v>1684</v>
      </c>
      <c r="V1" s="6" t="s">
        <v>1900</v>
      </c>
      <c r="W1" s="6" t="s">
        <v>1901</v>
      </c>
      <c r="X1" s="6" t="s">
        <v>1685</v>
      </c>
      <c r="Y1" s="6" t="s">
        <v>1686</v>
      </c>
      <c r="Z1" s="7" t="s">
        <v>1687</v>
      </c>
      <c r="AA1" s="8" t="s">
        <v>1688</v>
      </c>
      <c r="AB1" s="9" t="s">
        <v>1810</v>
      </c>
      <c r="AC1" s="9" t="s">
        <v>1728</v>
      </c>
      <c r="AD1" s="9" t="s">
        <v>1763</v>
      </c>
      <c r="AE1" s="9" t="s">
        <v>1764</v>
      </c>
      <c r="AF1" s="9" t="s">
        <v>1860</v>
      </c>
      <c r="AG1" s="9" t="s">
        <v>1861</v>
      </c>
      <c r="AH1" s="9" t="s">
        <v>1693</v>
      </c>
      <c r="AI1" s="5" t="s">
        <v>1694</v>
      </c>
      <c r="AJ1" s="6" t="s">
        <v>1862</v>
      </c>
      <c r="AK1" s="6" t="s">
        <v>1744</v>
      </c>
      <c r="AL1" s="7" t="s">
        <v>1758</v>
      </c>
      <c r="AM1" s="7" t="s">
        <v>1921</v>
      </c>
      <c r="AN1" s="7" t="s">
        <v>1835</v>
      </c>
      <c r="AO1" s="7" t="s">
        <v>1836</v>
      </c>
      <c r="AP1" s="7" t="s">
        <v>1893</v>
      </c>
      <c r="AQ1" s="7" t="s">
        <v>1894</v>
      </c>
      <c r="AR1" s="10" t="s">
        <v>1895</v>
      </c>
      <c r="AS1" s="10" t="s">
        <v>1745</v>
      </c>
      <c r="AT1" s="10" t="s">
        <v>1751</v>
      </c>
      <c r="AU1" s="11" t="s">
        <v>1746</v>
      </c>
      <c r="AV1" s="1" t="s">
        <v>1899</v>
      </c>
      <c r="AW1" s="1" t="s">
        <v>1680</v>
      </c>
      <c r="AX1" s="1" t="s">
        <v>1681</v>
      </c>
    </row>
    <row r="2" spans="1:50" s="45" customFormat="1" ht="12">
      <c r="A2" s="58" t="s">
        <v>966</v>
      </c>
      <c r="B2" s="52"/>
      <c r="C2" s="52"/>
      <c r="D2" s="52"/>
      <c r="E2" s="52"/>
      <c r="F2" s="52"/>
      <c r="G2" s="52"/>
      <c r="H2" s="53"/>
      <c r="I2" s="53"/>
      <c r="J2" s="52"/>
      <c r="K2" s="52"/>
      <c r="L2" s="52"/>
      <c r="M2" s="52"/>
      <c r="N2" s="52"/>
      <c r="O2" s="52"/>
      <c r="P2" s="52"/>
      <c r="Q2" s="52"/>
      <c r="R2" s="52"/>
      <c r="S2" s="52"/>
      <c r="T2" s="53"/>
      <c r="U2" s="53"/>
      <c r="V2" s="53"/>
      <c r="W2" s="53"/>
      <c r="X2" s="53"/>
      <c r="Y2" s="53"/>
      <c r="Z2" s="53"/>
      <c r="AA2" s="53"/>
      <c r="AB2" s="53"/>
      <c r="AC2" s="53"/>
      <c r="AD2" s="53"/>
      <c r="AE2" s="53"/>
      <c r="AF2" s="53"/>
      <c r="AG2" s="53"/>
      <c r="AH2" s="53"/>
      <c r="AI2" s="53"/>
      <c r="AJ2" s="53"/>
      <c r="AK2" s="53"/>
      <c r="AL2" s="53"/>
      <c r="AM2" s="53"/>
      <c r="AN2" s="53"/>
      <c r="AO2" s="53"/>
      <c r="AP2" s="53"/>
      <c r="AQ2" s="53"/>
      <c r="AR2" s="52"/>
      <c r="AS2" s="52"/>
      <c r="AT2" s="52"/>
      <c r="AU2" s="53"/>
      <c r="AV2" s="52"/>
      <c r="AW2" s="52"/>
      <c r="AX2" s="52"/>
    </row>
    <row r="3" spans="1:50" s="26" customFormat="1" ht="12">
      <c r="A3" s="231" t="s">
        <v>1718</v>
      </c>
      <c r="B3" s="231">
        <v>1908080</v>
      </c>
      <c r="C3" s="231" t="s">
        <v>1176</v>
      </c>
      <c r="D3" s="141">
        <v>10367</v>
      </c>
      <c r="E3" s="35">
        <v>10721</v>
      </c>
      <c r="F3" s="33" t="s">
        <v>1737</v>
      </c>
      <c r="G3" s="33"/>
      <c r="H3" s="27">
        <v>411</v>
      </c>
      <c r="I3" s="27">
        <v>403</v>
      </c>
      <c r="J3" s="27">
        <v>919</v>
      </c>
      <c r="K3" s="27"/>
      <c r="L3" s="27"/>
      <c r="M3" s="27"/>
      <c r="N3" s="27"/>
      <c r="O3" s="27"/>
      <c r="P3" s="27"/>
      <c r="Q3" s="27"/>
      <c r="R3" s="27"/>
      <c r="S3" s="27"/>
      <c r="T3" s="26">
        <v>16</v>
      </c>
      <c r="U3" s="26" t="s">
        <v>1812</v>
      </c>
      <c r="AA3" s="26">
        <v>470</v>
      </c>
      <c r="AB3" s="26">
        <v>60</v>
      </c>
      <c r="AC3" s="26">
        <v>9</v>
      </c>
    </row>
    <row r="4" spans="1:50">
      <c r="A4" s="231" t="s">
        <v>1718</v>
      </c>
      <c r="B4" s="231">
        <v>1908081</v>
      </c>
      <c r="C4" s="231" t="s">
        <v>1176</v>
      </c>
      <c r="D4" s="141">
        <v>10395</v>
      </c>
      <c r="E4" s="35">
        <v>10721</v>
      </c>
      <c r="F4" t="s">
        <v>1920</v>
      </c>
      <c r="H4" s="62">
        <v>81</v>
      </c>
      <c r="I4" s="62">
        <v>460</v>
      </c>
    </row>
    <row r="5" spans="1:50" s="26" customFormat="1" ht="12">
      <c r="A5" s="143" t="s">
        <v>1718</v>
      </c>
      <c r="B5" s="143">
        <v>2046343</v>
      </c>
      <c r="C5" s="143" t="s">
        <v>1176</v>
      </c>
      <c r="D5" s="141">
        <v>11141</v>
      </c>
      <c r="E5" s="35">
        <v>11876</v>
      </c>
      <c r="F5" s="33" t="s">
        <v>1847</v>
      </c>
      <c r="G5" s="33"/>
      <c r="H5" s="27">
        <v>411</v>
      </c>
      <c r="I5" s="27">
        <v>404</v>
      </c>
      <c r="J5" s="27">
        <v>919</v>
      </c>
      <c r="K5" s="27"/>
      <c r="L5" s="27"/>
      <c r="M5" s="27"/>
      <c r="N5" s="27"/>
      <c r="O5" s="27"/>
      <c r="P5" s="27"/>
      <c r="Q5" s="27"/>
      <c r="R5" s="27"/>
      <c r="S5" s="27"/>
    </row>
    <row r="6" spans="1:50" s="26" customFormat="1">
      <c r="A6" s="143" t="s">
        <v>1718</v>
      </c>
      <c r="B6" s="143">
        <v>2046837</v>
      </c>
      <c r="C6" s="143" t="s">
        <v>1176</v>
      </c>
      <c r="D6" s="142">
        <v>11141</v>
      </c>
      <c r="E6" s="35">
        <v>11877</v>
      </c>
      <c r="F6" s="33" t="s">
        <v>1847</v>
      </c>
      <c r="G6" s="33"/>
      <c r="H6" s="27">
        <v>81</v>
      </c>
      <c r="I6" s="27">
        <v>460</v>
      </c>
      <c r="J6" s="27"/>
      <c r="K6" s="27"/>
      <c r="L6" s="27"/>
      <c r="M6" s="27"/>
      <c r="N6" s="27"/>
      <c r="O6" s="27"/>
      <c r="P6" s="27"/>
      <c r="Q6" s="27"/>
      <c r="R6" s="27"/>
      <c r="S6" s="27"/>
      <c r="T6" s="26">
        <v>411</v>
      </c>
      <c r="U6" s="26">
        <v>404</v>
      </c>
      <c r="V6" s="26">
        <v>919</v>
      </c>
    </row>
    <row r="7" spans="1:50" s="26" customFormat="1">
      <c r="A7" s="143" t="s">
        <v>1722</v>
      </c>
      <c r="B7" s="143">
        <v>2046838</v>
      </c>
      <c r="C7" s="143" t="s">
        <v>1176</v>
      </c>
      <c r="D7" s="142">
        <v>11141</v>
      </c>
      <c r="E7" s="35">
        <v>11876</v>
      </c>
      <c r="F7" s="33" t="s">
        <v>1723</v>
      </c>
      <c r="G7" s="33"/>
      <c r="H7" s="27"/>
      <c r="I7" s="27"/>
      <c r="J7" s="27"/>
      <c r="K7" s="27"/>
      <c r="L7" s="27"/>
      <c r="M7" s="27"/>
      <c r="N7" s="27"/>
      <c r="O7" s="27"/>
      <c r="P7" s="27"/>
      <c r="Q7" s="27"/>
      <c r="R7" s="27"/>
      <c r="S7" s="27"/>
    </row>
    <row r="8" spans="1:50" s="26" customFormat="1">
      <c r="A8" s="143" t="s">
        <v>1718</v>
      </c>
      <c r="B8" s="143">
        <v>2046839</v>
      </c>
      <c r="C8" s="143" t="s">
        <v>1176</v>
      </c>
      <c r="D8" s="142">
        <v>11337</v>
      </c>
      <c r="E8" s="35">
        <v>11876</v>
      </c>
      <c r="F8" s="33" t="s">
        <v>1896</v>
      </c>
      <c r="G8" s="33"/>
      <c r="H8" s="27">
        <v>112</v>
      </c>
      <c r="I8" s="27">
        <v>258</v>
      </c>
      <c r="J8" s="27">
        <v>270</v>
      </c>
      <c r="K8" s="27"/>
      <c r="L8" s="27"/>
      <c r="M8" s="27"/>
      <c r="N8" s="27"/>
      <c r="O8" s="27"/>
      <c r="P8" s="27"/>
      <c r="Q8" s="27"/>
      <c r="R8" s="27"/>
      <c r="S8" s="27"/>
    </row>
    <row r="9" spans="1:50" s="123" customFormat="1">
      <c r="A9" s="143" t="s">
        <v>1718</v>
      </c>
      <c r="B9" s="143">
        <v>2046840</v>
      </c>
      <c r="C9" s="143" t="s">
        <v>1176</v>
      </c>
      <c r="D9" s="141">
        <v>11337</v>
      </c>
      <c r="E9" s="35">
        <v>11876</v>
      </c>
      <c r="F9" s="33" t="s">
        <v>1896</v>
      </c>
      <c r="G9" s="33"/>
      <c r="H9" s="62"/>
      <c r="I9" s="62"/>
    </row>
    <row r="10" spans="1:50" s="26" customFormat="1">
      <c r="A10" s="143" t="s">
        <v>1718</v>
      </c>
      <c r="B10" s="143">
        <v>2066484</v>
      </c>
      <c r="C10" s="143" t="s">
        <v>1176</v>
      </c>
      <c r="D10" s="40">
        <v>11337</v>
      </c>
      <c r="E10" s="35">
        <v>12058</v>
      </c>
      <c r="F10" s="33" t="s">
        <v>1847</v>
      </c>
      <c r="G10" s="33"/>
      <c r="H10" s="27">
        <v>411</v>
      </c>
      <c r="I10" s="27">
        <v>404</v>
      </c>
      <c r="J10" s="27">
        <v>919</v>
      </c>
      <c r="K10" s="27"/>
      <c r="L10" s="27"/>
      <c r="M10" s="27"/>
      <c r="N10" s="27"/>
      <c r="O10" s="27"/>
      <c r="P10" s="27"/>
      <c r="Q10" s="27"/>
      <c r="R10" s="27"/>
      <c r="S10" s="27"/>
    </row>
    <row r="11" spans="1:50" s="26" customFormat="1">
      <c r="A11" s="143" t="s">
        <v>1718</v>
      </c>
      <c r="B11" s="143">
        <v>2402342</v>
      </c>
      <c r="C11" s="143" t="s">
        <v>1176</v>
      </c>
      <c r="D11" s="40">
        <v>14263</v>
      </c>
      <c r="E11" s="35">
        <v>15509</v>
      </c>
      <c r="F11" s="33" t="s">
        <v>1847</v>
      </c>
      <c r="G11" s="33"/>
      <c r="H11" s="27">
        <v>411</v>
      </c>
      <c r="I11" s="27">
        <v>404</v>
      </c>
      <c r="J11" s="27">
        <v>919</v>
      </c>
      <c r="K11" s="27"/>
      <c r="L11" s="27"/>
      <c r="M11" s="27"/>
      <c r="N11" s="27"/>
      <c r="O11" s="27"/>
      <c r="P11" s="27"/>
      <c r="Q11" s="27"/>
      <c r="R11" s="27"/>
      <c r="S11" s="27"/>
      <c r="T11" s="26">
        <v>81</v>
      </c>
      <c r="U11" s="26">
        <v>460</v>
      </c>
    </row>
    <row r="12" spans="1:50" s="26" customFormat="1">
      <c r="A12" s="143" t="s">
        <v>1718</v>
      </c>
      <c r="B12" s="143">
        <v>2537029</v>
      </c>
      <c r="C12" s="143" t="s">
        <v>1176</v>
      </c>
      <c r="D12" s="40">
        <v>15558</v>
      </c>
      <c r="E12" s="35">
        <v>17175</v>
      </c>
      <c r="F12" s="33" t="s">
        <v>968</v>
      </c>
      <c r="G12" s="33" t="s">
        <v>967</v>
      </c>
      <c r="H12" s="27"/>
      <c r="I12" s="27"/>
      <c r="J12" s="27"/>
      <c r="K12" s="27"/>
      <c r="L12" s="27"/>
      <c r="M12" s="27"/>
      <c r="N12" s="27"/>
      <c r="O12" s="27"/>
      <c r="P12" s="27"/>
      <c r="Q12" s="27"/>
      <c r="R12" s="27"/>
      <c r="S12" s="27"/>
    </row>
    <row r="13" spans="1:50" s="26" customFormat="1">
      <c r="A13" s="143" t="s">
        <v>1718</v>
      </c>
      <c r="B13" s="143">
        <v>2565948</v>
      </c>
      <c r="C13" s="143" t="s">
        <v>1038</v>
      </c>
      <c r="D13" s="40">
        <v>15558</v>
      </c>
      <c r="E13" s="35">
        <v>17406</v>
      </c>
      <c r="F13" s="33" t="s">
        <v>1097</v>
      </c>
      <c r="G13" s="33" t="s">
        <v>1039</v>
      </c>
      <c r="H13" s="27"/>
      <c r="I13" s="27"/>
      <c r="J13" s="27"/>
      <c r="K13" s="27"/>
      <c r="L13" s="27"/>
      <c r="M13" s="27"/>
      <c r="N13" s="27"/>
      <c r="O13" s="27"/>
      <c r="P13" s="27"/>
      <c r="Q13" s="27"/>
      <c r="R13" s="27"/>
      <c r="S13" s="27"/>
    </row>
    <row r="14" spans="1:50" s="146" customFormat="1">
      <c r="A14" s="143"/>
      <c r="B14" s="143"/>
      <c r="C14" s="143"/>
      <c r="D14" s="43"/>
      <c r="E14" s="144"/>
      <c r="F14" s="145"/>
      <c r="G14" s="145"/>
      <c r="H14" s="143"/>
      <c r="I14" s="143"/>
      <c r="J14" s="143"/>
      <c r="K14" s="143"/>
      <c r="L14" s="143"/>
      <c r="M14" s="143"/>
      <c r="N14" s="143"/>
      <c r="O14" s="143"/>
      <c r="P14" s="143"/>
      <c r="Q14" s="143"/>
      <c r="R14" s="143"/>
      <c r="S14" s="143"/>
    </row>
    <row r="15" spans="1:50" s="26" customFormat="1" ht="12">
      <c r="A15" s="143" t="s">
        <v>1718</v>
      </c>
      <c r="B15" s="143">
        <v>2029944</v>
      </c>
      <c r="C15" s="143" t="s">
        <v>1176</v>
      </c>
      <c r="D15" s="35">
        <v>11268</v>
      </c>
      <c r="E15" s="35">
        <v>11722</v>
      </c>
      <c r="F15" s="33" t="s">
        <v>1776</v>
      </c>
      <c r="G15" s="33"/>
      <c r="H15" s="27">
        <v>470</v>
      </c>
      <c r="I15" s="27">
        <v>205</v>
      </c>
      <c r="J15" s="27">
        <v>63</v>
      </c>
      <c r="K15" s="27"/>
      <c r="L15" s="27"/>
      <c r="M15" s="27"/>
      <c r="N15" s="27"/>
      <c r="O15" s="27"/>
      <c r="P15" s="27"/>
      <c r="Q15" s="27"/>
      <c r="R15" s="27"/>
      <c r="S15" s="27"/>
    </row>
    <row r="16" spans="1:50" s="26" customFormat="1" ht="12">
      <c r="A16" s="143" t="s">
        <v>1718</v>
      </c>
      <c r="B16" s="143">
        <v>2022573</v>
      </c>
      <c r="C16" s="143" t="s">
        <v>1176</v>
      </c>
      <c r="D16" s="35">
        <v>11317</v>
      </c>
      <c r="E16" s="35">
        <v>11652</v>
      </c>
      <c r="F16" s="33" t="s">
        <v>1759</v>
      </c>
      <c r="G16" s="33"/>
      <c r="H16" s="27">
        <v>470</v>
      </c>
      <c r="I16" s="27">
        <v>9</v>
      </c>
      <c r="J16" s="27">
        <v>64</v>
      </c>
      <c r="K16" s="27"/>
      <c r="L16" s="27"/>
      <c r="M16" s="27"/>
      <c r="N16" s="27"/>
      <c r="O16" s="27"/>
      <c r="P16" s="27"/>
      <c r="Q16" s="27"/>
      <c r="R16" s="27"/>
      <c r="S16" s="27"/>
      <c r="T16" s="26">
        <v>29</v>
      </c>
      <c r="U16" s="26" t="s">
        <v>1789</v>
      </c>
    </row>
    <row r="17" spans="1:22" s="26" customFormat="1">
      <c r="A17" s="143" t="s">
        <v>1718</v>
      </c>
      <c r="B17" s="143">
        <v>2066372</v>
      </c>
      <c r="C17" s="143" t="s">
        <v>1176</v>
      </c>
      <c r="D17" s="40">
        <v>11598</v>
      </c>
      <c r="E17" s="35">
        <v>12058</v>
      </c>
      <c r="F17" s="33" t="s">
        <v>1854</v>
      </c>
      <c r="G17" s="33"/>
      <c r="H17" s="27">
        <v>72</v>
      </c>
      <c r="I17" s="27">
        <v>324</v>
      </c>
      <c r="J17" s="27">
        <v>356</v>
      </c>
      <c r="K17" s="27">
        <v>375</v>
      </c>
      <c r="L17" s="27">
        <v>107.1</v>
      </c>
      <c r="M17" s="27">
        <v>119</v>
      </c>
      <c r="N17" s="27"/>
      <c r="O17" s="27"/>
      <c r="P17" s="27"/>
      <c r="Q17" s="27"/>
      <c r="R17" s="27"/>
      <c r="S17" s="27"/>
      <c r="T17" s="26">
        <v>81</v>
      </c>
      <c r="U17" s="26">
        <v>460</v>
      </c>
    </row>
    <row r="18" spans="1:22" s="26" customFormat="1">
      <c r="A18" s="143" t="s">
        <v>1718</v>
      </c>
      <c r="B18" s="143">
        <v>2084078</v>
      </c>
      <c r="C18" s="143" t="s">
        <v>1176</v>
      </c>
      <c r="D18" s="40">
        <v>11641</v>
      </c>
      <c r="E18" s="35">
        <v>12219</v>
      </c>
      <c r="F18" s="33" t="s">
        <v>1855</v>
      </c>
      <c r="G18" s="33"/>
      <c r="H18" s="27">
        <v>470</v>
      </c>
      <c r="I18" s="27">
        <v>9</v>
      </c>
      <c r="J18" s="27">
        <v>63</v>
      </c>
      <c r="K18" s="27">
        <v>64</v>
      </c>
      <c r="L18" s="27"/>
      <c r="M18" s="27"/>
      <c r="N18" s="27"/>
      <c r="O18" s="27"/>
      <c r="P18" s="27"/>
      <c r="Q18" s="27"/>
      <c r="R18" s="27"/>
      <c r="S18" s="27"/>
    </row>
    <row r="19" spans="1:22" s="26" customFormat="1" ht="12">
      <c r="A19" s="143" t="s">
        <v>1718</v>
      </c>
      <c r="B19" s="143">
        <v>2084079</v>
      </c>
      <c r="C19" s="143" t="s">
        <v>1176</v>
      </c>
      <c r="D19" s="35">
        <v>11641</v>
      </c>
      <c r="E19" s="35">
        <v>12219</v>
      </c>
      <c r="F19" s="33" t="s">
        <v>1855</v>
      </c>
      <c r="G19" s="33"/>
      <c r="H19" s="27">
        <v>411</v>
      </c>
      <c r="I19" s="27">
        <v>403</v>
      </c>
      <c r="J19" s="27">
        <v>919</v>
      </c>
      <c r="K19" s="27"/>
      <c r="L19" s="27"/>
      <c r="M19" s="27"/>
      <c r="N19" s="27"/>
      <c r="O19" s="27"/>
      <c r="P19" s="27"/>
      <c r="Q19" s="27"/>
      <c r="R19" s="27"/>
      <c r="S19" s="27"/>
    </row>
    <row r="20" spans="1:22" s="26" customFormat="1">
      <c r="A20" s="143" t="s">
        <v>1718</v>
      </c>
      <c r="B20" s="143">
        <v>2090338</v>
      </c>
      <c r="C20" s="143" t="s">
        <v>1176</v>
      </c>
      <c r="D20" s="40">
        <v>11855</v>
      </c>
      <c r="E20" s="59">
        <v>12282</v>
      </c>
      <c r="F20" s="33" t="s">
        <v>1854</v>
      </c>
      <c r="G20" s="33"/>
      <c r="H20" s="27">
        <v>470</v>
      </c>
      <c r="I20" s="27">
        <v>9</v>
      </c>
      <c r="J20" s="27">
        <v>137</v>
      </c>
      <c r="K20" s="27"/>
      <c r="L20" s="27"/>
      <c r="M20" s="27"/>
      <c r="N20" s="27"/>
      <c r="O20" s="27"/>
      <c r="P20" s="27"/>
      <c r="Q20" s="27"/>
      <c r="R20" s="27"/>
      <c r="S20" s="27"/>
    </row>
    <row r="21" spans="1:22" s="26" customFormat="1">
      <c r="A21" s="143" t="s">
        <v>1718</v>
      </c>
      <c r="B21" s="143">
        <v>2082085</v>
      </c>
      <c r="C21" s="143" t="s">
        <v>1176</v>
      </c>
      <c r="D21" s="40">
        <v>11905</v>
      </c>
      <c r="E21" s="35">
        <v>12205</v>
      </c>
      <c r="F21" s="33" t="s">
        <v>1854</v>
      </c>
      <c r="G21" s="33"/>
      <c r="H21" s="27">
        <v>470</v>
      </c>
      <c r="I21" s="27">
        <v>63</v>
      </c>
      <c r="J21" s="27">
        <v>205</v>
      </c>
      <c r="K21" s="27">
        <v>9</v>
      </c>
      <c r="L21" s="27"/>
      <c r="M21" s="27"/>
      <c r="N21" s="27"/>
      <c r="O21" s="27"/>
      <c r="P21" s="27"/>
      <c r="Q21" s="27"/>
      <c r="R21" s="27"/>
      <c r="S21" s="27"/>
    </row>
    <row r="22" spans="1:22" s="26" customFormat="1">
      <c r="A22" s="143" t="s">
        <v>1718</v>
      </c>
      <c r="B22" s="143">
        <v>2165424</v>
      </c>
      <c r="C22" s="143" t="s">
        <v>1176</v>
      </c>
      <c r="D22" s="40">
        <v>12432</v>
      </c>
      <c r="E22" s="35">
        <v>12945</v>
      </c>
      <c r="F22" s="33" t="s">
        <v>1854</v>
      </c>
      <c r="G22" s="33"/>
      <c r="H22" s="27">
        <v>470</v>
      </c>
      <c r="I22" s="27">
        <v>63</v>
      </c>
      <c r="J22" s="27">
        <v>9</v>
      </c>
      <c r="K22" s="27"/>
      <c r="L22" s="27"/>
      <c r="M22" s="27"/>
      <c r="N22" s="27"/>
      <c r="O22" s="27"/>
      <c r="P22" s="27"/>
      <c r="Q22" s="27"/>
      <c r="R22" s="27"/>
      <c r="S22" s="27"/>
    </row>
    <row r="23" spans="1:22" s="26" customFormat="1">
      <c r="A23" s="143" t="s">
        <v>1718</v>
      </c>
      <c r="B23" s="143">
        <v>2165425</v>
      </c>
      <c r="C23" s="143" t="s">
        <v>1176</v>
      </c>
      <c r="D23" s="40">
        <v>12432</v>
      </c>
      <c r="E23" s="35">
        <v>12975</v>
      </c>
      <c r="F23" s="33" t="s">
        <v>1854</v>
      </c>
      <c r="G23" s="33"/>
      <c r="H23" s="27">
        <v>470</v>
      </c>
      <c r="I23" s="27">
        <v>10</v>
      </c>
      <c r="J23" s="27"/>
      <c r="K23" s="27"/>
      <c r="L23" s="27"/>
      <c r="M23" s="27"/>
      <c r="N23" s="27"/>
      <c r="O23" s="27"/>
      <c r="P23" s="27"/>
      <c r="Q23" s="27"/>
      <c r="R23" s="27"/>
      <c r="S23" s="27"/>
      <c r="T23" s="26">
        <v>411</v>
      </c>
      <c r="U23" s="26">
        <v>402</v>
      </c>
      <c r="V23" s="26">
        <v>919</v>
      </c>
    </row>
    <row r="24" spans="1:22" s="26" customFormat="1">
      <c r="A24" s="143" t="s">
        <v>1718</v>
      </c>
      <c r="B24" s="143">
        <v>2322262</v>
      </c>
      <c r="C24" s="143" t="s">
        <v>1176</v>
      </c>
      <c r="D24" s="40">
        <v>13894</v>
      </c>
      <c r="E24" s="35">
        <v>14417</v>
      </c>
      <c r="F24" s="33" t="s">
        <v>1854</v>
      </c>
      <c r="G24" s="33"/>
      <c r="H24" s="27">
        <v>470</v>
      </c>
      <c r="I24" s="27">
        <v>138</v>
      </c>
      <c r="J24" s="27"/>
      <c r="K24" s="27"/>
      <c r="L24" s="27"/>
      <c r="M24" s="27"/>
      <c r="N24" s="27"/>
      <c r="O24" s="27"/>
      <c r="P24" s="27"/>
      <c r="Q24" s="27"/>
      <c r="R24" s="27"/>
      <c r="S24" s="27"/>
    </row>
    <row r="25" spans="1:22" s="26" customFormat="1">
      <c r="A25" s="143" t="s">
        <v>1718</v>
      </c>
      <c r="B25" s="143">
        <v>2359898</v>
      </c>
      <c r="C25" s="143" t="s">
        <v>1176</v>
      </c>
      <c r="D25" s="40">
        <v>14158</v>
      </c>
      <c r="E25" s="35">
        <v>14893</v>
      </c>
      <c r="F25" s="33" t="s">
        <v>1855</v>
      </c>
      <c r="G25" s="33"/>
      <c r="H25" s="27">
        <v>411</v>
      </c>
      <c r="I25" s="27">
        <v>404</v>
      </c>
      <c r="J25" s="27">
        <v>919</v>
      </c>
      <c r="K25" s="27"/>
      <c r="L25" s="27"/>
      <c r="M25" s="27"/>
      <c r="N25" s="27"/>
      <c r="O25" s="27"/>
      <c r="P25" s="27"/>
      <c r="Q25" s="27"/>
      <c r="R25" s="27"/>
      <c r="S25" s="27"/>
    </row>
    <row r="26" spans="1:22" s="207" customFormat="1">
      <c r="A26" s="143" t="s">
        <v>2362</v>
      </c>
      <c r="B26" s="143">
        <v>2474994</v>
      </c>
      <c r="C26" s="143" t="s">
        <v>1040</v>
      </c>
      <c r="D26" s="46">
        <v>14243</v>
      </c>
      <c r="E26" s="46">
        <v>16622</v>
      </c>
      <c r="F26" s="33" t="s">
        <v>1042</v>
      </c>
      <c r="G26" s="207" t="s">
        <v>1050</v>
      </c>
    </row>
    <row r="27" spans="1:22">
      <c r="A27" s="143" t="s">
        <v>2362</v>
      </c>
      <c r="B27" s="143">
        <v>2507231</v>
      </c>
      <c r="C27" s="143" t="s">
        <v>1176</v>
      </c>
      <c r="D27" s="46">
        <v>14243</v>
      </c>
      <c r="E27" s="46">
        <v>16930</v>
      </c>
      <c r="F27" s="33" t="s">
        <v>1051</v>
      </c>
      <c r="G27" s="123" t="s">
        <v>1078</v>
      </c>
    </row>
    <row r="28" spans="1:22" s="26" customFormat="1">
      <c r="A28" s="143" t="s">
        <v>1722</v>
      </c>
      <c r="B28" s="143">
        <v>2400684</v>
      </c>
      <c r="C28" s="143" t="s">
        <v>1176</v>
      </c>
      <c r="D28" s="40">
        <v>14592</v>
      </c>
      <c r="E28" s="35">
        <v>15481</v>
      </c>
      <c r="F28" s="33" t="s">
        <v>1041</v>
      </c>
      <c r="G28" s="33"/>
      <c r="H28" s="27"/>
      <c r="I28" s="27"/>
      <c r="J28" s="27"/>
      <c r="K28" s="27"/>
      <c r="L28" s="27"/>
      <c r="M28" s="27"/>
      <c r="N28" s="27"/>
      <c r="O28" s="27"/>
      <c r="P28" s="27"/>
      <c r="Q28" s="27"/>
      <c r="R28" s="27"/>
      <c r="S28" s="27"/>
    </row>
    <row r="29" spans="1:22">
      <c r="A29" s="143" t="s">
        <v>2362</v>
      </c>
      <c r="B29" s="143">
        <v>2588404</v>
      </c>
      <c r="C29" s="143" t="s">
        <v>1040</v>
      </c>
      <c r="D29" s="46">
        <v>15587</v>
      </c>
      <c r="E29" s="46">
        <v>17602</v>
      </c>
      <c r="F29" s="33" t="s">
        <v>1051</v>
      </c>
      <c r="G29" s="123" t="s">
        <v>1052</v>
      </c>
    </row>
    <row r="32" spans="1:22" s="26" customFormat="1">
      <c r="A32" s="143" t="s">
        <v>1718</v>
      </c>
      <c r="B32" s="143" t="s">
        <v>1719</v>
      </c>
      <c r="C32" s="143" t="s">
        <v>1176</v>
      </c>
      <c r="D32" s="40">
        <v>12127</v>
      </c>
      <c r="E32" s="35">
        <v>12184</v>
      </c>
      <c r="F32" s="33" t="s">
        <v>1847</v>
      </c>
      <c r="G32" s="33"/>
      <c r="H32" s="27" t="s">
        <v>1788</v>
      </c>
      <c r="I32" s="27">
        <v>387</v>
      </c>
      <c r="J32" s="27"/>
      <c r="K32" s="27"/>
      <c r="L32" s="27"/>
      <c r="M32" s="27"/>
      <c r="N32" s="27"/>
      <c r="O32" s="27"/>
      <c r="P32" s="27"/>
      <c r="Q32" s="27"/>
      <c r="R32" s="27"/>
      <c r="S32" s="27"/>
    </row>
    <row r="33" spans="1:19" s="26" customFormat="1">
      <c r="A33" s="143" t="s">
        <v>1718</v>
      </c>
      <c r="B33" s="143" t="s">
        <v>1066</v>
      </c>
      <c r="C33" s="143" t="s">
        <v>1068</v>
      </c>
      <c r="D33" s="40">
        <v>15558</v>
      </c>
      <c r="E33" s="35"/>
      <c r="F33" s="33" t="s">
        <v>1069</v>
      </c>
      <c r="G33" s="33"/>
      <c r="H33" s="27"/>
      <c r="I33" s="27"/>
      <c r="J33" s="27"/>
      <c r="K33" s="27"/>
      <c r="L33" s="27"/>
      <c r="M33" s="27"/>
      <c r="N33" s="27"/>
      <c r="O33" s="27"/>
      <c r="P33" s="27"/>
      <c r="Q33" s="27"/>
      <c r="R33" s="27"/>
      <c r="S33" s="27"/>
    </row>
    <row r="34" spans="1:19">
      <c r="A34" s="143" t="s">
        <v>1718</v>
      </c>
      <c r="B34" s="151" t="s">
        <v>1067</v>
      </c>
      <c r="C34" s="143" t="s">
        <v>1040</v>
      </c>
      <c r="D34" s="46">
        <v>15558</v>
      </c>
      <c r="F34" s="33" t="s">
        <v>1070</v>
      </c>
    </row>
    <row r="36" spans="1:19">
      <c r="A36" s="126" t="s">
        <v>1977</v>
      </c>
    </row>
    <row r="37" spans="1:19">
      <c r="A37" s="127" t="s">
        <v>1035</v>
      </c>
      <c r="D37" s="27"/>
      <c r="E37" s="27"/>
    </row>
    <row r="39" spans="1:19">
      <c r="A39" s="42" t="s">
        <v>1044</v>
      </c>
    </row>
    <row r="40" spans="1:19">
      <c r="A40" s="42" t="s">
        <v>1075</v>
      </c>
    </row>
    <row r="41" spans="1:19">
      <c r="A41" s="42" t="s">
        <v>1093</v>
      </c>
      <c r="E41" s="27"/>
      <c r="F41" s="26"/>
      <c r="G41" s="26"/>
    </row>
    <row r="42" spans="1:19">
      <c r="A42" s="42" t="s">
        <v>1094</v>
      </c>
      <c r="E42" s="27"/>
      <c r="F42" s="26"/>
      <c r="G42" s="26"/>
    </row>
    <row r="43" spans="1:19">
      <c r="A43" s="42" t="s">
        <v>3985</v>
      </c>
      <c r="E43" s="27"/>
      <c r="F43" s="26"/>
      <c r="G43" s="26"/>
    </row>
    <row r="44" spans="1:19">
      <c r="A44" s="42" t="s">
        <v>1369</v>
      </c>
      <c r="E44" s="27"/>
      <c r="F44" s="26"/>
      <c r="G44" s="26"/>
    </row>
    <row r="45" spans="1:19">
      <c r="A45" s="42" t="s">
        <v>1370</v>
      </c>
      <c r="E45" s="27"/>
      <c r="F45" s="26"/>
      <c r="G45" s="26"/>
    </row>
    <row r="46" spans="1:19">
      <c r="A46" s="42" t="s">
        <v>1095</v>
      </c>
      <c r="E46" s="27"/>
      <c r="F46" s="26"/>
      <c r="G46" s="26"/>
    </row>
    <row r="47" spans="1:19">
      <c r="A47" s="42" t="s">
        <v>1036</v>
      </c>
      <c r="E47" s="27"/>
      <c r="F47" s="26"/>
      <c r="G47" s="26"/>
    </row>
    <row r="48" spans="1:19">
      <c r="A48" s="42" t="s">
        <v>1057</v>
      </c>
      <c r="E48" s="27"/>
      <c r="F48" s="26"/>
      <c r="G48" s="26"/>
      <c r="I48" s="47"/>
    </row>
    <row r="49" spans="1:7">
      <c r="A49" s="42" t="s">
        <v>1076</v>
      </c>
      <c r="E49" s="27"/>
      <c r="F49" s="26"/>
      <c r="G49" s="26"/>
    </row>
    <row r="50" spans="1:7">
      <c r="A50" s="42" t="s">
        <v>181</v>
      </c>
      <c r="E50" s="27"/>
      <c r="F50" s="26"/>
      <c r="G50" s="26"/>
    </row>
    <row r="52" spans="1:7">
      <c r="A52" s="126" t="s">
        <v>1411</v>
      </c>
    </row>
    <row r="53" spans="1:7">
      <c r="A53" s="42" t="s">
        <v>1097</v>
      </c>
      <c r="B53" s="42">
        <v>1933</v>
      </c>
    </row>
    <row r="54" spans="1:7">
      <c r="A54" s="42" t="s">
        <v>1098</v>
      </c>
      <c r="B54" s="42">
        <v>1933</v>
      </c>
    </row>
    <row r="57" spans="1:7">
      <c r="A57" s="126" t="s">
        <v>1096</v>
      </c>
    </row>
    <row r="58" spans="1:7">
      <c r="A58" s="146" t="s">
        <v>1647</v>
      </c>
      <c r="B58" s="43">
        <v>12355</v>
      </c>
      <c r="C58" s="43"/>
    </row>
    <row r="59" spans="1:7">
      <c r="A59" s="146" t="s">
        <v>1648</v>
      </c>
      <c r="B59" s="43">
        <v>12355</v>
      </c>
      <c r="C59" s="43"/>
    </row>
    <row r="60" spans="1:7">
      <c r="A60" s="146" t="s">
        <v>1649</v>
      </c>
      <c r="B60" s="43">
        <v>12358</v>
      </c>
      <c r="C60" s="43"/>
    </row>
    <row r="61" spans="1:7">
      <c r="A61" s="146" t="s">
        <v>1650</v>
      </c>
      <c r="B61" s="43">
        <v>12388</v>
      </c>
      <c r="C61" s="43"/>
    </row>
    <row r="62" spans="1:7">
      <c r="A62" s="146" t="s">
        <v>1651</v>
      </c>
      <c r="B62" s="43">
        <v>12529</v>
      </c>
      <c r="C62" s="43"/>
    </row>
    <row r="63" spans="1:7">
      <c r="A63" s="146" t="s">
        <v>1939</v>
      </c>
    </row>
    <row r="64" spans="1:7">
      <c r="A64" s="146" t="s">
        <v>1909</v>
      </c>
    </row>
    <row r="65" spans="1:7" s="68" customFormat="1">
      <c r="A65" s="146" t="s">
        <v>1905</v>
      </c>
      <c r="B65" s="42"/>
      <c r="C65" s="42"/>
      <c r="G65" s="123"/>
    </row>
    <row r="67" spans="1:7">
      <c r="A67" s="146" t="s">
        <v>1652</v>
      </c>
    </row>
    <row r="68" spans="1:7">
      <c r="A68" s="146" t="s">
        <v>1653</v>
      </c>
    </row>
    <row r="69" spans="1:7">
      <c r="A69" s="146" t="s">
        <v>1697</v>
      </c>
    </row>
    <row r="70" spans="1:7">
      <c r="A70" s="146" t="s">
        <v>1698</v>
      </c>
    </row>
    <row r="71" spans="1:7">
      <c r="A71" s="146" t="s">
        <v>1699</v>
      </c>
    </row>
    <row r="72" spans="1:7">
      <c r="A72" s="146" t="s">
        <v>1569</v>
      </c>
    </row>
    <row r="73" spans="1:7">
      <c r="A73" s="146" t="s">
        <v>1721</v>
      </c>
    </row>
    <row r="74" spans="1:7">
      <c r="A74" s="146" t="s">
        <v>1594</v>
      </c>
    </row>
    <row r="75" spans="1:7">
      <c r="A75" s="146" t="s">
        <v>1703</v>
      </c>
    </row>
    <row r="76" spans="1:7">
      <c r="A76" s="146" t="s">
        <v>1624</v>
      </c>
    </row>
    <row r="77" spans="1:7">
      <c r="A77" s="146" t="s">
        <v>1625</v>
      </c>
    </row>
    <row r="78" spans="1:7">
      <c r="A78" s="146" t="s">
        <v>1673</v>
      </c>
    </row>
    <row r="79" spans="1:7">
      <c r="A79" s="146" t="s">
        <v>1674</v>
      </c>
    </row>
    <row r="80" spans="1:7">
      <c r="A80" s="146" t="s">
        <v>1804</v>
      </c>
    </row>
    <row r="81" spans="1:1">
      <c r="A81" s="146" t="s">
        <v>1606</v>
      </c>
    </row>
    <row r="82" spans="1:1">
      <c r="A82" s="146" t="s">
        <v>1607</v>
      </c>
    </row>
    <row r="83" spans="1:1">
      <c r="A83" s="146" t="s">
        <v>1608</v>
      </c>
    </row>
    <row r="84" spans="1:1">
      <c r="A84" s="146" t="s">
        <v>1423</v>
      </c>
    </row>
    <row r="85" spans="1:1">
      <c r="A85" s="146" t="s">
        <v>1846</v>
      </c>
    </row>
    <row r="86" spans="1:1">
      <c r="A86" s="146" t="s">
        <v>1720</v>
      </c>
    </row>
    <row r="92" spans="1:1">
      <c r="A92" s="222" t="s">
        <v>1817</v>
      </c>
    </row>
    <row r="93" spans="1:1">
      <c r="A93" s="145" t="s">
        <v>1716</v>
      </c>
    </row>
    <row r="94" spans="1:1">
      <c r="A94" s="145" t="s">
        <v>1953</v>
      </c>
    </row>
    <row r="95" spans="1:1">
      <c r="A95" s="146" t="s">
        <v>1954</v>
      </c>
    </row>
    <row r="96" spans="1:1">
      <c r="A96" s="146" t="s">
        <v>1947</v>
      </c>
    </row>
    <row r="97" spans="1:3">
      <c r="A97" s="146" t="s">
        <v>1929</v>
      </c>
    </row>
    <row r="98" spans="1:3">
      <c r="A98" s="146" t="s">
        <v>1930</v>
      </c>
    </row>
    <row r="99" spans="1:3">
      <c r="A99" s="146" t="s">
        <v>1936</v>
      </c>
    </row>
    <row r="100" spans="1:3">
      <c r="A100" s="146" t="s">
        <v>1805</v>
      </c>
    </row>
    <row r="103" spans="1:3">
      <c r="A103" s="42" t="s">
        <v>172</v>
      </c>
      <c r="B103" s="42" t="s">
        <v>173</v>
      </c>
      <c r="C103" s="42" t="s">
        <v>174</v>
      </c>
    </row>
    <row r="104" spans="1:3">
      <c r="A104" s="42">
        <v>1900</v>
      </c>
      <c r="B104" s="42">
        <v>147</v>
      </c>
      <c r="C104" s="42">
        <v>21</v>
      </c>
    </row>
    <row r="105" spans="1:3">
      <c r="A105" s="42">
        <v>1901</v>
      </c>
      <c r="B105" s="42">
        <v>163</v>
      </c>
      <c r="C105" s="42">
        <v>27</v>
      </c>
    </row>
    <row r="106" spans="1:3">
      <c r="A106" s="42">
        <v>1902</v>
      </c>
      <c r="B106" s="42">
        <v>132</v>
      </c>
      <c r="C106" s="42">
        <v>9</v>
      </c>
    </row>
    <row r="107" spans="1:3">
      <c r="A107" s="42">
        <v>1903</v>
      </c>
      <c r="B107" s="42">
        <v>163</v>
      </c>
      <c r="C107" s="42">
        <v>27</v>
      </c>
    </row>
    <row r="108" spans="1:3">
      <c r="A108" s="42">
        <v>1904</v>
      </c>
      <c r="B108" s="42">
        <v>147</v>
      </c>
      <c r="C108" s="42">
        <v>13</v>
      </c>
    </row>
    <row r="109" spans="1:3">
      <c r="A109" s="42">
        <v>1905</v>
      </c>
      <c r="B109" s="42">
        <v>160</v>
      </c>
      <c r="C109" s="42">
        <v>28</v>
      </c>
    </row>
    <row r="110" spans="1:3">
      <c r="A110" s="42">
        <v>1906</v>
      </c>
      <c r="B110" s="42">
        <v>156</v>
      </c>
      <c r="C110" s="42">
        <v>36</v>
      </c>
    </row>
    <row r="111" spans="1:3">
      <c r="A111" s="42">
        <v>1907</v>
      </c>
      <c r="B111" s="42">
        <v>209</v>
      </c>
      <c r="C111" s="42">
        <v>34</v>
      </c>
    </row>
    <row r="112" spans="1:3">
      <c r="A112" s="42">
        <v>1908</v>
      </c>
      <c r="B112" s="42">
        <v>159</v>
      </c>
      <c r="C112" s="42">
        <v>17</v>
      </c>
    </row>
    <row r="113" spans="1:3">
      <c r="A113" s="42">
        <v>1909</v>
      </c>
      <c r="B113" s="42">
        <v>201</v>
      </c>
      <c r="C113" s="42">
        <v>36</v>
      </c>
    </row>
    <row r="114" spans="1:3">
      <c r="A114" s="42">
        <v>1910</v>
      </c>
      <c r="B114" s="42">
        <v>199</v>
      </c>
      <c r="C114" s="42">
        <v>36</v>
      </c>
    </row>
    <row r="115" spans="1:3">
      <c r="A115" s="42">
        <v>1911</v>
      </c>
      <c r="B115" s="42">
        <v>215</v>
      </c>
      <c r="C115" s="42">
        <v>32</v>
      </c>
    </row>
    <row r="116" spans="1:3">
      <c r="A116" s="42">
        <v>1912</v>
      </c>
      <c r="B116" s="42">
        <v>245</v>
      </c>
      <c r="C116" s="42">
        <v>27</v>
      </c>
    </row>
    <row r="117" spans="1:3">
      <c r="A117" s="42">
        <v>1913</v>
      </c>
      <c r="B117" s="42">
        <v>182</v>
      </c>
      <c r="C117" s="42">
        <v>35</v>
      </c>
    </row>
    <row r="118" spans="1:3">
      <c r="A118" s="42">
        <v>1914</v>
      </c>
      <c r="B118" s="42">
        <v>234</v>
      </c>
      <c r="C118" s="42">
        <v>48</v>
      </c>
    </row>
    <row r="119" spans="1:3">
      <c r="A119" s="42">
        <v>1915</v>
      </c>
      <c r="B119" s="42">
        <v>219</v>
      </c>
      <c r="C119" s="42">
        <v>47</v>
      </c>
    </row>
    <row r="120" spans="1:3">
      <c r="A120" s="42">
        <v>1916</v>
      </c>
      <c r="B120" s="42">
        <v>220</v>
      </c>
      <c r="C120" s="42">
        <v>45</v>
      </c>
    </row>
    <row r="121" spans="1:3">
      <c r="A121" s="42">
        <v>1917</v>
      </c>
      <c r="B121" s="42">
        <v>186</v>
      </c>
      <c r="C121" s="42">
        <v>37</v>
      </c>
    </row>
    <row r="122" spans="1:3">
      <c r="A122" s="42">
        <v>1918</v>
      </c>
      <c r="B122" s="42">
        <v>197</v>
      </c>
      <c r="C122" s="42">
        <v>31</v>
      </c>
    </row>
    <row r="123" spans="1:3">
      <c r="A123" s="42">
        <v>1919</v>
      </c>
      <c r="B123" s="42">
        <v>192</v>
      </c>
      <c r="C123" s="42">
        <v>42</v>
      </c>
    </row>
    <row r="124" spans="1:3">
      <c r="A124" s="42">
        <v>1920</v>
      </c>
      <c r="B124" s="42">
        <v>186</v>
      </c>
      <c r="C124" s="42">
        <v>42</v>
      </c>
    </row>
    <row r="125" spans="1:3">
      <c r="A125" s="42">
        <v>1921</v>
      </c>
      <c r="B125" s="42">
        <v>246</v>
      </c>
      <c r="C125" s="42">
        <v>44</v>
      </c>
    </row>
    <row r="126" spans="1:3">
      <c r="A126" s="42">
        <v>1922</v>
      </c>
      <c r="B126" s="42">
        <v>224</v>
      </c>
      <c r="C126" s="42">
        <v>43</v>
      </c>
    </row>
    <row r="127" spans="1:3">
      <c r="A127" s="42">
        <v>1923</v>
      </c>
      <c r="B127" s="42">
        <v>265</v>
      </c>
      <c r="C127" s="42">
        <v>47</v>
      </c>
    </row>
    <row r="128" spans="1:3">
      <c r="A128" s="42">
        <v>1924</v>
      </c>
      <c r="B128" s="42">
        <v>210</v>
      </c>
      <c r="C128" s="42">
        <v>47</v>
      </c>
    </row>
    <row r="129" spans="1:3">
      <c r="A129" s="42">
        <v>1925</v>
      </c>
      <c r="B129" s="42">
        <v>225</v>
      </c>
      <c r="C129" s="42">
        <v>43</v>
      </c>
    </row>
    <row r="130" spans="1:3">
      <c r="A130" s="42">
        <v>1926</v>
      </c>
      <c r="B130" s="42">
        <v>218</v>
      </c>
      <c r="C130" s="42">
        <v>40</v>
      </c>
    </row>
    <row r="131" spans="1:3">
      <c r="A131" s="42">
        <v>1927</v>
      </c>
      <c r="B131" s="42">
        <v>241</v>
      </c>
      <c r="C131" s="42">
        <v>49</v>
      </c>
    </row>
    <row r="132" spans="1:3">
      <c r="A132" s="42">
        <v>1928</v>
      </c>
      <c r="B132" s="42">
        <v>242</v>
      </c>
      <c r="C132" s="42">
        <v>54</v>
      </c>
    </row>
    <row r="133" spans="1:3">
      <c r="A133" s="42">
        <v>1929</v>
      </c>
      <c r="B133" s="42">
        <v>253</v>
      </c>
      <c r="C133" s="42">
        <v>52</v>
      </c>
    </row>
    <row r="134" spans="1:3">
      <c r="A134" s="42">
        <v>1930</v>
      </c>
      <c r="B134" s="42">
        <v>282</v>
      </c>
      <c r="C134" s="42">
        <v>61</v>
      </c>
    </row>
    <row r="135" spans="1:3">
      <c r="A135" s="42">
        <v>1931</v>
      </c>
      <c r="B135" s="42">
        <v>341</v>
      </c>
      <c r="C135" s="42">
        <v>71</v>
      </c>
    </row>
    <row r="136" spans="1:3">
      <c r="A136" s="42">
        <v>1932</v>
      </c>
      <c r="B136" s="42">
        <v>316</v>
      </c>
      <c r="C136" s="42">
        <v>55</v>
      </c>
    </row>
    <row r="137" spans="1:3">
      <c r="A137" s="42">
        <v>1933</v>
      </c>
      <c r="B137" s="42">
        <v>313</v>
      </c>
      <c r="C137" s="42">
        <v>80</v>
      </c>
    </row>
    <row r="138" spans="1:3">
      <c r="A138" s="42">
        <v>1934</v>
      </c>
      <c r="B138" s="42">
        <v>289</v>
      </c>
      <c r="C138" s="42">
        <v>73</v>
      </c>
    </row>
    <row r="139" spans="1:3">
      <c r="A139" s="42">
        <v>1935</v>
      </c>
      <c r="B139" s="42">
        <v>229</v>
      </c>
      <c r="C139" s="42">
        <v>56</v>
      </c>
    </row>
    <row r="140" spans="1:3">
      <c r="A140" s="42">
        <v>1936</v>
      </c>
      <c r="B140" s="42">
        <v>225</v>
      </c>
      <c r="C140" s="42">
        <v>72</v>
      </c>
    </row>
    <row r="141" spans="1:3">
      <c r="A141" s="42">
        <v>1937</v>
      </c>
      <c r="B141" s="42">
        <v>227</v>
      </c>
      <c r="C141" s="42">
        <v>59</v>
      </c>
    </row>
    <row r="142" spans="1:3">
      <c r="A142" s="42">
        <v>1938</v>
      </c>
      <c r="B142" s="42">
        <v>232</v>
      </c>
      <c r="C142" s="42">
        <v>72</v>
      </c>
    </row>
    <row r="143" spans="1:3">
      <c r="A143" s="42">
        <v>1939</v>
      </c>
      <c r="B143" s="42">
        <v>280</v>
      </c>
      <c r="C143" s="42">
        <v>94</v>
      </c>
    </row>
    <row r="144" spans="1:3">
      <c r="A144" s="42">
        <v>1940</v>
      </c>
      <c r="B144" s="42">
        <v>212</v>
      </c>
      <c r="C144" s="42">
        <v>63</v>
      </c>
    </row>
    <row r="145" spans="1:3">
      <c r="A145" s="42">
        <v>1941</v>
      </c>
      <c r="B145" s="42">
        <v>257</v>
      </c>
      <c r="C145" s="42">
        <v>78</v>
      </c>
    </row>
    <row r="146" spans="1:3">
      <c r="A146" s="42">
        <v>1942</v>
      </c>
      <c r="B146" s="42">
        <v>226</v>
      </c>
      <c r="C146" s="42">
        <v>84</v>
      </c>
    </row>
    <row r="147" spans="1:3">
      <c r="A147" s="42">
        <v>1943</v>
      </c>
      <c r="B147" s="42">
        <v>211</v>
      </c>
      <c r="C147" s="42">
        <v>53</v>
      </c>
    </row>
    <row r="148" spans="1:3">
      <c r="A148" s="42">
        <v>1944</v>
      </c>
      <c r="B148" s="42">
        <v>221</v>
      </c>
      <c r="C148" s="42">
        <v>52</v>
      </c>
    </row>
    <row r="149" spans="1:3">
      <c r="A149" s="42">
        <v>1945</v>
      </c>
      <c r="B149" s="42">
        <v>214</v>
      </c>
      <c r="C149" s="42">
        <v>64</v>
      </c>
    </row>
    <row r="150" spans="1:3">
      <c r="A150" s="42">
        <v>1946</v>
      </c>
      <c r="B150" s="42">
        <v>159</v>
      </c>
      <c r="C150" s="42">
        <v>33</v>
      </c>
    </row>
    <row r="151" spans="1:3">
      <c r="A151" s="42">
        <v>1947</v>
      </c>
      <c r="B151" s="42">
        <v>89</v>
      </c>
      <c r="C151" s="42">
        <v>26</v>
      </c>
    </row>
    <row r="152" spans="1:3">
      <c r="A152" s="42">
        <v>1948</v>
      </c>
      <c r="B152" s="42">
        <v>123</v>
      </c>
      <c r="C152" s="42">
        <v>28</v>
      </c>
    </row>
    <row r="153" spans="1:3">
      <c r="A153" s="42">
        <v>1949</v>
      </c>
      <c r="B153" s="42">
        <v>169</v>
      </c>
      <c r="C153" s="42">
        <v>37</v>
      </c>
    </row>
    <row r="154" spans="1:3">
      <c r="A154" s="42">
        <v>1950</v>
      </c>
      <c r="B154" s="42">
        <v>194</v>
      </c>
      <c r="C154" s="42">
        <v>34</v>
      </c>
    </row>
    <row r="155" spans="1:3">
      <c r="A155" s="42">
        <v>1951</v>
      </c>
      <c r="B155" s="42">
        <v>218</v>
      </c>
      <c r="C155" s="42">
        <v>44</v>
      </c>
    </row>
    <row r="156" spans="1:3">
      <c r="A156" s="42">
        <v>1952</v>
      </c>
      <c r="B156" s="42">
        <v>220</v>
      </c>
      <c r="C156" s="42">
        <v>43</v>
      </c>
    </row>
    <row r="157" spans="1:3">
      <c r="A157" s="42">
        <v>1953</v>
      </c>
      <c r="B157" s="42">
        <v>230</v>
      </c>
      <c r="C157" s="42">
        <v>38</v>
      </c>
    </row>
    <row r="158" spans="1:3">
      <c r="A158" s="42">
        <v>1954</v>
      </c>
      <c r="B158" s="42">
        <v>175</v>
      </c>
      <c r="C158" s="42">
        <v>31</v>
      </c>
    </row>
    <row r="159" spans="1:3">
      <c r="A159" s="42">
        <v>1955</v>
      </c>
      <c r="B159" s="42">
        <v>162</v>
      </c>
      <c r="C159" s="42">
        <v>27</v>
      </c>
    </row>
    <row r="160" spans="1:3">
      <c r="A160" s="42">
        <v>1956</v>
      </c>
      <c r="B160" s="42">
        <v>294</v>
      </c>
      <c r="C160" s="42">
        <v>59</v>
      </c>
    </row>
    <row r="161" spans="1:3">
      <c r="A161" s="42">
        <v>1957</v>
      </c>
      <c r="B161" s="42">
        <v>202</v>
      </c>
      <c r="C161" s="42">
        <v>53</v>
      </c>
    </row>
    <row r="162" spans="1:3">
      <c r="A162" s="42">
        <v>1958</v>
      </c>
      <c r="B162" s="42">
        <v>241</v>
      </c>
      <c r="C162" s="42">
        <v>56</v>
      </c>
    </row>
    <row r="163" spans="1:3">
      <c r="A163" s="42">
        <v>1959</v>
      </c>
      <c r="B163" s="42">
        <v>267</v>
      </c>
      <c r="C163" s="42">
        <v>34</v>
      </c>
    </row>
    <row r="164" spans="1:3">
      <c r="A164" s="42">
        <v>1960</v>
      </c>
      <c r="B164" s="42">
        <v>252</v>
      </c>
      <c r="C164" s="42">
        <v>26</v>
      </c>
    </row>
    <row r="165" spans="1:3">
      <c r="A165" s="42">
        <v>1961</v>
      </c>
      <c r="B165" s="42">
        <v>233</v>
      </c>
      <c r="C165" s="42">
        <v>52</v>
      </c>
    </row>
    <row r="166" spans="1:3">
      <c r="A166" s="42">
        <v>1962</v>
      </c>
      <c r="B166" s="42">
        <v>301</v>
      </c>
      <c r="C166" s="42">
        <v>62</v>
      </c>
    </row>
    <row r="167" spans="1:3">
      <c r="A167" s="42">
        <v>1963</v>
      </c>
      <c r="B167" s="42">
        <v>255</v>
      </c>
      <c r="C167" s="42">
        <v>72</v>
      </c>
    </row>
    <row r="168" spans="1:3">
      <c r="A168" s="42">
        <v>1964</v>
      </c>
      <c r="B168" s="42">
        <v>310</v>
      </c>
      <c r="C168" s="42">
        <v>75</v>
      </c>
    </row>
    <row r="169" spans="1:3">
      <c r="A169" s="42">
        <v>1965</v>
      </c>
      <c r="B169" s="42">
        <v>379</v>
      </c>
      <c r="C169" s="42">
        <v>105</v>
      </c>
    </row>
    <row r="170" spans="1:3">
      <c r="A170" s="42">
        <v>1966</v>
      </c>
      <c r="B170" s="42">
        <v>394</v>
      </c>
      <c r="C170" s="42">
        <v>88</v>
      </c>
    </row>
    <row r="171" spans="1:3">
      <c r="A171" s="42">
        <v>1967</v>
      </c>
      <c r="B171" s="42">
        <v>376</v>
      </c>
      <c r="C171" s="42">
        <v>101</v>
      </c>
    </row>
    <row r="172" spans="1:3">
      <c r="A172" s="42">
        <v>1968</v>
      </c>
      <c r="B172" s="42">
        <v>340</v>
      </c>
      <c r="C172" s="42">
        <v>72</v>
      </c>
    </row>
    <row r="173" spans="1:3">
      <c r="A173" s="42">
        <v>1969</v>
      </c>
      <c r="B173" s="42">
        <v>420</v>
      </c>
      <c r="C173" s="42">
        <v>92</v>
      </c>
    </row>
    <row r="174" spans="1:3">
      <c r="A174" s="42">
        <v>1970</v>
      </c>
      <c r="B174" s="42">
        <v>294</v>
      </c>
      <c r="C174" s="42">
        <v>60</v>
      </c>
    </row>
    <row r="175" spans="1:3">
      <c r="A175" s="42">
        <v>1971</v>
      </c>
      <c r="B175" s="42">
        <v>416</v>
      </c>
      <c r="C175" s="42">
        <v>73</v>
      </c>
    </row>
    <row r="176" spans="1:3">
      <c r="A176" s="42">
        <v>1972</v>
      </c>
      <c r="B176" s="42">
        <v>356</v>
      </c>
      <c r="C176" s="42">
        <v>81</v>
      </c>
    </row>
    <row r="177" spans="1:3">
      <c r="A177" s="42">
        <v>1973</v>
      </c>
      <c r="B177" s="42">
        <v>340</v>
      </c>
      <c r="C177" s="42">
        <v>55</v>
      </c>
    </row>
    <row r="178" spans="1:3">
      <c r="A178" s="42">
        <v>1974</v>
      </c>
      <c r="B178" s="42">
        <v>376</v>
      </c>
      <c r="C178" s="42">
        <v>67</v>
      </c>
    </row>
    <row r="179" spans="1:3">
      <c r="A179" s="42">
        <v>1975</v>
      </c>
      <c r="B179" s="42">
        <v>335</v>
      </c>
      <c r="C179" s="42">
        <v>81</v>
      </c>
    </row>
    <row r="180" spans="1:3">
      <c r="A180" s="42">
        <v>1976</v>
      </c>
      <c r="B180" s="42">
        <v>264</v>
      </c>
      <c r="C180" s="42">
        <v>48</v>
      </c>
    </row>
    <row r="181" spans="1:3">
      <c r="A181" s="42">
        <v>1977</v>
      </c>
      <c r="B181" s="42">
        <v>319</v>
      </c>
      <c r="C181" s="42">
        <v>59</v>
      </c>
    </row>
    <row r="182" spans="1:3">
      <c r="A182" s="42">
        <v>1978</v>
      </c>
      <c r="B182" s="42">
        <v>286</v>
      </c>
      <c r="C182" s="42">
        <v>45</v>
      </c>
    </row>
    <row r="183" spans="1:3">
      <c r="A183" s="42">
        <v>1979</v>
      </c>
      <c r="B183" s="42">
        <v>193</v>
      </c>
      <c r="C183" s="42">
        <v>35</v>
      </c>
    </row>
    <row r="184" spans="1:3">
      <c r="A184" s="42">
        <v>1980</v>
      </c>
      <c r="B184" s="42">
        <v>203</v>
      </c>
      <c r="C184" s="42">
        <v>36</v>
      </c>
    </row>
  </sheetData>
  <sortState ref="A15:XFD29">
    <sortCondition ref="D15:D29"/>
  </sortState>
  <phoneticPr fontId="22" type="noConversion"/>
  <pageMargins left="0.75" right="0.75" top="1" bottom="1" header="0.5" footer="0.5"/>
  <drawing r:id="rId1"/>
  <extLst>
    <ext xmlns:mx="http://schemas.microsoft.com/office/mac/excel/2008/main" uri="http://schemas.microsoft.com/office/mac/excel/2008/main">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I630"/>
  <sheetViews>
    <sheetView topLeftCell="A154" workbookViewId="0">
      <selection activeCell="B161" sqref="B161:B185"/>
    </sheetView>
  </sheetViews>
  <sheetFormatPr baseColWidth="10" defaultRowHeight="13"/>
  <cols>
    <col min="1" max="3" width="10.7109375" style="42"/>
    <col min="4" max="4" width="12.5703125" style="42" customWidth="1"/>
    <col min="5" max="16384" width="10.7109375" style="42"/>
  </cols>
  <sheetData>
    <row r="1" spans="1:8" ht="39">
      <c r="A1" s="100" t="s">
        <v>1869</v>
      </c>
      <c r="B1" s="100" t="s">
        <v>2173</v>
      </c>
      <c r="C1" s="100" t="s">
        <v>1175</v>
      </c>
      <c r="D1" s="100" t="s">
        <v>1359</v>
      </c>
      <c r="E1" s="100" t="s">
        <v>1306</v>
      </c>
      <c r="F1" s="100" t="s">
        <v>1351</v>
      </c>
      <c r="G1" s="100" t="s">
        <v>1307</v>
      </c>
      <c r="H1" s="100" t="s">
        <v>1787</v>
      </c>
    </row>
    <row r="2" spans="1:8">
      <c r="A2" s="42" t="s">
        <v>1257</v>
      </c>
      <c r="B2" s="100"/>
      <c r="C2" s="100"/>
      <c r="D2" s="100"/>
      <c r="E2" s="100"/>
      <c r="F2" s="100"/>
      <c r="G2" s="100"/>
      <c r="H2" s="100"/>
    </row>
    <row r="3" spans="1:8" ht="14">
      <c r="A3" s="220" t="s">
        <v>1304</v>
      </c>
      <c r="B3" s="251">
        <v>1900140</v>
      </c>
      <c r="C3" s="252" t="s">
        <v>1170</v>
      </c>
      <c r="D3" s="129">
        <v>39150</v>
      </c>
      <c r="E3" s="128">
        <v>1929</v>
      </c>
      <c r="F3" s="129">
        <v>39148</v>
      </c>
      <c r="G3" s="128">
        <v>1933</v>
      </c>
      <c r="H3" s="42" t="s">
        <v>1308</v>
      </c>
    </row>
    <row r="4" spans="1:8" ht="14">
      <c r="A4" s="220" t="s">
        <v>1304</v>
      </c>
      <c r="B4" s="251">
        <v>1924892</v>
      </c>
      <c r="C4" s="252" t="s">
        <v>1170</v>
      </c>
      <c r="D4" s="129">
        <v>39102</v>
      </c>
      <c r="E4" s="128">
        <v>1926</v>
      </c>
      <c r="F4" s="129">
        <v>39323</v>
      </c>
      <c r="G4" s="128">
        <v>1933</v>
      </c>
      <c r="H4" s="42" t="s">
        <v>1308</v>
      </c>
    </row>
    <row r="5" spans="1:8" ht="14">
      <c r="A5" s="220" t="s">
        <v>1304</v>
      </c>
      <c r="B5" s="251">
        <v>1923043</v>
      </c>
      <c r="C5" s="252" t="s">
        <v>1170</v>
      </c>
      <c r="D5" s="129">
        <v>39226</v>
      </c>
      <c r="E5" s="128">
        <v>1928</v>
      </c>
      <c r="F5" s="129">
        <v>39309</v>
      </c>
      <c r="G5" s="128">
        <v>1933</v>
      </c>
      <c r="H5" s="42" t="s">
        <v>1308</v>
      </c>
    </row>
    <row r="6" spans="1:8" ht="14">
      <c r="A6" s="220" t="s">
        <v>1304</v>
      </c>
      <c r="B6" s="251">
        <v>1971737</v>
      </c>
      <c r="C6" s="252" t="s">
        <v>1170</v>
      </c>
      <c r="D6" s="129">
        <v>39359</v>
      </c>
      <c r="E6" s="128">
        <v>1928</v>
      </c>
      <c r="F6" s="129">
        <v>39322</v>
      </c>
      <c r="G6" s="128">
        <v>1934</v>
      </c>
      <c r="H6" s="42" t="s">
        <v>1308</v>
      </c>
    </row>
    <row r="7" spans="1:8" ht="14">
      <c r="A7" s="220" t="s">
        <v>1304</v>
      </c>
      <c r="B7" s="251">
        <v>2085877</v>
      </c>
      <c r="C7" s="252" t="s">
        <v>1170</v>
      </c>
      <c r="D7" s="129">
        <v>39436</v>
      </c>
      <c r="E7" s="128">
        <v>1928</v>
      </c>
      <c r="F7" s="129">
        <v>39269</v>
      </c>
      <c r="G7" s="128">
        <v>1937</v>
      </c>
      <c r="H7" s="42" t="s">
        <v>1308</v>
      </c>
    </row>
    <row r="8" spans="1:8" ht="14">
      <c r="A8" s="220" t="s">
        <v>1304</v>
      </c>
      <c r="B8" s="251">
        <v>2085878</v>
      </c>
      <c r="C8" s="252" t="s">
        <v>1170</v>
      </c>
      <c r="D8" s="129">
        <v>39436</v>
      </c>
      <c r="E8" s="128">
        <v>1928</v>
      </c>
      <c r="F8" s="129">
        <v>39269</v>
      </c>
      <c r="G8" s="128">
        <v>1937</v>
      </c>
      <c r="H8" s="42" t="s">
        <v>1308</v>
      </c>
    </row>
    <row r="9" spans="1:8" ht="14">
      <c r="A9" s="220" t="s">
        <v>1304</v>
      </c>
      <c r="B9" s="251">
        <v>1924890</v>
      </c>
      <c r="C9" s="252" t="s">
        <v>1170</v>
      </c>
      <c r="D9" s="129">
        <v>39094</v>
      </c>
      <c r="E9" s="128">
        <v>1929</v>
      </c>
      <c r="F9" s="129">
        <v>39323</v>
      </c>
      <c r="G9" s="128">
        <v>1933</v>
      </c>
      <c r="H9" s="42" t="s">
        <v>1308</v>
      </c>
    </row>
    <row r="10" spans="1:8" ht="14">
      <c r="A10" s="220" t="s">
        <v>1304</v>
      </c>
      <c r="B10" s="251">
        <v>1939738</v>
      </c>
      <c r="C10" s="252" t="s">
        <v>1170</v>
      </c>
      <c r="D10" s="129">
        <v>39129</v>
      </c>
      <c r="E10" s="128">
        <v>1929</v>
      </c>
      <c r="F10" s="129">
        <v>39435</v>
      </c>
      <c r="G10" s="128">
        <v>1933</v>
      </c>
      <c r="H10" s="42" t="s">
        <v>1308</v>
      </c>
    </row>
    <row r="11" spans="1:8" ht="14">
      <c r="A11" s="220" t="s">
        <v>1304</v>
      </c>
      <c r="B11" s="251">
        <v>1924901</v>
      </c>
      <c r="C11" s="252" t="s">
        <v>1170</v>
      </c>
      <c r="D11" s="129">
        <v>39309</v>
      </c>
      <c r="E11" s="128">
        <v>1929</v>
      </c>
      <c r="F11" s="129">
        <v>39323</v>
      </c>
      <c r="G11" s="128">
        <v>1933</v>
      </c>
      <c r="H11" s="42" t="s">
        <v>1308</v>
      </c>
    </row>
    <row r="12" spans="1:8" ht="14">
      <c r="A12" s="220" t="s">
        <v>1304</v>
      </c>
      <c r="B12" s="251">
        <v>1928714</v>
      </c>
      <c r="C12" s="252" t="s">
        <v>1170</v>
      </c>
      <c r="D12" s="129">
        <v>39363</v>
      </c>
      <c r="E12" s="128">
        <v>1929</v>
      </c>
      <c r="F12" s="129">
        <v>39358</v>
      </c>
      <c r="G12" s="128">
        <v>1933</v>
      </c>
      <c r="H12" s="42" t="s">
        <v>1308</v>
      </c>
    </row>
    <row r="13" spans="1:8" ht="14">
      <c r="A13" s="220" t="s">
        <v>1304</v>
      </c>
      <c r="B13" s="251">
        <v>1900034</v>
      </c>
      <c r="C13" s="252" t="s">
        <v>1170</v>
      </c>
      <c r="D13" s="129">
        <v>39370</v>
      </c>
      <c r="E13" s="128">
        <v>1929</v>
      </c>
      <c r="F13" s="129">
        <v>39148</v>
      </c>
      <c r="G13" s="128">
        <v>1933</v>
      </c>
      <c r="H13" s="42" t="s">
        <v>1308</v>
      </c>
    </row>
    <row r="14" spans="1:8" ht="14">
      <c r="A14" s="220" t="s">
        <v>1304</v>
      </c>
      <c r="B14" s="251">
        <v>1974935</v>
      </c>
      <c r="C14" s="252" t="s">
        <v>1170</v>
      </c>
      <c r="D14" s="129">
        <v>39111</v>
      </c>
      <c r="E14" s="128">
        <v>1930</v>
      </c>
      <c r="F14" s="129">
        <v>39350</v>
      </c>
      <c r="G14" s="128">
        <v>1934</v>
      </c>
      <c r="H14" s="42" t="s">
        <v>1308</v>
      </c>
    </row>
    <row r="15" spans="1:8" ht="14">
      <c r="A15" s="220" t="s">
        <v>1304</v>
      </c>
      <c r="B15" s="251">
        <v>1951043</v>
      </c>
      <c r="C15" s="252" t="s">
        <v>1170</v>
      </c>
      <c r="D15" s="129">
        <v>39113</v>
      </c>
      <c r="E15" s="128">
        <v>1930</v>
      </c>
      <c r="F15" s="129">
        <v>39154</v>
      </c>
      <c r="G15" s="128">
        <v>1934</v>
      </c>
      <c r="H15" s="42" t="s">
        <v>1308</v>
      </c>
    </row>
    <row r="16" spans="1:8" ht="14">
      <c r="A16" s="220" t="s">
        <v>1304</v>
      </c>
      <c r="B16" s="251">
        <v>1928709</v>
      </c>
      <c r="C16" s="252" t="s">
        <v>1170</v>
      </c>
      <c r="D16" s="129">
        <v>39114</v>
      </c>
      <c r="E16" s="128">
        <v>1930</v>
      </c>
      <c r="F16" s="129">
        <v>39358</v>
      </c>
      <c r="G16" s="128">
        <v>1933</v>
      </c>
      <c r="H16" s="42" t="s">
        <v>1308</v>
      </c>
    </row>
    <row r="17" spans="1:8" ht="14">
      <c r="A17" s="220" t="s">
        <v>1304</v>
      </c>
      <c r="B17" s="251">
        <v>1968112</v>
      </c>
      <c r="C17" s="252" t="s">
        <v>1170</v>
      </c>
      <c r="D17" s="129">
        <v>39137</v>
      </c>
      <c r="E17" s="128">
        <v>1930</v>
      </c>
      <c r="F17" s="129">
        <v>39294</v>
      </c>
      <c r="G17" s="128">
        <v>1934</v>
      </c>
      <c r="H17" s="42" t="s">
        <v>1308</v>
      </c>
    </row>
    <row r="18" spans="1:8" ht="14">
      <c r="A18" s="220" t="s">
        <v>1304</v>
      </c>
      <c r="B18" s="251">
        <v>2044864</v>
      </c>
      <c r="C18" s="252" t="s">
        <v>1170</v>
      </c>
      <c r="D18" s="129">
        <v>39225</v>
      </c>
      <c r="E18" s="128">
        <v>1930</v>
      </c>
      <c r="F18" s="129">
        <v>39256</v>
      </c>
      <c r="G18" s="128">
        <v>1936</v>
      </c>
      <c r="H18" s="42" t="s">
        <v>1308</v>
      </c>
    </row>
    <row r="19" spans="1:8" ht="14">
      <c r="A19" s="220" t="s">
        <v>1304</v>
      </c>
      <c r="B19" s="251">
        <v>2013116</v>
      </c>
      <c r="C19" s="252" t="s">
        <v>1170</v>
      </c>
      <c r="D19" s="129">
        <v>39376</v>
      </c>
      <c r="E19" s="128">
        <v>1930</v>
      </c>
      <c r="F19" s="129">
        <v>39328</v>
      </c>
      <c r="G19" s="128">
        <v>1935</v>
      </c>
      <c r="H19" s="42" t="s">
        <v>1308</v>
      </c>
    </row>
    <row r="20" spans="1:8" ht="14">
      <c r="A20" s="220" t="s">
        <v>1304</v>
      </c>
      <c r="B20" s="251">
        <v>1923764</v>
      </c>
      <c r="C20" s="252" t="s">
        <v>1170</v>
      </c>
      <c r="D20" s="129">
        <v>39112</v>
      </c>
      <c r="E20" s="128">
        <v>1931</v>
      </c>
      <c r="F20" s="129">
        <v>39316</v>
      </c>
      <c r="G20" s="128">
        <v>1933</v>
      </c>
      <c r="H20" s="42" t="s">
        <v>1308</v>
      </c>
    </row>
    <row r="21" spans="1:8" ht="14">
      <c r="A21" s="220" t="s">
        <v>1304</v>
      </c>
      <c r="B21" s="251">
        <v>1926255</v>
      </c>
      <c r="C21" s="252" t="s">
        <v>1170</v>
      </c>
      <c r="D21" s="129">
        <v>39144</v>
      </c>
      <c r="E21" s="128">
        <v>1931</v>
      </c>
      <c r="F21" s="129">
        <v>39337</v>
      </c>
      <c r="G21" s="128">
        <v>1933</v>
      </c>
      <c r="H21" s="42" t="s">
        <v>1308</v>
      </c>
    </row>
    <row r="22" spans="1:8" ht="14">
      <c r="A22" s="220" t="s">
        <v>1304</v>
      </c>
      <c r="B22" s="251">
        <v>1910492</v>
      </c>
      <c r="C22" s="252" t="s">
        <v>1170</v>
      </c>
      <c r="D22" s="129">
        <v>39187</v>
      </c>
      <c r="E22" s="128">
        <v>1931</v>
      </c>
      <c r="F22" s="129">
        <v>39225</v>
      </c>
      <c r="G22" s="128">
        <v>1933</v>
      </c>
      <c r="H22" s="42" t="s">
        <v>1308</v>
      </c>
    </row>
    <row r="23" spans="1:8" ht="14">
      <c r="A23" s="220" t="s">
        <v>1304</v>
      </c>
      <c r="B23" s="251">
        <v>2000058</v>
      </c>
      <c r="C23" s="252" t="s">
        <v>1170</v>
      </c>
      <c r="D23" s="129">
        <v>39255</v>
      </c>
      <c r="E23" s="128">
        <v>1931</v>
      </c>
      <c r="F23" s="129">
        <v>39209</v>
      </c>
      <c r="G23" s="128">
        <v>1935</v>
      </c>
      <c r="H23" s="42" t="s">
        <v>1308</v>
      </c>
    </row>
    <row r="24" spans="1:8" ht="14">
      <c r="A24" s="220" t="s">
        <v>1304</v>
      </c>
      <c r="B24" s="251">
        <v>1957128</v>
      </c>
      <c r="C24" s="252" t="s">
        <v>1170</v>
      </c>
      <c r="D24" s="129">
        <v>39314</v>
      </c>
      <c r="E24" s="128">
        <v>1931</v>
      </c>
      <c r="F24" s="129">
        <v>39203</v>
      </c>
      <c r="G24" s="128">
        <v>1934</v>
      </c>
      <c r="H24" s="42" t="s">
        <v>1308</v>
      </c>
    </row>
    <row r="25" spans="1:8" ht="14">
      <c r="A25" s="220" t="s">
        <v>1304</v>
      </c>
      <c r="B25" s="251">
        <v>2044810</v>
      </c>
      <c r="C25" s="252" t="s">
        <v>1170</v>
      </c>
      <c r="D25" s="129">
        <v>39314</v>
      </c>
      <c r="E25" s="128">
        <v>1931</v>
      </c>
      <c r="F25" s="129">
        <v>39256</v>
      </c>
      <c r="G25" s="128">
        <v>1936</v>
      </c>
      <c r="H25" s="42" t="s">
        <v>1308</v>
      </c>
    </row>
    <row r="26" spans="1:8" ht="14">
      <c r="A26" s="220" t="s">
        <v>1304</v>
      </c>
      <c r="B26" s="251">
        <v>2059199</v>
      </c>
      <c r="C26" s="252" t="s">
        <v>1170</v>
      </c>
      <c r="D26" s="129">
        <v>39314</v>
      </c>
      <c r="E26" s="128">
        <v>1931</v>
      </c>
      <c r="F26" s="129">
        <v>39389</v>
      </c>
      <c r="G26" s="128">
        <v>1936</v>
      </c>
      <c r="H26" s="42" t="s">
        <v>1308</v>
      </c>
    </row>
    <row r="27" spans="1:8" ht="14">
      <c r="A27" s="220" t="s">
        <v>1304</v>
      </c>
      <c r="B27" s="251">
        <v>2072091</v>
      </c>
      <c r="C27" s="252" t="s">
        <v>1170</v>
      </c>
      <c r="D27" s="129">
        <v>39314</v>
      </c>
      <c r="E27" s="128">
        <v>1931</v>
      </c>
      <c r="F27" s="129">
        <v>39143</v>
      </c>
      <c r="G27" s="128">
        <v>1937</v>
      </c>
      <c r="H27" s="42" t="s">
        <v>1308</v>
      </c>
    </row>
    <row r="28" spans="1:8" ht="14">
      <c r="A28" s="220" t="s">
        <v>1304</v>
      </c>
      <c r="B28" s="251">
        <v>2107623</v>
      </c>
      <c r="C28" s="252" t="s">
        <v>1170</v>
      </c>
      <c r="D28" s="129">
        <v>39314</v>
      </c>
      <c r="E28" s="128">
        <v>1931</v>
      </c>
      <c r="F28" s="129">
        <v>39121</v>
      </c>
      <c r="G28" s="128">
        <v>1938</v>
      </c>
      <c r="H28" s="42" t="s">
        <v>1308</v>
      </c>
    </row>
    <row r="29" spans="1:8" ht="14">
      <c r="A29" s="220" t="s">
        <v>1304</v>
      </c>
      <c r="B29" s="251">
        <v>1919673</v>
      </c>
      <c r="C29" s="252" t="s">
        <v>1170</v>
      </c>
      <c r="D29" s="129">
        <v>39329</v>
      </c>
      <c r="E29" s="128">
        <v>1931</v>
      </c>
      <c r="F29" s="129">
        <v>39288</v>
      </c>
      <c r="G29" s="128">
        <v>1933</v>
      </c>
      <c r="H29" s="42" t="s">
        <v>1308</v>
      </c>
    </row>
    <row r="30" spans="1:8" ht="14">
      <c r="A30" s="220" t="s">
        <v>1304</v>
      </c>
      <c r="B30" s="251">
        <v>2032401</v>
      </c>
      <c r="C30" s="252" t="s">
        <v>1170</v>
      </c>
      <c r="D30" s="129">
        <v>39329</v>
      </c>
      <c r="E30" s="128">
        <v>1931</v>
      </c>
      <c r="F30" s="129">
        <v>39144</v>
      </c>
      <c r="G30" s="128">
        <v>1936</v>
      </c>
      <c r="H30" s="42" t="s">
        <v>1308</v>
      </c>
    </row>
    <row r="31" spans="1:8" ht="14">
      <c r="A31" s="220" t="s">
        <v>1304</v>
      </c>
      <c r="B31" s="251">
        <v>2063016</v>
      </c>
      <c r="C31" s="252" t="s">
        <v>1170</v>
      </c>
      <c r="D31" s="129">
        <v>39337</v>
      </c>
      <c r="E31" s="128">
        <v>1931</v>
      </c>
      <c r="F31" s="129">
        <v>39424</v>
      </c>
      <c r="G31" s="128">
        <v>1936</v>
      </c>
      <c r="H31" s="42" t="s">
        <v>1308</v>
      </c>
    </row>
    <row r="32" spans="1:8" ht="14">
      <c r="A32" s="220" t="s">
        <v>1304</v>
      </c>
      <c r="B32" s="251">
        <v>1954512</v>
      </c>
      <c r="C32" s="252" t="s">
        <v>1170</v>
      </c>
      <c r="D32" s="129">
        <v>39414</v>
      </c>
      <c r="E32" s="128">
        <v>1931</v>
      </c>
      <c r="F32" s="129">
        <v>39182</v>
      </c>
      <c r="G32" s="128">
        <v>1934</v>
      </c>
      <c r="H32" s="42" t="s">
        <v>1308</v>
      </c>
    </row>
    <row r="33" spans="1:8" ht="14">
      <c r="A33" s="220" t="s">
        <v>1304</v>
      </c>
      <c r="B33" s="251">
        <v>1963510</v>
      </c>
      <c r="C33" s="252" t="s">
        <v>1170</v>
      </c>
      <c r="D33" s="129">
        <v>39386</v>
      </c>
      <c r="E33" s="128">
        <v>1932</v>
      </c>
      <c r="F33" s="129">
        <v>39252</v>
      </c>
      <c r="G33" s="128">
        <v>1934</v>
      </c>
      <c r="H33" s="42" t="s">
        <v>1308</v>
      </c>
    </row>
    <row r="34" spans="1:8" ht="14">
      <c r="A34" s="220" t="s">
        <v>1304</v>
      </c>
      <c r="B34" s="251">
        <v>2047943</v>
      </c>
      <c r="C34" s="252" t="s">
        <v>1170</v>
      </c>
      <c r="D34" s="129">
        <v>39386</v>
      </c>
      <c r="E34" s="128">
        <v>1932</v>
      </c>
      <c r="F34" s="129">
        <v>39284</v>
      </c>
      <c r="G34" s="128">
        <v>1936</v>
      </c>
      <c r="H34" s="42" t="s">
        <v>1308</v>
      </c>
    </row>
    <row r="35" spans="1:8" ht="14">
      <c r="A35" s="220" t="s">
        <v>1304</v>
      </c>
      <c r="B35" s="251">
        <v>1978979</v>
      </c>
      <c r="C35" s="252" t="s">
        <v>1170</v>
      </c>
      <c r="D35" s="129">
        <v>39284</v>
      </c>
      <c r="E35" s="128">
        <v>1933</v>
      </c>
      <c r="F35" s="129">
        <v>39385</v>
      </c>
      <c r="G35" s="128">
        <v>1934</v>
      </c>
      <c r="H35" s="42" t="s">
        <v>1308</v>
      </c>
    </row>
    <row r="36" spans="1:8" ht="14">
      <c r="A36" s="220" t="s">
        <v>1304</v>
      </c>
      <c r="B36" s="251">
        <v>1993576</v>
      </c>
      <c r="C36" s="252" t="s">
        <v>1170</v>
      </c>
      <c r="D36" s="129">
        <v>39304</v>
      </c>
      <c r="E36" s="128">
        <v>1933</v>
      </c>
      <c r="F36" s="129">
        <v>39146</v>
      </c>
      <c r="G36" s="128">
        <v>1935</v>
      </c>
      <c r="H36" s="42" t="s">
        <v>1308</v>
      </c>
    </row>
    <row r="37" spans="1:8" ht="14">
      <c r="A37" s="220" t="s">
        <v>1304</v>
      </c>
      <c r="B37" s="251">
        <v>2098441</v>
      </c>
      <c r="C37" s="252" t="s">
        <v>1170</v>
      </c>
      <c r="D37" s="129">
        <v>39304</v>
      </c>
      <c r="E37" s="128">
        <v>1933</v>
      </c>
      <c r="F37" s="129">
        <v>39395</v>
      </c>
      <c r="G37" s="128">
        <v>1937</v>
      </c>
      <c r="H37" s="42" t="s">
        <v>1308</v>
      </c>
    </row>
    <row r="38" spans="1:8" ht="14">
      <c r="A38" s="220" t="s">
        <v>1304</v>
      </c>
      <c r="B38" s="251">
        <v>2098442</v>
      </c>
      <c r="C38" s="252" t="s">
        <v>1170</v>
      </c>
      <c r="D38" s="129">
        <v>39304</v>
      </c>
      <c r="E38" s="128">
        <v>1933</v>
      </c>
      <c r="F38" s="129">
        <v>39395</v>
      </c>
      <c r="G38" s="128">
        <v>1937</v>
      </c>
      <c r="H38" s="42" t="s">
        <v>1308</v>
      </c>
    </row>
    <row r="39" spans="1:8" ht="14">
      <c r="A39" s="220" t="s">
        <v>1304</v>
      </c>
      <c r="B39" s="251">
        <v>2068879</v>
      </c>
      <c r="C39" s="252" t="s">
        <v>1170</v>
      </c>
      <c r="D39" s="129">
        <v>39334</v>
      </c>
      <c r="E39" s="128">
        <v>1933</v>
      </c>
      <c r="F39" s="129">
        <v>39108</v>
      </c>
      <c r="G39" s="128">
        <v>1937</v>
      </c>
      <c r="H39" s="42" t="s">
        <v>1308</v>
      </c>
    </row>
    <row r="40" spans="1:8" ht="14">
      <c r="A40" s="220" t="s">
        <v>1304</v>
      </c>
      <c r="B40" s="251">
        <v>2027411</v>
      </c>
      <c r="C40" s="252" t="s">
        <v>1170</v>
      </c>
      <c r="D40" s="129">
        <v>39289</v>
      </c>
      <c r="E40" s="128">
        <v>1934</v>
      </c>
      <c r="F40" s="129">
        <v>39096</v>
      </c>
      <c r="G40" s="128">
        <v>1936</v>
      </c>
      <c r="H40" s="42" t="s">
        <v>1308</v>
      </c>
    </row>
    <row r="41" spans="1:8" ht="14">
      <c r="A41" s="220" t="s">
        <v>1304</v>
      </c>
      <c r="B41" s="251">
        <v>2059426</v>
      </c>
      <c r="C41" s="252" t="s">
        <v>1170</v>
      </c>
      <c r="D41" s="129">
        <v>39289</v>
      </c>
      <c r="E41" s="128">
        <v>1934</v>
      </c>
      <c r="F41" s="129">
        <v>39389</v>
      </c>
      <c r="G41" s="128">
        <v>1936</v>
      </c>
      <c r="H41" s="42" t="s">
        <v>1308</v>
      </c>
    </row>
    <row r="42" spans="1:8" ht="14">
      <c r="A42" s="220" t="s">
        <v>1304</v>
      </c>
      <c r="B42" s="251">
        <v>2075909</v>
      </c>
      <c r="C42" s="252" t="s">
        <v>1170</v>
      </c>
      <c r="D42" s="129">
        <v>39289</v>
      </c>
      <c r="E42" s="128">
        <v>1934</v>
      </c>
      <c r="F42" s="129">
        <v>39178</v>
      </c>
      <c r="G42" s="128">
        <v>1937</v>
      </c>
      <c r="H42" s="42" t="s">
        <v>1308</v>
      </c>
    </row>
    <row r="43" spans="1:8" ht="14">
      <c r="A43" s="220" t="s">
        <v>1304</v>
      </c>
      <c r="B43" s="251">
        <v>2079470</v>
      </c>
      <c r="C43" s="252" t="s">
        <v>1170</v>
      </c>
      <c r="D43" s="129">
        <v>39337</v>
      </c>
      <c r="E43" s="128">
        <v>1934</v>
      </c>
      <c r="F43" s="129">
        <v>39206</v>
      </c>
      <c r="G43" s="128">
        <v>1937</v>
      </c>
      <c r="H43" s="42" t="s">
        <v>1308</v>
      </c>
    </row>
    <row r="44" spans="1:8" ht="14">
      <c r="A44" s="220" t="s">
        <v>1304</v>
      </c>
      <c r="B44" s="251">
        <v>2046320</v>
      </c>
      <c r="C44" s="252" t="s">
        <v>1170</v>
      </c>
      <c r="D44" s="129">
        <v>39380</v>
      </c>
      <c r="E44" s="128">
        <v>1934</v>
      </c>
      <c r="F44" s="129">
        <v>39270</v>
      </c>
      <c r="G44" s="128">
        <v>1936</v>
      </c>
      <c r="H44" s="42" t="s">
        <v>1308</v>
      </c>
    </row>
    <row r="45" spans="1:8" ht="14">
      <c r="A45" s="42" t="s">
        <v>1304</v>
      </c>
      <c r="B45" s="128">
        <v>2189932</v>
      </c>
      <c r="C45" s="147" t="s">
        <v>1170</v>
      </c>
      <c r="D45" s="129">
        <v>39098</v>
      </c>
      <c r="E45" s="128">
        <v>1936</v>
      </c>
      <c r="F45" s="129">
        <v>39126</v>
      </c>
      <c r="G45" s="128">
        <v>1940</v>
      </c>
      <c r="H45" s="42" t="s">
        <v>1308</v>
      </c>
    </row>
    <row r="46" spans="1:8" ht="14">
      <c r="A46" s="42" t="s">
        <v>1304</v>
      </c>
      <c r="B46" s="128">
        <v>2189933</v>
      </c>
      <c r="C46" s="147" t="s">
        <v>1170</v>
      </c>
      <c r="D46" s="129">
        <v>42019</v>
      </c>
      <c r="E46" s="128">
        <v>1936</v>
      </c>
      <c r="F46" s="129">
        <v>13192</v>
      </c>
      <c r="G46" s="128">
        <v>1940</v>
      </c>
      <c r="H46" s="42" t="s">
        <v>1309</v>
      </c>
    </row>
    <row r="47" spans="1:8" ht="14">
      <c r="A47" s="42" t="s">
        <v>1304</v>
      </c>
      <c r="B47" s="128">
        <v>2182142</v>
      </c>
      <c r="C47" s="147" t="s">
        <v>1170</v>
      </c>
      <c r="D47" s="129">
        <v>39125</v>
      </c>
      <c r="E47" s="128">
        <v>1937</v>
      </c>
      <c r="F47" s="129">
        <v>39421</v>
      </c>
      <c r="G47" s="128">
        <v>1939</v>
      </c>
      <c r="H47" s="42" t="s">
        <v>1308</v>
      </c>
    </row>
    <row r="48" spans="1:8" ht="14">
      <c r="A48" s="42" t="s">
        <v>1304</v>
      </c>
      <c r="B48" s="128">
        <v>2219314</v>
      </c>
      <c r="C48" s="147" t="s">
        <v>1170</v>
      </c>
      <c r="D48" s="129">
        <v>39220</v>
      </c>
      <c r="E48" s="128">
        <v>1937</v>
      </c>
      <c r="F48" s="129">
        <v>39384</v>
      </c>
      <c r="G48" s="128">
        <v>1940</v>
      </c>
      <c r="H48" s="42" t="s">
        <v>1308</v>
      </c>
    </row>
    <row r="49" spans="1:8" ht="14">
      <c r="A49" s="42" t="s">
        <v>1304</v>
      </c>
      <c r="B49" s="128">
        <v>2152369</v>
      </c>
      <c r="C49" s="147" t="s">
        <v>1170</v>
      </c>
      <c r="D49" s="129">
        <v>39304</v>
      </c>
      <c r="E49" s="128">
        <v>1937</v>
      </c>
      <c r="F49" s="129">
        <v>39169</v>
      </c>
      <c r="G49" s="128">
        <v>1939</v>
      </c>
      <c r="H49" s="42" t="s">
        <v>1308</v>
      </c>
    </row>
    <row r="50" spans="1:8" ht="14">
      <c r="A50" s="42" t="s">
        <v>1304</v>
      </c>
      <c r="B50" s="128">
        <v>2229157</v>
      </c>
      <c r="C50" s="147" t="s">
        <v>1170</v>
      </c>
      <c r="D50" s="129">
        <v>39094</v>
      </c>
      <c r="E50" s="128">
        <v>1938</v>
      </c>
      <c r="F50" s="129">
        <v>39103</v>
      </c>
      <c r="G50" s="128">
        <v>1941</v>
      </c>
      <c r="H50" s="42" t="s">
        <v>1308</v>
      </c>
    </row>
    <row r="51" spans="1:8" ht="14">
      <c r="A51" s="42" t="s">
        <v>1304</v>
      </c>
      <c r="B51" s="128">
        <v>2211763</v>
      </c>
      <c r="C51" s="147" t="s">
        <v>1170</v>
      </c>
      <c r="D51" s="129">
        <v>39408</v>
      </c>
      <c r="E51" s="128">
        <v>1938</v>
      </c>
      <c r="F51" s="129">
        <v>39314</v>
      </c>
      <c r="G51" s="128">
        <v>1940</v>
      </c>
      <c r="H51" s="42" t="s">
        <v>1308</v>
      </c>
    </row>
    <row r="52" spans="1:8" ht="14">
      <c r="A52" s="42" t="s">
        <v>1304</v>
      </c>
      <c r="B52" s="128">
        <v>2305011</v>
      </c>
      <c r="C52" s="147" t="s">
        <v>1170</v>
      </c>
      <c r="D52" s="129">
        <v>39429</v>
      </c>
      <c r="E52" s="128">
        <v>1938</v>
      </c>
      <c r="F52" s="129">
        <v>39431</v>
      </c>
      <c r="G52" s="128">
        <v>1942</v>
      </c>
      <c r="H52" s="42" t="s">
        <v>1308</v>
      </c>
    </row>
    <row r="53" spans="1:8" ht="14">
      <c r="A53" s="42" t="s">
        <v>1304</v>
      </c>
      <c r="B53" s="128">
        <v>2233809</v>
      </c>
      <c r="C53" s="147" t="s">
        <v>1170</v>
      </c>
      <c r="D53" s="129">
        <v>39113</v>
      </c>
      <c r="E53" s="128">
        <v>1939</v>
      </c>
      <c r="F53" s="129">
        <v>39145</v>
      </c>
      <c r="G53" s="128">
        <v>1941</v>
      </c>
      <c r="H53" s="42" t="s">
        <v>1308</v>
      </c>
    </row>
    <row r="54" spans="1:8" ht="14">
      <c r="A54" s="42" t="s">
        <v>1304</v>
      </c>
      <c r="B54" s="128">
        <v>2270749</v>
      </c>
      <c r="C54" s="147" t="s">
        <v>1170</v>
      </c>
      <c r="D54" s="129">
        <v>39140</v>
      </c>
      <c r="E54" s="128">
        <v>1939</v>
      </c>
      <c r="F54" s="129">
        <v>39102</v>
      </c>
      <c r="G54" s="128">
        <v>1942</v>
      </c>
      <c r="H54" s="42" t="s">
        <v>1308</v>
      </c>
    </row>
    <row r="55" spans="1:8" ht="14">
      <c r="A55" s="42" t="s">
        <v>1304</v>
      </c>
      <c r="B55" s="128">
        <v>2262534</v>
      </c>
      <c r="C55" s="147" t="s">
        <v>1170</v>
      </c>
      <c r="D55" s="129">
        <v>39145</v>
      </c>
      <c r="E55" s="128">
        <v>1939</v>
      </c>
      <c r="F55" s="129">
        <v>39397</v>
      </c>
      <c r="G55" s="128">
        <v>1941</v>
      </c>
      <c r="H55" s="42" t="s">
        <v>1308</v>
      </c>
    </row>
    <row r="56" spans="1:8" ht="14">
      <c r="A56" s="42" t="s">
        <v>1304</v>
      </c>
      <c r="B56" s="128">
        <v>2257172</v>
      </c>
      <c r="C56" s="147" t="s">
        <v>1170</v>
      </c>
      <c r="D56" s="129">
        <v>39148</v>
      </c>
      <c r="E56" s="128">
        <v>1939</v>
      </c>
      <c r="F56" s="129">
        <v>39355</v>
      </c>
      <c r="G56" s="128">
        <v>1941</v>
      </c>
      <c r="H56" s="42" t="s">
        <v>1308</v>
      </c>
    </row>
    <row r="57" spans="1:8" ht="14">
      <c r="A57" s="42" t="s">
        <v>1304</v>
      </c>
      <c r="B57" s="128">
        <v>2233441</v>
      </c>
      <c r="C57" s="147" t="s">
        <v>1170</v>
      </c>
      <c r="D57" s="129">
        <v>39151</v>
      </c>
      <c r="E57" s="128">
        <v>1939</v>
      </c>
      <c r="F57" s="129">
        <v>39145</v>
      </c>
      <c r="G57" s="128">
        <v>1941</v>
      </c>
      <c r="H57" s="42" t="s">
        <v>1308</v>
      </c>
    </row>
    <row r="58" spans="1:8" ht="14">
      <c r="A58" s="42" t="s">
        <v>1304</v>
      </c>
      <c r="B58" s="128">
        <v>2192251</v>
      </c>
      <c r="C58" s="147" t="s">
        <v>1170</v>
      </c>
      <c r="D58" s="129">
        <v>39152</v>
      </c>
      <c r="E58" s="128">
        <v>1939</v>
      </c>
      <c r="F58" s="129">
        <v>39146</v>
      </c>
      <c r="G58" s="128">
        <v>1940</v>
      </c>
      <c r="H58" s="42" t="s">
        <v>1308</v>
      </c>
    </row>
    <row r="59" spans="1:8" ht="14">
      <c r="A59" s="42" t="s">
        <v>1304</v>
      </c>
      <c r="B59" s="128">
        <v>2262524</v>
      </c>
      <c r="C59" s="147" t="s">
        <v>1170</v>
      </c>
      <c r="D59" s="129">
        <v>39154</v>
      </c>
      <c r="E59" s="128">
        <v>1939</v>
      </c>
      <c r="F59" s="129">
        <v>39397</v>
      </c>
      <c r="G59" s="128">
        <v>1941</v>
      </c>
      <c r="H59" s="42" t="s">
        <v>1308</v>
      </c>
    </row>
    <row r="60" spans="1:8" ht="14">
      <c r="A60" s="42" t="s">
        <v>1304</v>
      </c>
      <c r="B60" s="128">
        <v>2220882</v>
      </c>
      <c r="C60" s="147" t="s">
        <v>1170</v>
      </c>
      <c r="D60" s="129">
        <v>39207</v>
      </c>
      <c r="E60" s="128">
        <v>1939</v>
      </c>
      <c r="F60" s="129">
        <v>39398</v>
      </c>
      <c r="G60" s="128">
        <v>1940</v>
      </c>
      <c r="H60" s="42" t="s">
        <v>1308</v>
      </c>
    </row>
    <row r="61" spans="1:8" ht="14">
      <c r="A61" s="42" t="s">
        <v>1304</v>
      </c>
      <c r="B61" s="128">
        <v>2241689</v>
      </c>
      <c r="C61" s="147" t="s">
        <v>1170</v>
      </c>
      <c r="D61" s="129">
        <v>39233</v>
      </c>
      <c r="E61" s="128">
        <v>1939</v>
      </c>
      <c r="F61" s="129">
        <v>39215</v>
      </c>
      <c r="G61" s="128">
        <v>1941</v>
      </c>
      <c r="H61" s="42" t="s">
        <v>1308</v>
      </c>
    </row>
    <row r="62" spans="1:8" ht="14">
      <c r="A62" s="42" t="s">
        <v>1304</v>
      </c>
      <c r="B62" s="128">
        <v>2277141</v>
      </c>
      <c r="C62" s="147" t="s">
        <v>1170</v>
      </c>
      <c r="D62" s="129">
        <v>39281</v>
      </c>
      <c r="E62" s="128">
        <v>1939</v>
      </c>
      <c r="F62" s="129">
        <v>39165</v>
      </c>
      <c r="G62" s="128">
        <v>1942</v>
      </c>
      <c r="H62" s="42" t="s">
        <v>1308</v>
      </c>
    </row>
    <row r="63" spans="1:8" ht="14">
      <c r="A63" s="42" t="s">
        <v>1304</v>
      </c>
      <c r="B63" s="128">
        <v>2319660</v>
      </c>
      <c r="C63" s="147" t="s">
        <v>1170</v>
      </c>
      <c r="D63" s="129">
        <v>39288</v>
      </c>
      <c r="E63" s="128">
        <v>1939</v>
      </c>
      <c r="F63" s="129">
        <v>39220</v>
      </c>
      <c r="G63" s="128">
        <v>1943</v>
      </c>
      <c r="H63" s="42" t="s">
        <v>1308</v>
      </c>
    </row>
    <row r="64" spans="1:8" ht="14">
      <c r="A64" s="42" t="s">
        <v>1304</v>
      </c>
      <c r="B64" s="128">
        <v>2275270</v>
      </c>
      <c r="C64" s="147" t="s">
        <v>1170</v>
      </c>
      <c r="D64" s="129">
        <v>39310</v>
      </c>
      <c r="E64" s="128">
        <v>1939</v>
      </c>
      <c r="F64" s="129">
        <v>39144</v>
      </c>
      <c r="G64" s="128">
        <v>1942</v>
      </c>
      <c r="H64" s="42" t="s">
        <v>1308</v>
      </c>
    </row>
    <row r="65" spans="1:8" ht="14">
      <c r="A65" s="42" t="s">
        <v>1304</v>
      </c>
      <c r="B65" s="128">
        <v>2231548</v>
      </c>
      <c r="C65" s="147" t="s">
        <v>1170</v>
      </c>
      <c r="D65" s="129">
        <v>39345</v>
      </c>
      <c r="E65" s="128">
        <v>1939</v>
      </c>
      <c r="F65" s="129">
        <v>39124</v>
      </c>
      <c r="G65" s="128">
        <v>1941</v>
      </c>
      <c r="H65" s="42" t="s">
        <v>1308</v>
      </c>
    </row>
    <row r="66" spans="1:8" ht="14">
      <c r="A66" s="42" t="s">
        <v>1304</v>
      </c>
      <c r="B66" s="128">
        <v>2323754</v>
      </c>
      <c r="C66" s="147" t="s">
        <v>1170</v>
      </c>
      <c r="D66" s="129">
        <v>39372</v>
      </c>
      <c r="E66" s="128">
        <v>1939</v>
      </c>
      <c r="F66" s="129">
        <v>39269</v>
      </c>
      <c r="G66" s="128">
        <v>1943</v>
      </c>
      <c r="H66" s="42" t="s">
        <v>1308</v>
      </c>
    </row>
    <row r="67" spans="1:8" ht="14">
      <c r="A67" s="42" t="s">
        <v>1304</v>
      </c>
      <c r="B67" s="128">
        <v>2264350</v>
      </c>
      <c r="C67" s="147" t="s">
        <v>1170</v>
      </c>
      <c r="D67" s="129">
        <v>39373</v>
      </c>
      <c r="E67" s="128">
        <v>1939</v>
      </c>
      <c r="F67" s="129">
        <v>39418</v>
      </c>
      <c r="G67" s="128">
        <v>1941</v>
      </c>
      <c r="H67" s="42" t="s">
        <v>1308</v>
      </c>
    </row>
    <row r="68" spans="1:8" ht="14">
      <c r="A68" s="42" t="s">
        <v>1304</v>
      </c>
      <c r="B68" s="128">
        <v>2301013</v>
      </c>
      <c r="C68" s="147" t="s">
        <v>1170</v>
      </c>
      <c r="D68" s="129">
        <v>39098</v>
      </c>
      <c r="E68" s="128">
        <v>1940</v>
      </c>
      <c r="F68" s="129">
        <v>39389</v>
      </c>
      <c r="G68" s="128">
        <v>1942</v>
      </c>
      <c r="H68" s="42" t="s">
        <v>1308</v>
      </c>
    </row>
    <row r="69" spans="1:8" ht="14">
      <c r="A69" s="42" t="s">
        <v>1304</v>
      </c>
      <c r="B69" s="128">
        <v>2253874</v>
      </c>
      <c r="C69" s="147" t="s">
        <v>1170</v>
      </c>
      <c r="D69" s="129">
        <v>39176</v>
      </c>
      <c r="E69" s="128">
        <v>1940</v>
      </c>
      <c r="F69" s="129">
        <v>39320</v>
      </c>
      <c r="G69" s="128">
        <v>1941</v>
      </c>
      <c r="H69" s="42" t="s">
        <v>1308</v>
      </c>
    </row>
    <row r="70" spans="1:8" ht="14">
      <c r="A70" s="42" t="s">
        <v>1304</v>
      </c>
      <c r="B70" s="128">
        <v>2244313</v>
      </c>
      <c r="C70" s="147" t="s">
        <v>1170</v>
      </c>
      <c r="D70" s="129">
        <v>39189</v>
      </c>
      <c r="E70" s="128">
        <v>1940</v>
      </c>
      <c r="F70" s="129">
        <v>39236</v>
      </c>
      <c r="G70" s="128">
        <v>1941</v>
      </c>
      <c r="H70" s="42" t="s">
        <v>1308</v>
      </c>
    </row>
    <row r="71" spans="1:8" ht="14">
      <c r="A71" s="42" t="s">
        <v>1304</v>
      </c>
      <c r="B71" s="128">
        <v>2297553</v>
      </c>
      <c r="C71" s="147" t="s">
        <v>1170</v>
      </c>
      <c r="D71" s="129">
        <v>39203</v>
      </c>
      <c r="E71" s="128">
        <v>1940</v>
      </c>
      <c r="F71" s="129">
        <v>39354</v>
      </c>
      <c r="G71" s="128">
        <v>1942</v>
      </c>
      <c r="H71" s="42" t="s">
        <v>1308</v>
      </c>
    </row>
    <row r="72" spans="1:8" ht="14">
      <c r="A72" s="42" t="s">
        <v>1304</v>
      </c>
      <c r="B72" s="128">
        <v>2297582</v>
      </c>
      <c r="C72" s="147" t="s">
        <v>1170</v>
      </c>
      <c r="D72" s="129">
        <v>39203</v>
      </c>
      <c r="E72" s="128">
        <v>1940</v>
      </c>
      <c r="F72" s="129">
        <v>39354</v>
      </c>
      <c r="G72" s="128">
        <v>1942</v>
      </c>
      <c r="H72" s="42" t="s">
        <v>1308</v>
      </c>
    </row>
    <row r="73" spans="1:8" ht="14">
      <c r="A73" s="42" t="s">
        <v>1304</v>
      </c>
      <c r="B73" s="128">
        <v>2297598</v>
      </c>
      <c r="C73" s="147" t="s">
        <v>1170</v>
      </c>
      <c r="D73" s="129">
        <v>39203</v>
      </c>
      <c r="E73" s="128">
        <v>1940</v>
      </c>
      <c r="F73" s="129">
        <v>39354</v>
      </c>
      <c r="G73" s="128">
        <v>1942</v>
      </c>
      <c r="H73" s="42" t="s">
        <v>1308</v>
      </c>
    </row>
    <row r="74" spans="1:8" ht="14">
      <c r="A74" s="42" t="s">
        <v>1304</v>
      </c>
      <c r="B74" s="128">
        <v>2366267</v>
      </c>
      <c r="C74" s="147" t="s">
        <v>1170</v>
      </c>
      <c r="D74" s="129">
        <v>39203</v>
      </c>
      <c r="E74" s="128">
        <v>1940</v>
      </c>
      <c r="F74" s="129">
        <v>39084</v>
      </c>
      <c r="G74" s="128">
        <v>1945</v>
      </c>
      <c r="H74" s="42" t="s">
        <v>1308</v>
      </c>
    </row>
    <row r="75" spans="1:8" ht="14">
      <c r="A75" s="42" t="s">
        <v>1304</v>
      </c>
      <c r="B75" s="128">
        <v>2271572</v>
      </c>
      <c r="C75" s="147" t="s">
        <v>1170</v>
      </c>
      <c r="D75" s="129">
        <v>39245</v>
      </c>
      <c r="E75" s="128">
        <v>1940</v>
      </c>
      <c r="F75" s="129">
        <v>39116</v>
      </c>
      <c r="G75" s="128">
        <v>1942</v>
      </c>
      <c r="H75" s="42" t="s">
        <v>1308</v>
      </c>
    </row>
    <row r="76" spans="1:8" ht="14">
      <c r="A76" s="42" t="s">
        <v>1304</v>
      </c>
      <c r="B76" s="128">
        <v>2286930</v>
      </c>
      <c r="C76" s="147" t="s">
        <v>1170</v>
      </c>
      <c r="D76" s="129">
        <v>39265</v>
      </c>
      <c r="E76" s="128">
        <v>1940</v>
      </c>
      <c r="F76" s="129">
        <v>39249</v>
      </c>
      <c r="G76" s="128">
        <v>1942</v>
      </c>
      <c r="H76" s="42" t="s">
        <v>1308</v>
      </c>
    </row>
    <row r="77" spans="1:8" ht="14">
      <c r="A77" s="42" t="s">
        <v>1304</v>
      </c>
      <c r="B77" s="128">
        <v>2278423</v>
      </c>
      <c r="C77" s="147" t="s">
        <v>1170</v>
      </c>
      <c r="D77" s="129">
        <v>39294</v>
      </c>
      <c r="E77" s="128">
        <v>1940</v>
      </c>
      <c r="F77" s="129">
        <v>39179</v>
      </c>
      <c r="G77" s="128">
        <v>1942</v>
      </c>
      <c r="H77" s="42" t="s">
        <v>1308</v>
      </c>
    </row>
    <row r="78" spans="1:8" ht="14">
      <c r="A78" s="42" t="s">
        <v>1304</v>
      </c>
      <c r="B78" s="128">
        <v>2257254</v>
      </c>
      <c r="C78" s="147" t="s">
        <v>1170</v>
      </c>
      <c r="D78" s="129">
        <v>39335</v>
      </c>
      <c r="E78" s="128">
        <v>1940</v>
      </c>
      <c r="F78" s="129">
        <v>39355</v>
      </c>
      <c r="G78" s="128">
        <v>1941</v>
      </c>
      <c r="H78" s="42" t="s">
        <v>1308</v>
      </c>
    </row>
    <row r="79" spans="1:8" ht="14">
      <c r="A79" s="42" t="s">
        <v>1304</v>
      </c>
      <c r="B79" s="128">
        <v>2352914</v>
      </c>
      <c r="C79" s="147" t="s">
        <v>1170</v>
      </c>
      <c r="D79" s="129">
        <v>39401</v>
      </c>
      <c r="E79" s="128">
        <v>1940</v>
      </c>
      <c r="F79" s="129">
        <v>39267</v>
      </c>
      <c r="G79" s="128">
        <v>1944</v>
      </c>
      <c r="H79" s="42" t="s">
        <v>1308</v>
      </c>
    </row>
    <row r="80" spans="1:8" ht="14">
      <c r="A80" s="42" t="s">
        <v>1304</v>
      </c>
      <c r="B80" s="128">
        <v>2357924</v>
      </c>
      <c r="C80" s="147" t="s">
        <v>1170</v>
      </c>
      <c r="D80" s="129">
        <v>39133</v>
      </c>
      <c r="E80" s="128">
        <v>1941</v>
      </c>
      <c r="F80" s="129">
        <v>39337</v>
      </c>
      <c r="G80" s="128">
        <v>1944</v>
      </c>
      <c r="H80" s="42" t="s">
        <v>1308</v>
      </c>
    </row>
    <row r="81" spans="1:8" ht="14">
      <c r="A81" s="42" t="s">
        <v>1304</v>
      </c>
      <c r="B81" s="128">
        <v>2338298</v>
      </c>
      <c r="C81" s="147" t="s">
        <v>1170</v>
      </c>
      <c r="D81" s="129">
        <v>39162</v>
      </c>
      <c r="E81" s="128">
        <v>1941</v>
      </c>
      <c r="F81" s="129">
        <v>39086</v>
      </c>
      <c r="G81" s="128">
        <v>1944</v>
      </c>
      <c r="H81" s="42" t="s">
        <v>1308</v>
      </c>
    </row>
    <row r="82" spans="1:8" ht="14">
      <c r="A82" s="42" t="s">
        <v>1304</v>
      </c>
      <c r="B82" s="128">
        <v>2330796</v>
      </c>
      <c r="C82" s="147" t="s">
        <v>1170</v>
      </c>
      <c r="D82" s="129">
        <v>39433</v>
      </c>
      <c r="E82" s="128">
        <v>1941</v>
      </c>
      <c r="F82" s="129">
        <v>39360</v>
      </c>
      <c r="G82" s="128">
        <v>1943</v>
      </c>
      <c r="H82" s="42" t="s">
        <v>1308</v>
      </c>
    </row>
    <row r="83" spans="1:8" ht="14">
      <c r="A83" s="42" t="s">
        <v>1304</v>
      </c>
      <c r="B83" s="128">
        <v>2340684</v>
      </c>
      <c r="C83" s="147" t="s">
        <v>1170</v>
      </c>
      <c r="D83" s="129">
        <v>39116</v>
      </c>
      <c r="E83" s="128">
        <v>1942</v>
      </c>
      <c r="F83" s="129">
        <v>39114</v>
      </c>
      <c r="G83" s="128">
        <v>1944</v>
      </c>
      <c r="H83" s="42" t="s">
        <v>1308</v>
      </c>
    </row>
    <row r="84" spans="1:8" ht="14">
      <c r="A84" s="42" t="s">
        <v>1304</v>
      </c>
      <c r="B84" s="128">
        <v>2328492</v>
      </c>
      <c r="C84" s="147" t="s">
        <v>1170</v>
      </c>
      <c r="D84" s="129">
        <v>39120</v>
      </c>
      <c r="E84" s="128">
        <v>1942</v>
      </c>
      <c r="F84" s="129">
        <v>39325</v>
      </c>
      <c r="G84" s="128">
        <v>1943</v>
      </c>
      <c r="H84" s="42" t="s">
        <v>1308</v>
      </c>
    </row>
    <row r="85" spans="1:8" ht="14">
      <c r="A85" s="42" t="s">
        <v>1304</v>
      </c>
      <c r="B85" s="128">
        <v>2382580</v>
      </c>
      <c r="C85" s="147" t="s">
        <v>1170</v>
      </c>
      <c r="D85" s="129">
        <v>39123</v>
      </c>
      <c r="E85" s="128">
        <v>1942</v>
      </c>
      <c r="F85" s="129">
        <v>39308</v>
      </c>
      <c r="G85" s="128">
        <v>1945</v>
      </c>
      <c r="H85" s="42" t="s">
        <v>1308</v>
      </c>
    </row>
    <row r="86" spans="1:8" ht="14">
      <c r="A86" s="42" t="s">
        <v>1304</v>
      </c>
      <c r="B86" s="128">
        <v>2369176</v>
      </c>
      <c r="C86" s="147" t="s">
        <v>1170</v>
      </c>
      <c r="D86" s="129">
        <v>39196</v>
      </c>
      <c r="E86" s="128">
        <v>1942</v>
      </c>
      <c r="F86" s="129">
        <v>39126</v>
      </c>
      <c r="G86" s="128">
        <v>1945</v>
      </c>
      <c r="H86" s="42" t="s">
        <v>1308</v>
      </c>
    </row>
    <row r="87" spans="1:8" ht="14">
      <c r="A87" s="42" t="s">
        <v>1304</v>
      </c>
      <c r="B87" s="128">
        <v>2415442</v>
      </c>
      <c r="C87" s="147" t="s">
        <v>1170</v>
      </c>
      <c r="D87" s="129">
        <v>39196</v>
      </c>
      <c r="E87" s="128">
        <v>1942</v>
      </c>
      <c r="F87" s="129">
        <v>39124</v>
      </c>
      <c r="G87" s="128">
        <v>1947</v>
      </c>
      <c r="H87" s="42" t="s">
        <v>1308</v>
      </c>
    </row>
    <row r="88" spans="1:8" ht="14">
      <c r="A88" s="42" t="s">
        <v>1304</v>
      </c>
      <c r="B88" s="128">
        <v>2356291</v>
      </c>
      <c r="C88" s="147" t="s">
        <v>1170</v>
      </c>
      <c r="D88" s="129">
        <v>39313</v>
      </c>
      <c r="E88" s="128">
        <v>1942</v>
      </c>
      <c r="F88" s="129">
        <v>39316</v>
      </c>
      <c r="G88" s="128">
        <v>1944</v>
      </c>
      <c r="H88" s="42" t="s">
        <v>1308</v>
      </c>
    </row>
    <row r="89" spans="1:8" ht="14">
      <c r="A89" s="42" t="s">
        <v>1304</v>
      </c>
      <c r="B89" s="128">
        <v>2341402</v>
      </c>
      <c r="C89" s="147" t="s">
        <v>1170</v>
      </c>
      <c r="D89" s="129">
        <v>39315</v>
      </c>
      <c r="E89" s="128">
        <v>1942</v>
      </c>
      <c r="F89" s="129">
        <v>39121</v>
      </c>
      <c r="G89" s="128">
        <v>1944</v>
      </c>
      <c r="H89" s="42" t="s">
        <v>1308</v>
      </c>
    </row>
    <row r="90" spans="1:8" ht="14">
      <c r="A90" s="42" t="s">
        <v>1304</v>
      </c>
      <c r="B90" s="128">
        <v>2341889</v>
      </c>
      <c r="C90" s="147" t="s">
        <v>1170</v>
      </c>
      <c r="D90" s="129">
        <v>39315</v>
      </c>
      <c r="E90" s="128">
        <v>1942</v>
      </c>
      <c r="F90" s="129">
        <v>39128</v>
      </c>
      <c r="G90" s="128">
        <v>1944</v>
      </c>
      <c r="H90" s="42" t="s">
        <v>1308</v>
      </c>
    </row>
    <row r="91" spans="1:8" ht="14">
      <c r="A91" s="42" t="s">
        <v>1304</v>
      </c>
      <c r="B91" s="128">
        <v>2387881</v>
      </c>
      <c r="C91" s="147" t="s">
        <v>1170</v>
      </c>
      <c r="D91" s="129">
        <v>39386</v>
      </c>
      <c r="E91" s="128">
        <v>1942</v>
      </c>
      <c r="F91" s="129">
        <v>39385</v>
      </c>
      <c r="G91" s="128">
        <v>1945</v>
      </c>
      <c r="H91" s="42" t="s">
        <v>1308</v>
      </c>
    </row>
    <row r="92" spans="1:8" ht="14">
      <c r="A92" s="42" t="s">
        <v>1304</v>
      </c>
      <c r="B92" s="128">
        <v>2413468</v>
      </c>
      <c r="C92" s="147" t="s">
        <v>1170</v>
      </c>
      <c r="D92" s="129">
        <v>39397</v>
      </c>
      <c r="E92" s="128">
        <v>1942</v>
      </c>
      <c r="F92" s="129">
        <v>39082</v>
      </c>
      <c r="G92" s="128">
        <v>1946</v>
      </c>
      <c r="H92" s="42" t="s">
        <v>1308</v>
      </c>
    </row>
    <row r="93" spans="1:8" ht="14">
      <c r="A93" s="42" t="s">
        <v>1304</v>
      </c>
      <c r="B93" s="128">
        <v>2348496</v>
      </c>
      <c r="C93" s="147" t="s">
        <v>1170</v>
      </c>
      <c r="D93" s="129">
        <v>39412</v>
      </c>
      <c r="E93" s="128">
        <v>1942</v>
      </c>
      <c r="F93" s="129">
        <v>39211</v>
      </c>
      <c r="G93" s="128">
        <v>1944</v>
      </c>
      <c r="H93" s="42" t="s">
        <v>1308</v>
      </c>
    </row>
    <row r="94" spans="1:8" ht="14">
      <c r="A94" s="42" t="s">
        <v>1304</v>
      </c>
      <c r="B94" s="128">
        <v>2363689</v>
      </c>
      <c r="C94" s="147" t="s">
        <v>1170</v>
      </c>
      <c r="D94" s="129">
        <v>39143</v>
      </c>
      <c r="E94" s="128">
        <v>1943</v>
      </c>
      <c r="F94" s="129">
        <v>39414</v>
      </c>
      <c r="G94" s="128">
        <v>1944</v>
      </c>
      <c r="H94" s="42" t="s">
        <v>1308</v>
      </c>
    </row>
    <row r="95" spans="1:8" ht="14">
      <c r="A95" s="42" t="s">
        <v>1304</v>
      </c>
      <c r="B95" s="128">
        <v>2388591</v>
      </c>
      <c r="C95" s="147" t="s">
        <v>1170</v>
      </c>
      <c r="D95" s="129">
        <v>39129</v>
      </c>
      <c r="E95" s="128">
        <v>1944</v>
      </c>
      <c r="F95" s="129">
        <v>39392</v>
      </c>
      <c r="G95" s="128">
        <v>1945</v>
      </c>
      <c r="H95" s="42" t="s">
        <v>1308</v>
      </c>
    </row>
    <row r="96" spans="1:8" ht="14">
      <c r="A96" s="42" t="s">
        <v>1304</v>
      </c>
      <c r="B96" s="128">
        <v>2387914</v>
      </c>
      <c r="C96" s="147" t="s">
        <v>1170</v>
      </c>
      <c r="D96" s="129">
        <v>39130</v>
      </c>
      <c r="E96" s="128">
        <v>1944</v>
      </c>
      <c r="F96" s="129">
        <v>39385</v>
      </c>
      <c r="G96" s="128">
        <v>1945</v>
      </c>
      <c r="H96" s="42" t="s">
        <v>1308</v>
      </c>
    </row>
    <row r="97" spans="1:9" ht="14">
      <c r="A97" s="42" t="s">
        <v>1304</v>
      </c>
      <c r="B97" s="128">
        <v>2437361</v>
      </c>
      <c r="C97" s="147" t="s">
        <v>1170</v>
      </c>
      <c r="D97" s="129">
        <v>39130</v>
      </c>
      <c r="E97" s="128">
        <v>1944</v>
      </c>
      <c r="F97" s="129">
        <v>39150</v>
      </c>
      <c r="G97" s="128">
        <v>1948</v>
      </c>
      <c r="H97" s="42" t="s">
        <v>1308</v>
      </c>
    </row>
    <row r="98" spans="1:9" ht="14">
      <c r="A98" s="42" t="s">
        <v>1304</v>
      </c>
      <c r="B98" s="128">
        <v>2491229</v>
      </c>
      <c r="C98" s="147" t="s">
        <v>1170</v>
      </c>
      <c r="D98" s="129">
        <v>39143</v>
      </c>
      <c r="E98" s="128">
        <v>1945</v>
      </c>
      <c r="F98" s="129">
        <v>39429</v>
      </c>
      <c r="G98" s="128">
        <v>1949</v>
      </c>
      <c r="H98" s="42" t="s">
        <v>1308</v>
      </c>
    </row>
    <row r="99" spans="1:9" ht="14">
      <c r="A99" s="42" t="s">
        <v>1304</v>
      </c>
      <c r="B99" s="128">
        <v>2448691</v>
      </c>
      <c r="C99" s="147" t="s">
        <v>1170</v>
      </c>
      <c r="D99" s="129">
        <v>39248</v>
      </c>
      <c r="E99" s="128">
        <v>1945</v>
      </c>
      <c r="F99" s="129">
        <v>39332</v>
      </c>
      <c r="G99" s="128">
        <v>1948</v>
      </c>
      <c r="H99" s="42" t="s">
        <v>1308</v>
      </c>
    </row>
    <row r="100" spans="1:9" ht="14">
      <c r="A100" s="42" t="s">
        <v>1304</v>
      </c>
      <c r="B100" s="128">
        <v>2457319</v>
      </c>
      <c r="C100" s="147" t="s">
        <v>1170</v>
      </c>
      <c r="D100" s="129">
        <v>39325</v>
      </c>
      <c r="E100" s="128">
        <v>1945</v>
      </c>
      <c r="F100" s="129">
        <v>39444</v>
      </c>
      <c r="G100" s="128">
        <v>1948</v>
      </c>
      <c r="H100" s="42" t="s">
        <v>1308</v>
      </c>
    </row>
    <row r="101" spans="1:9" ht="14">
      <c r="A101" s="42" t="s">
        <v>1304</v>
      </c>
      <c r="B101" s="128">
        <v>2495821</v>
      </c>
      <c r="C101" s="147" t="s">
        <v>1170</v>
      </c>
      <c r="D101" s="129">
        <v>39354</v>
      </c>
      <c r="E101" s="128">
        <v>1945</v>
      </c>
      <c r="F101" s="129">
        <v>39113</v>
      </c>
      <c r="G101" s="128">
        <v>1950</v>
      </c>
      <c r="H101" s="42" t="s">
        <v>1308</v>
      </c>
    </row>
    <row r="102" spans="1:9" ht="14">
      <c r="A102" s="42" t="s">
        <v>1304</v>
      </c>
      <c r="B102" s="128">
        <v>2444785</v>
      </c>
      <c r="C102" s="147" t="s">
        <v>1170</v>
      </c>
      <c r="D102" s="129">
        <v>39388</v>
      </c>
      <c r="E102" s="128">
        <v>1945</v>
      </c>
      <c r="F102" s="129">
        <v>39269</v>
      </c>
      <c r="G102" s="128">
        <v>1948</v>
      </c>
      <c r="H102" s="42" t="s">
        <v>1308</v>
      </c>
    </row>
    <row r="103" spans="1:9" ht="14">
      <c r="A103" s="42" t="s">
        <v>1304</v>
      </c>
      <c r="B103" s="128">
        <v>2444786</v>
      </c>
      <c r="C103" s="147" t="s">
        <v>1170</v>
      </c>
      <c r="D103" s="129">
        <v>39388</v>
      </c>
      <c r="E103" s="128">
        <v>1945</v>
      </c>
      <c r="F103" s="129">
        <v>39269</v>
      </c>
      <c r="G103" s="128">
        <v>1948</v>
      </c>
      <c r="H103" s="42" t="s">
        <v>1308</v>
      </c>
    </row>
    <row r="104" spans="1:9" ht="14">
      <c r="A104" s="42" t="s">
        <v>1304</v>
      </c>
      <c r="B104" s="128">
        <v>2484871</v>
      </c>
      <c r="C104" s="147" t="s">
        <v>1170</v>
      </c>
      <c r="D104" s="129">
        <v>39238</v>
      </c>
      <c r="E104" s="128">
        <v>1946</v>
      </c>
      <c r="F104" s="129">
        <v>39373</v>
      </c>
      <c r="G104" s="128">
        <v>1949</v>
      </c>
      <c r="H104" s="42" t="s">
        <v>1308</v>
      </c>
    </row>
    <row r="105" spans="1:9" ht="14">
      <c r="A105" s="42" t="s">
        <v>1304</v>
      </c>
      <c r="B105" s="128">
        <v>2453031</v>
      </c>
      <c r="C105" s="147" t="s">
        <v>1170</v>
      </c>
      <c r="D105" s="129">
        <v>39296</v>
      </c>
      <c r="E105" s="128">
        <v>1946</v>
      </c>
      <c r="F105" s="129">
        <v>39388</v>
      </c>
      <c r="G105" s="128">
        <v>1948</v>
      </c>
      <c r="H105" s="42" t="s">
        <v>1308</v>
      </c>
    </row>
    <row r="106" spans="1:9" ht="14">
      <c r="A106" s="42" t="s">
        <v>1304</v>
      </c>
      <c r="B106" s="128">
        <v>2479221</v>
      </c>
      <c r="C106" s="147" t="s">
        <v>1170</v>
      </c>
      <c r="D106" s="129">
        <v>39388</v>
      </c>
      <c r="E106" s="128">
        <v>1948</v>
      </c>
      <c r="F106" s="129">
        <v>39310</v>
      </c>
      <c r="G106" s="128">
        <v>1949</v>
      </c>
      <c r="H106" s="42" t="s">
        <v>1308</v>
      </c>
    </row>
    <row r="107" spans="1:9" ht="14">
      <c r="B107" s="128"/>
      <c r="C107" s="128"/>
      <c r="D107" s="129"/>
      <c r="E107" s="128"/>
      <c r="F107" s="129"/>
      <c r="G107" s="128"/>
    </row>
    <row r="108" spans="1:9" ht="14">
      <c r="A108" s="42" t="s">
        <v>862</v>
      </c>
      <c r="B108" s="128"/>
      <c r="C108" s="128"/>
      <c r="D108" s="129"/>
      <c r="E108" s="128"/>
      <c r="F108" s="129"/>
      <c r="G108" s="128"/>
    </row>
    <row r="109" spans="1:9" ht="14">
      <c r="A109" s="42" t="s">
        <v>1304</v>
      </c>
      <c r="B109" s="128">
        <v>2526995</v>
      </c>
      <c r="C109" s="147" t="s">
        <v>837</v>
      </c>
      <c r="D109" s="129">
        <v>39144</v>
      </c>
      <c r="E109" s="128">
        <v>1945</v>
      </c>
      <c r="F109" s="129">
        <v>39379</v>
      </c>
      <c r="G109" s="128">
        <v>1950</v>
      </c>
      <c r="H109" s="42" t="s">
        <v>1308</v>
      </c>
      <c r="I109" s="42" t="s">
        <v>839</v>
      </c>
    </row>
    <row r="110" spans="1:9" ht="14">
      <c r="A110" s="42" t="s">
        <v>1304</v>
      </c>
      <c r="B110" s="128">
        <v>2544258</v>
      </c>
      <c r="C110" s="147" t="s">
        <v>837</v>
      </c>
      <c r="D110" s="129">
        <v>39144</v>
      </c>
      <c r="E110" s="128">
        <v>1945</v>
      </c>
      <c r="F110" s="129">
        <v>39147</v>
      </c>
      <c r="G110" s="128">
        <v>1951</v>
      </c>
      <c r="H110" s="42" t="s">
        <v>1308</v>
      </c>
      <c r="I110" s="42" t="s">
        <v>840</v>
      </c>
    </row>
    <row r="111" spans="1:9" ht="14">
      <c r="A111" s="42" t="s">
        <v>1304</v>
      </c>
      <c r="B111" s="128">
        <v>2544257</v>
      </c>
      <c r="C111" s="147" t="s">
        <v>837</v>
      </c>
      <c r="D111" s="129">
        <v>39144</v>
      </c>
      <c r="E111" s="128">
        <v>1945</v>
      </c>
      <c r="F111" s="129">
        <v>39147</v>
      </c>
      <c r="G111" s="128">
        <v>1951</v>
      </c>
      <c r="H111" s="42" t="s">
        <v>1308</v>
      </c>
      <c r="I111" s="42" t="s">
        <v>916</v>
      </c>
    </row>
    <row r="112" spans="1:9" ht="14">
      <c r="A112" s="42" t="s">
        <v>1304</v>
      </c>
      <c r="B112" s="128">
        <v>2506622</v>
      </c>
      <c r="C112" s="147" t="s">
        <v>837</v>
      </c>
      <c r="D112" s="129">
        <v>39149</v>
      </c>
      <c r="E112" s="128">
        <v>1945</v>
      </c>
      <c r="F112" s="129">
        <v>39211</v>
      </c>
      <c r="G112" s="128">
        <v>1950</v>
      </c>
      <c r="H112" s="42" t="s">
        <v>1308</v>
      </c>
      <c r="I112" s="42" t="s">
        <v>838</v>
      </c>
    </row>
    <row r="113" spans="1:9" ht="14">
      <c r="A113" s="42" t="s">
        <v>1304</v>
      </c>
      <c r="B113" s="128">
        <v>2577332</v>
      </c>
      <c r="C113" s="147" t="s">
        <v>837</v>
      </c>
      <c r="D113" s="129">
        <v>39352</v>
      </c>
      <c r="E113" s="128">
        <v>1945</v>
      </c>
      <c r="F113" s="129">
        <v>39420</v>
      </c>
      <c r="G113" s="128">
        <v>1951</v>
      </c>
      <c r="H113" s="42" t="s">
        <v>1308</v>
      </c>
      <c r="I113" s="42" t="s">
        <v>979</v>
      </c>
    </row>
    <row r="114" spans="1:9" ht="14">
      <c r="A114" s="42" t="s">
        <v>1304</v>
      </c>
      <c r="B114" s="128">
        <v>2535370</v>
      </c>
      <c r="C114" s="147" t="s">
        <v>837</v>
      </c>
      <c r="D114" s="129">
        <v>39353</v>
      </c>
      <c r="E114" s="128">
        <v>1945</v>
      </c>
      <c r="F114" s="129">
        <v>39442</v>
      </c>
      <c r="G114" s="128">
        <v>1950</v>
      </c>
      <c r="H114" s="42" t="s">
        <v>1308</v>
      </c>
      <c r="I114" s="42" t="s">
        <v>980</v>
      </c>
    </row>
    <row r="115" spans="1:9" ht="14">
      <c r="A115" s="42" t="s">
        <v>1304</v>
      </c>
      <c r="B115" s="128">
        <v>2523843</v>
      </c>
      <c r="C115" s="147" t="s">
        <v>837</v>
      </c>
      <c r="D115" s="129">
        <v>39205</v>
      </c>
      <c r="E115" s="128">
        <v>1946</v>
      </c>
      <c r="F115" s="129">
        <v>39351</v>
      </c>
      <c r="G115" s="128">
        <v>1950</v>
      </c>
      <c r="H115" s="42" t="s">
        <v>1308</v>
      </c>
      <c r="I115" s="42" t="s">
        <v>1029</v>
      </c>
    </row>
    <row r="116" spans="1:9" ht="14">
      <c r="A116" s="42" t="s">
        <v>1304</v>
      </c>
      <c r="B116" s="128">
        <v>2561497</v>
      </c>
      <c r="C116" s="147" t="s">
        <v>837</v>
      </c>
      <c r="D116" s="129">
        <v>39238</v>
      </c>
      <c r="E116" s="128">
        <v>1946</v>
      </c>
      <c r="F116" s="129">
        <v>39287</v>
      </c>
      <c r="G116" s="128">
        <v>1951</v>
      </c>
      <c r="H116" s="42" t="s">
        <v>1308</v>
      </c>
      <c r="I116" s="42" t="s">
        <v>1030</v>
      </c>
    </row>
    <row r="117" spans="1:9" ht="14">
      <c r="A117" s="42" t="s">
        <v>1304</v>
      </c>
      <c r="B117" s="128">
        <v>2511462</v>
      </c>
      <c r="C117" s="147" t="s">
        <v>837</v>
      </c>
      <c r="D117" s="129">
        <v>39244</v>
      </c>
      <c r="E117" s="128">
        <v>1946</v>
      </c>
      <c r="F117" s="129">
        <v>39246</v>
      </c>
      <c r="G117" s="128">
        <v>1950</v>
      </c>
      <c r="H117" s="42" t="s">
        <v>1308</v>
      </c>
      <c r="I117" s="42" t="s">
        <v>983</v>
      </c>
    </row>
    <row r="118" spans="1:9" ht="14">
      <c r="A118" s="42" t="s">
        <v>1304</v>
      </c>
      <c r="B118" s="128">
        <v>2583076</v>
      </c>
      <c r="C118" s="147" t="s">
        <v>837</v>
      </c>
      <c r="D118" s="129">
        <v>39317</v>
      </c>
      <c r="E118" s="128">
        <v>1946</v>
      </c>
      <c r="F118" s="129">
        <v>39104</v>
      </c>
      <c r="G118" s="128">
        <v>1952</v>
      </c>
      <c r="H118" s="42" t="s">
        <v>1308</v>
      </c>
      <c r="I118" s="42" t="s">
        <v>986</v>
      </c>
    </row>
    <row r="119" spans="1:9" ht="14">
      <c r="A119" s="42" t="s">
        <v>1304</v>
      </c>
      <c r="B119" s="128">
        <v>2580422</v>
      </c>
      <c r="C119" s="147" t="s">
        <v>837</v>
      </c>
      <c r="D119" s="129">
        <v>39313</v>
      </c>
      <c r="E119" s="128">
        <v>1947</v>
      </c>
      <c r="F119" s="129">
        <v>39083</v>
      </c>
      <c r="G119" s="128">
        <v>1952</v>
      </c>
      <c r="H119" s="42" t="s">
        <v>1308</v>
      </c>
      <c r="I119" s="42" t="s">
        <v>987</v>
      </c>
    </row>
    <row r="120" spans="1:9" ht="14">
      <c r="A120" s="42" t="s">
        <v>1304</v>
      </c>
      <c r="B120" s="128">
        <v>2607845</v>
      </c>
      <c r="C120" s="147" t="s">
        <v>837</v>
      </c>
      <c r="D120" s="129">
        <v>39314</v>
      </c>
      <c r="E120" s="128">
        <v>1947</v>
      </c>
      <c r="F120" s="129">
        <v>39313</v>
      </c>
      <c r="G120" s="128">
        <v>1952</v>
      </c>
      <c r="H120" s="42" t="s">
        <v>1308</v>
      </c>
      <c r="I120" s="42" t="s">
        <v>988</v>
      </c>
    </row>
    <row r="121" spans="1:9" ht="14">
      <c r="A121" s="42" t="s">
        <v>1304</v>
      </c>
      <c r="B121" s="128">
        <v>2609294</v>
      </c>
      <c r="C121" s="147" t="s">
        <v>837</v>
      </c>
      <c r="D121" s="129">
        <v>39335</v>
      </c>
      <c r="E121" s="128">
        <v>1947</v>
      </c>
      <c r="F121" s="129">
        <v>39327</v>
      </c>
      <c r="G121" s="128">
        <v>1952</v>
      </c>
      <c r="H121" s="42" t="s">
        <v>1308</v>
      </c>
      <c r="I121" s="42" t="s">
        <v>989</v>
      </c>
    </row>
    <row r="122" spans="1:9" ht="14">
      <c r="A122" s="42" t="s">
        <v>1304</v>
      </c>
      <c r="B122" s="128">
        <v>2567005</v>
      </c>
      <c r="C122" s="147" t="s">
        <v>837</v>
      </c>
      <c r="D122" s="129">
        <v>39366</v>
      </c>
      <c r="E122" s="128">
        <v>1947</v>
      </c>
      <c r="F122" s="129">
        <v>39329</v>
      </c>
      <c r="G122" s="128">
        <v>1951</v>
      </c>
      <c r="H122" s="42" t="s">
        <v>1308</v>
      </c>
      <c r="I122" s="42" t="s">
        <v>990</v>
      </c>
    </row>
    <row r="123" spans="1:9" ht="14">
      <c r="A123" s="42" t="s">
        <v>1304</v>
      </c>
      <c r="B123" s="128">
        <v>2586286</v>
      </c>
      <c r="C123" s="147" t="s">
        <v>837</v>
      </c>
      <c r="D123" s="129">
        <v>39175</v>
      </c>
      <c r="E123" s="128">
        <v>1948</v>
      </c>
      <c r="F123" s="129">
        <v>39132</v>
      </c>
      <c r="G123" s="128">
        <v>1952</v>
      </c>
      <c r="H123" s="42" t="s">
        <v>1308</v>
      </c>
      <c r="I123" s="42" t="s">
        <v>992</v>
      </c>
    </row>
    <row r="124" spans="1:9" ht="14">
      <c r="A124" s="42" t="s">
        <v>1304</v>
      </c>
      <c r="B124" s="128">
        <v>2740712</v>
      </c>
      <c r="C124" s="147" t="s">
        <v>837</v>
      </c>
      <c r="D124" s="129">
        <v>39263</v>
      </c>
      <c r="E124" s="128">
        <v>1948</v>
      </c>
      <c r="F124" s="129">
        <v>39175</v>
      </c>
      <c r="G124" s="128">
        <v>1956</v>
      </c>
      <c r="H124" s="42" t="s">
        <v>1308</v>
      </c>
      <c r="I124" s="42" t="s">
        <v>993</v>
      </c>
    </row>
    <row r="125" spans="1:9" ht="14">
      <c r="A125" s="42" t="s">
        <v>1304</v>
      </c>
      <c r="B125" s="128">
        <v>2543706</v>
      </c>
      <c r="C125" s="147" t="s">
        <v>837</v>
      </c>
      <c r="D125" s="129">
        <v>39355</v>
      </c>
      <c r="E125" s="128">
        <v>1948</v>
      </c>
      <c r="F125" s="129">
        <v>39140</v>
      </c>
      <c r="G125" s="128">
        <v>1951</v>
      </c>
      <c r="H125" s="42" t="s">
        <v>1308</v>
      </c>
      <c r="I125" s="42" t="s">
        <v>981</v>
      </c>
    </row>
    <row r="126" spans="1:9" ht="14">
      <c r="A126" s="42" t="s">
        <v>1304</v>
      </c>
      <c r="B126" s="128">
        <v>2595136</v>
      </c>
      <c r="C126" s="147" t="s">
        <v>837</v>
      </c>
      <c r="D126" s="129">
        <v>39406</v>
      </c>
      <c r="E126" s="128">
        <v>1948</v>
      </c>
      <c r="F126" s="129">
        <v>39201</v>
      </c>
      <c r="G126" s="128">
        <v>1952</v>
      </c>
      <c r="H126" s="42" t="s">
        <v>1308</v>
      </c>
      <c r="I126" s="42" t="s">
        <v>982</v>
      </c>
    </row>
    <row r="127" spans="1:9" ht="14">
      <c r="A127" s="42" t="s">
        <v>1304</v>
      </c>
      <c r="B127" s="128">
        <v>2553841</v>
      </c>
      <c r="C127" s="147" t="s">
        <v>837</v>
      </c>
      <c r="D127" s="129">
        <v>39406</v>
      </c>
      <c r="E127" s="128">
        <v>1948</v>
      </c>
      <c r="F127" s="129">
        <v>39224</v>
      </c>
      <c r="G127" s="128">
        <v>1951</v>
      </c>
      <c r="H127" s="42" t="s">
        <v>1308</v>
      </c>
      <c r="I127" s="42" t="s">
        <v>881</v>
      </c>
    </row>
    <row r="128" spans="1:9" ht="14">
      <c r="A128" s="42" t="s">
        <v>1022</v>
      </c>
      <c r="B128" s="128">
        <v>2573405</v>
      </c>
      <c r="C128" s="147" t="s">
        <v>1176</v>
      </c>
      <c r="D128" s="129">
        <v>16472</v>
      </c>
      <c r="E128" s="128">
        <v>1949</v>
      </c>
      <c r="F128" s="129">
        <v>39384</v>
      </c>
      <c r="G128" s="128">
        <v>1951</v>
      </c>
      <c r="H128" s="42" t="s">
        <v>944</v>
      </c>
      <c r="I128" s="42" t="s">
        <v>859</v>
      </c>
    </row>
    <row r="129" spans="1:9" ht="14">
      <c r="A129" s="42" t="s">
        <v>1304</v>
      </c>
      <c r="B129" s="128">
        <v>2572001</v>
      </c>
      <c r="C129" s="147" t="s">
        <v>837</v>
      </c>
      <c r="D129" s="129">
        <v>39085</v>
      </c>
      <c r="E129" s="128">
        <v>1949</v>
      </c>
      <c r="F129" s="129">
        <v>39378</v>
      </c>
      <c r="G129" s="128">
        <v>1951</v>
      </c>
      <c r="H129" s="42" t="s">
        <v>1308</v>
      </c>
      <c r="I129" s="42" t="s">
        <v>991</v>
      </c>
    </row>
    <row r="130" spans="1:9" ht="14">
      <c r="A130" s="42" t="s">
        <v>1304</v>
      </c>
      <c r="B130" s="128">
        <v>2569228</v>
      </c>
      <c r="C130" s="147" t="s">
        <v>837</v>
      </c>
      <c r="D130" s="129">
        <v>39129</v>
      </c>
      <c r="E130" s="128">
        <v>1949</v>
      </c>
      <c r="F130" s="129">
        <v>39350</v>
      </c>
      <c r="G130" s="128">
        <v>1951</v>
      </c>
      <c r="H130" s="42" t="s">
        <v>1308</v>
      </c>
      <c r="I130" s="42" t="s">
        <v>883</v>
      </c>
    </row>
    <row r="131" spans="1:9" ht="14">
      <c r="A131" s="42" t="s">
        <v>1304</v>
      </c>
      <c r="B131" s="128">
        <v>2582964</v>
      </c>
      <c r="C131" s="147" t="s">
        <v>837</v>
      </c>
      <c r="D131" s="129">
        <v>39149</v>
      </c>
      <c r="E131" s="128">
        <v>1949</v>
      </c>
      <c r="F131" s="129">
        <v>39104</v>
      </c>
      <c r="G131" s="128">
        <v>1952</v>
      </c>
      <c r="H131" s="42" t="s">
        <v>1308</v>
      </c>
      <c r="I131" s="42" t="s">
        <v>885</v>
      </c>
    </row>
    <row r="132" spans="1:9" ht="14">
      <c r="A132" s="42" t="s">
        <v>1304</v>
      </c>
      <c r="B132" s="128">
        <v>2625072</v>
      </c>
      <c r="C132" s="147" t="s">
        <v>837</v>
      </c>
      <c r="D132" s="129">
        <v>39150</v>
      </c>
      <c r="E132" s="128">
        <v>1949</v>
      </c>
      <c r="F132" s="129">
        <v>39095</v>
      </c>
      <c r="G132" s="128">
        <v>1953</v>
      </c>
      <c r="H132" s="42" t="s">
        <v>1308</v>
      </c>
      <c r="I132" s="42" t="s">
        <v>884</v>
      </c>
    </row>
    <row r="133" spans="1:9" ht="14">
      <c r="A133" s="42" t="s">
        <v>1304</v>
      </c>
      <c r="B133" s="128">
        <v>2602387</v>
      </c>
      <c r="C133" s="147" t="s">
        <v>837</v>
      </c>
      <c r="D133" s="129">
        <v>39163</v>
      </c>
      <c r="E133" s="128">
        <v>1949</v>
      </c>
      <c r="F133" s="129">
        <v>39271</v>
      </c>
      <c r="G133" s="128">
        <v>1952</v>
      </c>
      <c r="H133" s="42" t="s">
        <v>1308</v>
      </c>
      <c r="I133" s="42" t="s">
        <v>938</v>
      </c>
    </row>
    <row r="134" spans="1:9" ht="14">
      <c r="A134" s="42" t="s">
        <v>1304</v>
      </c>
      <c r="B134" s="128">
        <v>2586378</v>
      </c>
      <c r="C134" s="147" t="s">
        <v>837</v>
      </c>
      <c r="D134" s="129">
        <v>39212</v>
      </c>
      <c r="E134" s="128">
        <v>1949</v>
      </c>
      <c r="F134" s="129">
        <v>39132</v>
      </c>
      <c r="G134" s="128">
        <v>1952</v>
      </c>
      <c r="H134" s="42" t="s">
        <v>1308</v>
      </c>
      <c r="I134" s="42" t="s">
        <v>939</v>
      </c>
    </row>
    <row r="135" spans="1:9" ht="14">
      <c r="A135" s="42" t="s">
        <v>1304</v>
      </c>
      <c r="B135" s="128">
        <v>2569755</v>
      </c>
      <c r="C135" s="147" t="s">
        <v>837</v>
      </c>
      <c r="D135" s="129">
        <v>39256</v>
      </c>
      <c r="E135" s="128">
        <v>1949</v>
      </c>
      <c r="F135" s="129">
        <v>39357</v>
      </c>
      <c r="G135" s="128">
        <v>1951</v>
      </c>
      <c r="H135" s="42" t="s">
        <v>1308</v>
      </c>
      <c r="I135" s="42" t="s">
        <v>978</v>
      </c>
    </row>
    <row r="136" spans="1:9" ht="14">
      <c r="A136" s="42" t="s">
        <v>1304</v>
      </c>
      <c r="B136" s="128">
        <v>2618338</v>
      </c>
      <c r="C136" s="147" t="s">
        <v>837</v>
      </c>
      <c r="D136" s="129">
        <v>39285</v>
      </c>
      <c r="E136" s="128">
        <v>1949</v>
      </c>
      <c r="F136" s="129">
        <v>39404</v>
      </c>
      <c r="G136" s="128">
        <v>1952</v>
      </c>
      <c r="H136" s="42" t="s">
        <v>1308</v>
      </c>
      <c r="I136" s="42" t="s">
        <v>882</v>
      </c>
    </row>
    <row r="137" spans="1:9" ht="14">
      <c r="A137" s="42" t="s">
        <v>1304</v>
      </c>
      <c r="B137" s="128">
        <v>2648280</v>
      </c>
      <c r="C137" s="147" t="s">
        <v>837</v>
      </c>
      <c r="D137" s="129">
        <v>39289</v>
      </c>
      <c r="E137" s="128">
        <v>1949</v>
      </c>
      <c r="F137" s="129">
        <v>39305</v>
      </c>
      <c r="G137" s="128">
        <v>1953</v>
      </c>
      <c r="H137" s="42" t="s">
        <v>1308</v>
      </c>
      <c r="I137" s="42" t="s">
        <v>941</v>
      </c>
    </row>
    <row r="138" spans="1:9" ht="14">
      <c r="A138" s="42" t="s">
        <v>1304</v>
      </c>
      <c r="B138" s="128">
        <v>2749792</v>
      </c>
      <c r="C138" s="147" t="s">
        <v>837</v>
      </c>
      <c r="D138" s="129">
        <v>39114</v>
      </c>
      <c r="E138" s="128">
        <v>1952</v>
      </c>
      <c r="F138" s="129">
        <v>39245</v>
      </c>
      <c r="G138" s="128">
        <v>1956</v>
      </c>
      <c r="H138" s="42" t="s">
        <v>1308</v>
      </c>
      <c r="I138" s="42" t="s">
        <v>858</v>
      </c>
    </row>
    <row r="139" spans="1:9" ht="14">
      <c r="A139" s="213" t="s">
        <v>890</v>
      </c>
      <c r="B139" s="148">
        <v>2673150</v>
      </c>
      <c r="C139" s="250" t="s">
        <v>889</v>
      </c>
      <c r="D139" s="149">
        <v>39337</v>
      </c>
      <c r="E139" s="148">
        <v>1952</v>
      </c>
      <c r="F139" s="149">
        <v>39164</v>
      </c>
      <c r="G139" s="148">
        <v>1954</v>
      </c>
      <c r="H139" s="42" t="s">
        <v>1308</v>
      </c>
      <c r="I139" s="42" t="s">
        <v>888</v>
      </c>
    </row>
    <row r="140" spans="1:9" ht="14">
      <c r="B140" s="128"/>
      <c r="C140" s="147"/>
      <c r="D140" s="129"/>
      <c r="E140" s="128"/>
      <c r="F140" s="129"/>
      <c r="G140" s="128"/>
    </row>
    <row r="141" spans="1:9" ht="14">
      <c r="A141" s="42" t="s">
        <v>861</v>
      </c>
      <c r="B141" s="128" t="s">
        <v>942</v>
      </c>
      <c r="C141" s="128" t="s">
        <v>943</v>
      </c>
      <c r="D141" s="129">
        <v>15035</v>
      </c>
      <c r="E141" s="128">
        <v>1945</v>
      </c>
      <c r="F141" s="129"/>
      <c r="G141" s="128"/>
      <c r="H141" s="42" t="s">
        <v>944</v>
      </c>
    </row>
    <row r="142" spans="1:9" ht="14">
      <c r="A142" s="42" t="s">
        <v>861</v>
      </c>
      <c r="B142" s="128" t="s">
        <v>902</v>
      </c>
      <c r="C142" s="128" t="s">
        <v>1176</v>
      </c>
      <c r="D142" s="129">
        <v>15112</v>
      </c>
      <c r="E142" s="128">
        <v>1945</v>
      </c>
      <c r="F142" s="129"/>
      <c r="G142" s="128"/>
      <c r="H142" s="42" t="s">
        <v>1054</v>
      </c>
    </row>
    <row r="143" spans="1:9" ht="14">
      <c r="A143" s="42" t="s">
        <v>861</v>
      </c>
      <c r="B143" s="128" t="s">
        <v>1055</v>
      </c>
      <c r="C143" s="128" t="s">
        <v>1176</v>
      </c>
      <c r="D143" s="129">
        <v>15470</v>
      </c>
      <c r="E143" s="128">
        <v>1946</v>
      </c>
      <c r="F143" s="129"/>
      <c r="G143" s="128"/>
      <c r="H143" s="42" t="s">
        <v>1054</v>
      </c>
    </row>
    <row r="144" spans="1:9" ht="14">
      <c r="A144" s="42" t="s">
        <v>861</v>
      </c>
      <c r="B144" s="128" t="s">
        <v>1056</v>
      </c>
      <c r="C144" s="128" t="s">
        <v>1176</v>
      </c>
      <c r="D144" s="129">
        <v>15501</v>
      </c>
      <c r="E144" s="128">
        <v>1946</v>
      </c>
      <c r="F144" s="129"/>
      <c r="G144" s="128"/>
      <c r="H144" s="42" t="s">
        <v>945</v>
      </c>
    </row>
    <row r="145" spans="1:8" ht="14">
      <c r="A145" s="42" t="s">
        <v>861</v>
      </c>
      <c r="B145" s="128" t="s">
        <v>946</v>
      </c>
      <c r="C145" s="128" t="s">
        <v>1176</v>
      </c>
      <c r="D145" s="129">
        <v>15567</v>
      </c>
      <c r="E145" s="128">
        <v>1946</v>
      </c>
      <c r="F145" s="129"/>
      <c r="G145" s="128"/>
      <c r="H145" s="42" t="s">
        <v>1054</v>
      </c>
    </row>
    <row r="146" spans="1:8" ht="14">
      <c r="A146" s="42" t="s">
        <v>861</v>
      </c>
      <c r="B146" s="128" t="s">
        <v>1018</v>
      </c>
      <c r="C146" s="128" t="s">
        <v>1176</v>
      </c>
      <c r="D146" s="129">
        <v>15567</v>
      </c>
      <c r="E146" s="128">
        <v>1946</v>
      </c>
      <c r="F146" s="129"/>
      <c r="G146" s="128"/>
      <c r="H146" s="42" t="s">
        <v>1054</v>
      </c>
    </row>
    <row r="147" spans="1:8" ht="14">
      <c r="A147" s="42" t="s">
        <v>861</v>
      </c>
      <c r="B147" s="128" t="s">
        <v>947</v>
      </c>
      <c r="C147" s="128" t="s">
        <v>1176</v>
      </c>
      <c r="D147" s="129">
        <v>15567</v>
      </c>
      <c r="E147" s="128">
        <v>1946</v>
      </c>
      <c r="F147" s="129"/>
      <c r="G147" s="128"/>
      <c r="H147" s="42" t="s">
        <v>1054</v>
      </c>
    </row>
    <row r="148" spans="1:8" ht="14">
      <c r="A148" s="42" t="s">
        <v>861</v>
      </c>
      <c r="B148" s="128" t="s">
        <v>1019</v>
      </c>
      <c r="C148" s="128" t="s">
        <v>1176</v>
      </c>
      <c r="D148" s="129">
        <v>15705</v>
      </c>
      <c r="E148" s="128">
        <v>1946</v>
      </c>
      <c r="F148" s="129"/>
      <c r="G148" s="128"/>
      <c r="H148" s="42" t="s">
        <v>1054</v>
      </c>
    </row>
    <row r="149" spans="1:8" ht="14">
      <c r="A149" s="42" t="s">
        <v>861</v>
      </c>
      <c r="B149" s="128" t="s">
        <v>1020</v>
      </c>
      <c r="C149" s="128" t="s">
        <v>1176</v>
      </c>
      <c r="D149" s="129">
        <v>15707</v>
      </c>
      <c r="E149" s="128">
        <v>1947</v>
      </c>
      <c r="F149" s="129"/>
      <c r="G149" s="128"/>
      <c r="H149" s="42" t="s">
        <v>1054</v>
      </c>
    </row>
    <row r="150" spans="1:8" ht="14">
      <c r="A150" s="42" t="s">
        <v>861</v>
      </c>
      <c r="B150" s="128" t="s">
        <v>1021</v>
      </c>
      <c r="C150" s="128" t="s">
        <v>1176</v>
      </c>
      <c r="D150" s="129">
        <v>15736</v>
      </c>
      <c r="E150" s="128">
        <v>1947</v>
      </c>
      <c r="F150" s="129"/>
      <c r="G150" s="128"/>
      <c r="H150" s="42" t="s">
        <v>948</v>
      </c>
    </row>
    <row r="151" spans="1:8" ht="14">
      <c r="A151" s="42" t="s">
        <v>861</v>
      </c>
      <c r="B151" s="128" t="s">
        <v>949</v>
      </c>
      <c r="C151" s="128" t="s">
        <v>1176</v>
      </c>
      <c r="D151" s="129">
        <v>15813</v>
      </c>
      <c r="E151" s="128">
        <v>1947</v>
      </c>
      <c r="F151" s="129"/>
      <c r="G151" s="128"/>
      <c r="H151" s="42" t="s">
        <v>1054</v>
      </c>
    </row>
    <row r="152" spans="1:8" ht="14">
      <c r="A152" s="42" t="s">
        <v>861</v>
      </c>
      <c r="B152" s="128" t="s">
        <v>887</v>
      </c>
      <c r="C152" s="128" t="s">
        <v>1176</v>
      </c>
      <c r="D152" s="129">
        <v>16038</v>
      </c>
      <c r="E152" s="128">
        <v>1947</v>
      </c>
      <c r="F152" s="129"/>
      <c r="G152" s="128"/>
      <c r="H152" s="42" t="s">
        <v>1054</v>
      </c>
    </row>
    <row r="153" spans="1:8" ht="14">
      <c r="A153" s="42" t="s">
        <v>861</v>
      </c>
      <c r="B153" s="128" t="s">
        <v>854</v>
      </c>
      <c r="C153" s="128" t="s">
        <v>1176</v>
      </c>
      <c r="D153" s="129">
        <v>16164</v>
      </c>
      <c r="E153" s="128">
        <v>1948</v>
      </c>
      <c r="F153" s="129"/>
      <c r="G153" s="128"/>
      <c r="H153" s="42" t="s">
        <v>1054</v>
      </c>
    </row>
    <row r="154" spans="1:8" ht="14">
      <c r="A154" s="42" t="s">
        <v>861</v>
      </c>
      <c r="B154" s="128" t="s">
        <v>855</v>
      </c>
      <c r="C154" s="128" t="s">
        <v>1176</v>
      </c>
      <c r="D154" s="129">
        <v>16322</v>
      </c>
      <c r="E154" s="128">
        <v>1948</v>
      </c>
      <c r="F154" s="129"/>
      <c r="G154" s="128"/>
      <c r="H154" s="42" t="s">
        <v>1054</v>
      </c>
    </row>
    <row r="155" spans="1:8" ht="14">
      <c r="A155" s="42" t="s">
        <v>861</v>
      </c>
      <c r="B155" s="128" t="s">
        <v>856</v>
      </c>
      <c r="C155" s="128" t="s">
        <v>1176</v>
      </c>
      <c r="D155" s="129">
        <v>16426</v>
      </c>
      <c r="E155" s="128">
        <v>1948</v>
      </c>
      <c r="F155" s="129"/>
      <c r="G155" s="128"/>
      <c r="H155" s="42" t="s">
        <v>857</v>
      </c>
    </row>
    <row r="156" spans="1:8" ht="14">
      <c r="A156" s="42" t="s">
        <v>861</v>
      </c>
      <c r="B156" s="128" t="s">
        <v>860</v>
      </c>
      <c r="C156" s="128" t="s">
        <v>1176</v>
      </c>
      <c r="D156" s="129">
        <v>16763</v>
      </c>
      <c r="E156" s="128">
        <v>1949</v>
      </c>
      <c r="F156" s="129"/>
      <c r="G156" s="128"/>
      <c r="H156" s="42" t="s">
        <v>857</v>
      </c>
    </row>
    <row r="159" spans="1:8" ht="14">
      <c r="B159" s="128"/>
      <c r="C159" s="128"/>
      <c r="D159" s="129"/>
      <c r="E159" s="128"/>
      <c r="F159" s="129"/>
      <c r="G159" s="128"/>
    </row>
    <row r="160" spans="1:8" ht="14">
      <c r="A160" s="42" t="s">
        <v>1291</v>
      </c>
      <c r="B160" s="128"/>
      <c r="C160" s="128"/>
      <c r="D160" s="129"/>
      <c r="F160" s="129"/>
    </row>
    <row r="161" spans="1:8" ht="14">
      <c r="A161" s="220" t="s">
        <v>1304</v>
      </c>
      <c r="B161" s="220">
        <v>1954346</v>
      </c>
      <c r="C161" s="221" t="s">
        <v>1170</v>
      </c>
      <c r="D161" s="150">
        <v>39342</v>
      </c>
      <c r="E161" s="42">
        <v>1923</v>
      </c>
      <c r="F161" s="150">
        <v>39181</v>
      </c>
      <c r="G161" s="42">
        <v>1934</v>
      </c>
      <c r="H161" s="42" t="s">
        <v>1258</v>
      </c>
    </row>
    <row r="162" spans="1:8" ht="14">
      <c r="A162" s="220" t="s">
        <v>1304</v>
      </c>
      <c r="B162" s="220">
        <v>1969479</v>
      </c>
      <c r="C162" s="221" t="s">
        <v>1170</v>
      </c>
      <c r="D162" s="150">
        <v>39212</v>
      </c>
      <c r="E162" s="42">
        <v>1931</v>
      </c>
      <c r="F162" s="150">
        <v>39300</v>
      </c>
      <c r="G162" s="42">
        <v>1934</v>
      </c>
      <c r="H162" s="42" t="s">
        <v>1258</v>
      </c>
    </row>
    <row r="163" spans="1:8" ht="14">
      <c r="A163" s="220" t="s">
        <v>1304</v>
      </c>
      <c r="B163" s="220">
        <v>1897866</v>
      </c>
      <c r="C163" s="221" t="s">
        <v>1170</v>
      </c>
      <c r="D163" s="150">
        <v>39318</v>
      </c>
      <c r="E163" s="42">
        <v>1931</v>
      </c>
      <c r="F163" s="150">
        <v>39126</v>
      </c>
      <c r="G163" s="42">
        <v>1933</v>
      </c>
      <c r="H163" s="42" t="s">
        <v>1258</v>
      </c>
    </row>
    <row r="164" spans="1:8" ht="14">
      <c r="A164" s="220" t="s">
        <v>1304</v>
      </c>
      <c r="B164" s="220">
        <v>1900869</v>
      </c>
      <c r="C164" s="221" t="s">
        <v>1170</v>
      </c>
      <c r="D164" s="150">
        <v>39318</v>
      </c>
      <c r="E164" s="42">
        <v>1931</v>
      </c>
      <c r="F164" s="150">
        <v>39147</v>
      </c>
      <c r="G164" s="42">
        <v>1933</v>
      </c>
      <c r="H164" s="42" t="s">
        <v>1258</v>
      </c>
    </row>
    <row r="165" spans="1:8" ht="14">
      <c r="A165" s="220" t="s">
        <v>1304</v>
      </c>
      <c r="B165" s="220">
        <v>1969469</v>
      </c>
      <c r="C165" s="221" t="s">
        <v>1170</v>
      </c>
      <c r="D165" s="150">
        <v>39292</v>
      </c>
      <c r="E165" s="42">
        <v>1932</v>
      </c>
      <c r="F165" s="150">
        <v>39300</v>
      </c>
      <c r="G165" s="42">
        <v>1934</v>
      </c>
      <c r="H165" s="42" t="s">
        <v>1258</v>
      </c>
    </row>
    <row r="166" spans="1:8" ht="14">
      <c r="A166" s="220" t="s">
        <v>1304</v>
      </c>
      <c r="B166" s="220">
        <v>2059884</v>
      </c>
      <c r="C166" s="221" t="s">
        <v>1170</v>
      </c>
      <c r="D166" s="150">
        <v>39345</v>
      </c>
      <c r="E166" s="42">
        <v>1932</v>
      </c>
      <c r="F166" s="150">
        <v>39388</v>
      </c>
      <c r="G166" s="42">
        <v>1936</v>
      </c>
      <c r="H166" s="42" t="s">
        <v>1258</v>
      </c>
    </row>
    <row r="167" spans="1:8" ht="14">
      <c r="A167" s="220" t="s">
        <v>1304</v>
      </c>
      <c r="B167" s="220">
        <v>2019718</v>
      </c>
      <c r="C167" s="221" t="s">
        <v>1170</v>
      </c>
      <c r="D167" s="150">
        <v>39418</v>
      </c>
      <c r="E167" s="42">
        <v>1932</v>
      </c>
      <c r="F167" s="150">
        <v>39390</v>
      </c>
      <c r="G167" s="42">
        <v>1935</v>
      </c>
      <c r="H167" s="42" t="s">
        <v>1258</v>
      </c>
    </row>
    <row r="168" spans="1:8" ht="14">
      <c r="A168" s="42" t="s">
        <v>1304</v>
      </c>
      <c r="B168" s="42">
        <v>2108602</v>
      </c>
      <c r="C168" s="151" t="s">
        <v>1170</v>
      </c>
      <c r="D168" s="150">
        <v>39430</v>
      </c>
      <c r="E168" s="42">
        <v>1936</v>
      </c>
      <c r="F168" s="150">
        <v>39127</v>
      </c>
      <c r="G168" s="42">
        <v>1938</v>
      </c>
      <c r="H168" s="42" t="s">
        <v>1258</v>
      </c>
    </row>
    <row r="169" spans="1:8" ht="14">
      <c r="A169" s="42" t="s">
        <v>1304</v>
      </c>
      <c r="B169" s="42">
        <v>2295013</v>
      </c>
      <c r="C169" s="151" t="s">
        <v>1170</v>
      </c>
      <c r="D169" s="150">
        <v>39200</v>
      </c>
      <c r="E169" s="42">
        <v>1937</v>
      </c>
      <c r="F169" s="150">
        <v>39332</v>
      </c>
      <c r="G169" s="42">
        <v>1942</v>
      </c>
      <c r="H169" s="42" t="s">
        <v>1258</v>
      </c>
    </row>
    <row r="170" spans="1:8" ht="14">
      <c r="A170" s="42" t="s">
        <v>1304</v>
      </c>
      <c r="B170" s="42">
        <v>2271238</v>
      </c>
      <c r="C170" s="151" t="s">
        <v>1170</v>
      </c>
      <c r="D170" s="150">
        <v>39176</v>
      </c>
      <c r="E170" s="42">
        <v>1939</v>
      </c>
      <c r="F170" s="150">
        <v>39108</v>
      </c>
      <c r="G170" s="42">
        <v>1942</v>
      </c>
      <c r="H170" s="42" t="s">
        <v>1258</v>
      </c>
    </row>
    <row r="171" spans="1:8" ht="14">
      <c r="A171" s="42" t="s">
        <v>1304</v>
      </c>
      <c r="B171" s="42">
        <v>2362598</v>
      </c>
      <c r="C171" s="151" t="s">
        <v>1170</v>
      </c>
      <c r="D171" s="150">
        <v>39176</v>
      </c>
      <c r="E171" s="42">
        <v>1939</v>
      </c>
      <c r="F171" s="150">
        <v>39399</v>
      </c>
      <c r="G171" s="42">
        <v>1944</v>
      </c>
      <c r="H171" s="42" t="s">
        <v>1258</v>
      </c>
    </row>
    <row r="172" spans="1:8" ht="14">
      <c r="A172" s="42" t="s">
        <v>1304</v>
      </c>
      <c r="B172" s="42">
        <v>2258976</v>
      </c>
      <c r="C172" s="151" t="s">
        <v>1170</v>
      </c>
      <c r="D172" s="150">
        <v>39204</v>
      </c>
      <c r="E172" s="42">
        <v>1940</v>
      </c>
      <c r="F172" s="150">
        <v>39368</v>
      </c>
      <c r="G172" s="42">
        <v>1941</v>
      </c>
      <c r="H172" s="42" t="s">
        <v>1258</v>
      </c>
    </row>
    <row r="173" spans="1:8" ht="14">
      <c r="A173" s="42" t="s">
        <v>1304</v>
      </c>
      <c r="B173" s="42">
        <v>2417060</v>
      </c>
      <c r="C173" s="151" t="s">
        <v>1170</v>
      </c>
      <c r="D173" s="150">
        <v>39228</v>
      </c>
      <c r="E173" s="42">
        <v>1943</v>
      </c>
      <c r="F173" s="150">
        <v>39151</v>
      </c>
      <c r="G173" s="42">
        <v>1947</v>
      </c>
      <c r="H173" s="42" t="s">
        <v>1258</v>
      </c>
    </row>
    <row r="174" spans="1:8" ht="14">
      <c r="D174" s="150"/>
      <c r="F174" s="150"/>
    </row>
    <row r="175" spans="1:8" ht="14">
      <c r="A175" s="42" t="s">
        <v>1292</v>
      </c>
      <c r="D175" s="150"/>
      <c r="F175" s="150"/>
    </row>
    <row r="176" spans="1:8" ht="14">
      <c r="A176" s="220" t="s">
        <v>1304</v>
      </c>
      <c r="B176" s="220">
        <v>1997493</v>
      </c>
      <c r="C176" s="221" t="s">
        <v>1176</v>
      </c>
      <c r="D176" s="150">
        <v>39105</v>
      </c>
      <c r="E176" s="42">
        <v>1922</v>
      </c>
      <c r="F176" s="150">
        <v>39180</v>
      </c>
      <c r="G176" s="42">
        <v>1935</v>
      </c>
      <c r="H176" s="120" t="s">
        <v>1259</v>
      </c>
    </row>
    <row r="177" spans="1:8" ht="14">
      <c r="A177" s="220" t="s">
        <v>1304</v>
      </c>
      <c r="B177" s="220">
        <v>1980941</v>
      </c>
      <c r="C177" s="221" t="s">
        <v>1176</v>
      </c>
      <c r="D177" s="150">
        <v>39397</v>
      </c>
      <c r="E177" s="42">
        <v>1927</v>
      </c>
      <c r="F177" s="150">
        <v>39398</v>
      </c>
      <c r="G177" s="42">
        <v>1934</v>
      </c>
      <c r="H177" s="120" t="s">
        <v>1259</v>
      </c>
    </row>
    <row r="178" spans="1:8" ht="14">
      <c r="A178" s="220" t="s">
        <v>1304</v>
      </c>
      <c r="B178" s="220">
        <v>1954452</v>
      </c>
      <c r="C178" s="221" t="s">
        <v>1176</v>
      </c>
      <c r="D178" s="150">
        <v>39159</v>
      </c>
      <c r="E178" s="42">
        <v>1930</v>
      </c>
      <c r="F178" s="150">
        <v>39181</v>
      </c>
      <c r="G178" s="42">
        <v>1934</v>
      </c>
      <c r="H178" s="120" t="s">
        <v>1259</v>
      </c>
    </row>
    <row r="179" spans="1:8" ht="14">
      <c r="A179" s="220" t="s">
        <v>1304</v>
      </c>
      <c r="B179" s="220">
        <v>1976300</v>
      </c>
      <c r="C179" s="221" t="s">
        <v>1176</v>
      </c>
      <c r="D179" s="150">
        <v>39294</v>
      </c>
      <c r="E179" s="42">
        <v>1930</v>
      </c>
      <c r="F179" s="150">
        <v>39363</v>
      </c>
      <c r="G179" s="42">
        <v>1934</v>
      </c>
      <c r="H179" s="120" t="s">
        <v>1259</v>
      </c>
    </row>
    <row r="180" spans="1:8" ht="14">
      <c r="A180" s="220" t="s">
        <v>1304</v>
      </c>
      <c r="B180" s="220">
        <v>1912661</v>
      </c>
      <c r="C180" s="221" t="s">
        <v>1176</v>
      </c>
      <c r="D180" s="150">
        <v>39316</v>
      </c>
      <c r="E180" s="42">
        <v>1930</v>
      </c>
      <c r="F180" s="150">
        <v>39238</v>
      </c>
      <c r="G180" s="42">
        <v>1933</v>
      </c>
      <c r="H180" s="120" t="s">
        <v>1259</v>
      </c>
    </row>
    <row r="181" spans="1:8" ht="14">
      <c r="A181" s="220" t="s">
        <v>1304</v>
      </c>
      <c r="B181" s="220">
        <v>2008989</v>
      </c>
      <c r="C181" s="221" t="s">
        <v>1176</v>
      </c>
      <c r="D181" s="150">
        <v>39401</v>
      </c>
      <c r="E181" s="42">
        <v>1932</v>
      </c>
      <c r="F181" s="150">
        <v>39285</v>
      </c>
      <c r="G181" s="42">
        <v>1935</v>
      </c>
      <c r="H181" s="120" t="s">
        <v>1259</v>
      </c>
    </row>
    <row r="182" spans="1:8" ht="14">
      <c r="A182" s="220" t="s">
        <v>1304</v>
      </c>
      <c r="B182" s="220">
        <v>2039691</v>
      </c>
      <c r="C182" s="221" t="s">
        <v>1176</v>
      </c>
      <c r="D182" s="150">
        <v>39403</v>
      </c>
      <c r="E182" s="42">
        <v>1933</v>
      </c>
      <c r="F182" s="150">
        <v>39206</v>
      </c>
      <c r="G182" s="42">
        <v>1936</v>
      </c>
      <c r="H182" s="120" t="s">
        <v>1259</v>
      </c>
    </row>
    <row r="183" spans="1:8" ht="14">
      <c r="A183" s="220" t="s">
        <v>1304</v>
      </c>
      <c r="B183" s="220">
        <v>1997325</v>
      </c>
      <c r="C183" s="221" t="s">
        <v>1176</v>
      </c>
      <c r="D183" s="150">
        <v>39126</v>
      </c>
      <c r="E183" s="42">
        <v>1933</v>
      </c>
      <c r="F183" s="150">
        <v>39180</v>
      </c>
      <c r="G183" s="42">
        <v>1935</v>
      </c>
      <c r="H183" s="120" t="s">
        <v>1259</v>
      </c>
    </row>
    <row r="184" spans="1:8" ht="14">
      <c r="A184" s="220" t="s">
        <v>1304</v>
      </c>
      <c r="B184" s="220">
        <v>2047282</v>
      </c>
      <c r="C184" s="221" t="s">
        <v>1176</v>
      </c>
      <c r="D184" s="150">
        <v>39353</v>
      </c>
      <c r="E184" s="42">
        <v>1934</v>
      </c>
      <c r="F184" s="150">
        <v>39276</v>
      </c>
      <c r="G184" s="42">
        <v>1936</v>
      </c>
      <c r="H184" s="120" t="s">
        <v>1259</v>
      </c>
    </row>
    <row r="185" spans="1:8" ht="14">
      <c r="A185" s="220" t="s">
        <v>1304</v>
      </c>
      <c r="B185" s="220">
        <v>2058409</v>
      </c>
      <c r="C185" s="221" t="s">
        <v>1176</v>
      </c>
      <c r="D185" s="150">
        <v>39150</v>
      </c>
      <c r="E185" s="42">
        <v>1934</v>
      </c>
      <c r="F185" s="150">
        <v>39381</v>
      </c>
      <c r="G185" s="42">
        <v>1936</v>
      </c>
      <c r="H185" s="120" t="s">
        <v>1259</v>
      </c>
    </row>
    <row r="186" spans="1:8" ht="14">
      <c r="A186" s="42" t="s">
        <v>1304</v>
      </c>
      <c r="B186" s="42">
        <v>2095826</v>
      </c>
      <c r="C186" s="151" t="s">
        <v>1176</v>
      </c>
      <c r="D186" s="150">
        <v>39385</v>
      </c>
      <c r="E186" s="42">
        <v>1935</v>
      </c>
      <c r="F186" s="150">
        <v>39366</v>
      </c>
      <c r="G186" s="42">
        <v>1937</v>
      </c>
      <c r="H186" s="120" t="s">
        <v>1259</v>
      </c>
    </row>
    <row r="187" spans="1:8" ht="14">
      <c r="A187" s="42" t="s">
        <v>1304</v>
      </c>
      <c r="B187" s="42">
        <v>2143762</v>
      </c>
      <c r="C187" s="151" t="s">
        <v>1176</v>
      </c>
      <c r="D187" s="150">
        <v>39382</v>
      </c>
      <c r="E187" s="42">
        <v>1936</v>
      </c>
      <c r="F187" s="150">
        <v>39091</v>
      </c>
      <c r="G187" s="42">
        <v>1939</v>
      </c>
      <c r="H187" s="120" t="s">
        <v>1259</v>
      </c>
    </row>
    <row r="188" spans="1:8" ht="14">
      <c r="A188" s="42" t="s">
        <v>1304</v>
      </c>
      <c r="B188" s="42">
        <v>2191038</v>
      </c>
      <c r="C188" s="151" t="s">
        <v>1176</v>
      </c>
      <c r="D188" s="150">
        <v>39404</v>
      </c>
      <c r="E188" s="42">
        <v>1938</v>
      </c>
      <c r="F188" s="150">
        <v>39132</v>
      </c>
      <c r="G188" s="42">
        <v>1940</v>
      </c>
      <c r="H188" s="120" t="s">
        <v>1259</v>
      </c>
    </row>
    <row r="189" spans="1:8" ht="14">
      <c r="A189" s="42" t="s">
        <v>1304</v>
      </c>
      <c r="B189" s="42">
        <v>2382604</v>
      </c>
      <c r="C189" s="151" t="s">
        <v>1176</v>
      </c>
      <c r="D189" s="150">
        <v>39328</v>
      </c>
      <c r="E189" s="42">
        <v>1943</v>
      </c>
      <c r="F189" s="150">
        <v>39307</v>
      </c>
      <c r="G189" s="42">
        <v>1945</v>
      </c>
      <c r="H189" s="120" t="s">
        <v>1259</v>
      </c>
    </row>
    <row r="190" spans="1:8" ht="14">
      <c r="B190" s="128"/>
      <c r="C190" s="128"/>
      <c r="D190" s="129"/>
      <c r="E190" s="128"/>
      <c r="F190" s="129"/>
      <c r="G190" s="128"/>
    </row>
    <row r="191" spans="1:8" ht="14">
      <c r="B191" s="128"/>
      <c r="C191" s="128"/>
      <c r="D191" s="129"/>
      <c r="E191" s="128"/>
      <c r="F191" s="129"/>
      <c r="G191" s="128"/>
    </row>
    <row r="192" spans="1:8" ht="14">
      <c r="A192" s="126" t="s">
        <v>2196</v>
      </c>
      <c r="B192" s="128"/>
      <c r="C192" s="128"/>
      <c r="D192" s="129"/>
      <c r="E192" s="128"/>
      <c r="F192" s="129"/>
      <c r="G192" s="128"/>
    </row>
    <row r="193" spans="1:7" ht="14">
      <c r="A193" s="127" t="s">
        <v>1288</v>
      </c>
      <c r="B193" s="128"/>
      <c r="C193" s="128"/>
      <c r="D193" s="129"/>
      <c r="E193" s="128"/>
      <c r="F193" s="129"/>
      <c r="G193" s="128"/>
    </row>
    <row r="194" spans="1:7" ht="14">
      <c r="A194" s="125"/>
      <c r="B194" s="128"/>
      <c r="C194" s="128"/>
      <c r="D194" s="129"/>
      <c r="E194" s="128"/>
      <c r="F194" s="129"/>
      <c r="G194" s="128"/>
    </row>
    <row r="195" spans="1:7" ht="14">
      <c r="A195" s="42" t="s">
        <v>975</v>
      </c>
      <c r="B195" s="128"/>
      <c r="C195" s="128"/>
      <c r="D195" s="129"/>
      <c r="E195" s="128"/>
      <c r="F195" s="129"/>
      <c r="G195" s="128"/>
    </row>
    <row r="196" spans="1:7" ht="14">
      <c r="A196" s="42" t="s">
        <v>976</v>
      </c>
      <c r="B196" s="128"/>
      <c r="C196" s="128"/>
      <c r="D196" s="129"/>
      <c r="E196" s="128"/>
      <c r="F196" s="129"/>
      <c r="G196" s="128"/>
    </row>
    <row r="197" spans="1:7" ht="14">
      <c r="A197" s="42" t="s">
        <v>918</v>
      </c>
      <c r="B197" s="128"/>
      <c r="C197" s="128"/>
      <c r="D197" s="129"/>
      <c r="E197" s="128"/>
      <c r="F197" s="129"/>
      <c r="G197" s="128"/>
    </row>
    <row r="198" spans="1:7" ht="14">
      <c r="A198" s="42" t="s">
        <v>836</v>
      </c>
      <c r="B198" s="128"/>
      <c r="C198" s="128"/>
      <c r="D198" s="129"/>
      <c r="E198" s="128"/>
      <c r="F198" s="129"/>
      <c r="G198" s="128"/>
    </row>
    <row r="199" spans="1:7" ht="14">
      <c r="A199" s="42" t="s">
        <v>3966</v>
      </c>
      <c r="B199" s="128"/>
      <c r="C199" s="128"/>
      <c r="D199" s="129"/>
      <c r="E199" s="128"/>
      <c r="F199" s="129"/>
      <c r="G199" s="128"/>
    </row>
    <row r="200" spans="1:7" ht="14">
      <c r="A200" s="42" t="s">
        <v>1369</v>
      </c>
      <c r="B200" s="128"/>
      <c r="C200" s="128"/>
      <c r="D200" s="129"/>
      <c r="E200" s="128"/>
      <c r="F200" s="129"/>
      <c r="G200" s="128"/>
    </row>
    <row r="201" spans="1:7" ht="14">
      <c r="A201" s="42" t="s">
        <v>1168</v>
      </c>
      <c r="B201" s="128"/>
      <c r="C201" s="128"/>
      <c r="D201" s="129"/>
      <c r="E201" s="128"/>
      <c r="F201" s="129"/>
      <c r="G201" s="128"/>
    </row>
    <row r="202" spans="1:7" ht="14">
      <c r="A202" s="42" t="s">
        <v>1321</v>
      </c>
      <c r="B202" s="128"/>
      <c r="C202" s="128"/>
      <c r="D202" s="129"/>
      <c r="E202" s="128"/>
      <c r="F202" s="129"/>
      <c r="G202" s="128"/>
    </row>
    <row r="203" spans="1:7" ht="14">
      <c r="A203" s="42" t="s">
        <v>834</v>
      </c>
      <c r="B203" s="128"/>
      <c r="C203" s="128"/>
      <c r="D203" s="129"/>
      <c r="E203" s="128"/>
      <c r="F203" s="129"/>
      <c r="G203" s="128"/>
    </row>
    <row r="204" spans="1:7" ht="14">
      <c r="A204" s="42" t="s">
        <v>835</v>
      </c>
      <c r="B204" s="128"/>
      <c r="C204" s="128"/>
      <c r="D204" s="129"/>
      <c r="E204" s="128"/>
      <c r="F204" s="129"/>
      <c r="G204" s="128"/>
    </row>
    <row r="205" spans="1:7" ht="14">
      <c r="A205" s="42" t="s">
        <v>75</v>
      </c>
      <c r="B205" s="128"/>
      <c r="C205" s="128"/>
      <c r="D205" s="129"/>
      <c r="E205" s="128"/>
      <c r="F205" s="129"/>
      <c r="G205" s="128"/>
    </row>
    <row r="206" spans="1:7" ht="14">
      <c r="A206" s="42" t="s">
        <v>180</v>
      </c>
      <c r="B206" s="128"/>
      <c r="C206" s="128"/>
      <c r="D206" s="129"/>
      <c r="E206" s="128"/>
      <c r="F206" s="129"/>
      <c r="G206" s="128"/>
    </row>
    <row r="207" spans="1:7" ht="14">
      <c r="B207" s="128"/>
      <c r="C207" s="128"/>
      <c r="D207" s="129"/>
      <c r="E207" s="128"/>
      <c r="F207" s="129"/>
      <c r="G207" s="128"/>
    </row>
    <row r="208" spans="1:7" ht="14">
      <c r="A208" s="126" t="s">
        <v>1407</v>
      </c>
      <c r="B208" s="128"/>
      <c r="C208" s="128"/>
      <c r="D208" s="129"/>
      <c r="E208" s="128"/>
      <c r="F208" s="129"/>
      <c r="G208" s="128"/>
    </row>
    <row r="209" spans="1:7" ht="14">
      <c r="A209" s="42" t="s">
        <v>1001</v>
      </c>
      <c r="B209" s="128"/>
      <c r="C209" s="128"/>
      <c r="D209" s="129"/>
      <c r="E209" s="128"/>
      <c r="F209" s="129"/>
      <c r="G209" s="128"/>
    </row>
    <row r="210" spans="1:7" ht="14">
      <c r="A210" s="42" t="s">
        <v>1002</v>
      </c>
      <c r="B210" s="128"/>
      <c r="C210" s="128"/>
      <c r="D210" s="129"/>
      <c r="E210" s="128"/>
      <c r="F210" s="129"/>
      <c r="G210" s="128"/>
    </row>
    <row r="211" spans="1:7" ht="14">
      <c r="A211" s="42" t="s">
        <v>4111</v>
      </c>
      <c r="B211" s="128"/>
      <c r="C211" s="128"/>
      <c r="D211" s="129"/>
      <c r="E211" s="128"/>
      <c r="F211" s="129"/>
      <c r="G211" s="128"/>
    </row>
    <row r="212" spans="1:7" ht="14">
      <c r="A212" s="42" t="s">
        <v>4110</v>
      </c>
      <c r="B212" s="128"/>
      <c r="C212" s="128"/>
      <c r="D212" s="129"/>
      <c r="E212" s="128"/>
      <c r="F212" s="129"/>
      <c r="G212" s="128"/>
    </row>
    <row r="213" spans="1:7" ht="14">
      <c r="A213" s="42" t="s">
        <v>969</v>
      </c>
      <c r="B213" s="128"/>
      <c r="C213" s="128"/>
      <c r="D213" s="129"/>
      <c r="E213" s="128"/>
      <c r="F213" s="129"/>
      <c r="G213" s="128"/>
    </row>
    <row r="214" spans="1:7" ht="14">
      <c r="A214" s="42" t="s">
        <v>833</v>
      </c>
      <c r="B214" s="128"/>
      <c r="C214" s="128"/>
      <c r="D214" s="129"/>
      <c r="E214" s="128"/>
      <c r="F214" s="129"/>
      <c r="G214" s="128"/>
    </row>
    <row r="215" spans="1:7" ht="14">
      <c r="B215" s="128"/>
      <c r="C215" s="128"/>
      <c r="D215" s="129"/>
      <c r="E215" s="128"/>
      <c r="F215" s="129"/>
      <c r="G215" s="128"/>
    </row>
    <row r="216" spans="1:7" ht="14">
      <c r="A216" s="126" t="s">
        <v>1411</v>
      </c>
      <c r="B216" s="128"/>
      <c r="C216" s="128"/>
      <c r="D216" s="129"/>
      <c r="E216" s="128"/>
      <c r="F216" s="129"/>
      <c r="G216" s="128"/>
    </row>
    <row r="217" spans="1:7" ht="14">
      <c r="A217" s="42" t="s">
        <v>2743</v>
      </c>
      <c r="B217" s="128">
        <v>1934</v>
      </c>
      <c r="C217" s="128"/>
      <c r="D217" s="129"/>
      <c r="E217" s="128"/>
      <c r="F217" s="129"/>
      <c r="G217" s="128"/>
    </row>
    <row r="218" spans="1:7" ht="14">
      <c r="A218" s="42" t="s">
        <v>2742</v>
      </c>
      <c r="B218" s="128">
        <v>1934</v>
      </c>
      <c r="C218" s="128"/>
      <c r="D218" s="129"/>
      <c r="E218" s="128"/>
      <c r="F218" s="129"/>
      <c r="G218" s="128"/>
    </row>
    <row r="219" spans="1:7" ht="14">
      <c r="B219" s="128"/>
      <c r="C219" s="128"/>
      <c r="D219" s="129"/>
      <c r="E219" s="128"/>
      <c r="F219" s="129"/>
      <c r="G219" s="128"/>
    </row>
    <row r="220" spans="1:7" ht="14">
      <c r="D220" s="129"/>
      <c r="E220" s="128"/>
      <c r="F220" s="129"/>
      <c r="G220" s="128"/>
    </row>
    <row r="221" spans="1:7" ht="14">
      <c r="D221" s="129"/>
      <c r="E221" s="128"/>
      <c r="F221" s="129"/>
      <c r="G221" s="128"/>
    </row>
    <row r="222" spans="1:7" ht="14">
      <c r="D222" s="129"/>
      <c r="E222" s="128"/>
      <c r="F222" s="129"/>
      <c r="G222" s="128"/>
    </row>
    <row r="223" spans="1:7" ht="14">
      <c r="D223" s="129"/>
      <c r="E223" s="128"/>
      <c r="F223" s="129"/>
      <c r="G223" s="128"/>
    </row>
    <row r="224" spans="1:7" ht="14">
      <c r="D224" s="129"/>
      <c r="E224" s="128"/>
      <c r="F224" s="129"/>
      <c r="G224" s="128"/>
    </row>
    <row r="225" spans="4:7" ht="14">
      <c r="D225" s="129"/>
      <c r="E225" s="128"/>
      <c r="F225" s="129"/>
      <c r="G225" s="128"/>
    </row>
    <row r="226" spans="4:7" ht="14">
      <c r="D226" s="129"/>
      <c r="E226" s="128"/>
      <c r="F226" s="129"/>
      <c r="G226" s="128"/>
    </row>
    <row r="227" spans="4:7" ht="14">
      <c r="D227" s="129"/>
      <c r="E227" s="128"/>
      <c r="F227" s="129"/>
      <c r="G227" s="128"/>
    </row>
    <row r="228" spans="4:7" ht="14">
      <c r="D228" s="129"/>
      <c r="E228" s="128"/>
      <c r="F228" s="129"/>
      <c r="G228" s="128"/>
    </row>
    <row r="229" spans="4:7" ht="14">
      <c r="D229" s="129"/>
      <c r="E229" s="128"/>
      <c r="F229" s="129"/>
      <c r="G229" s="128"/>
    </row>
    <row r="230" spans="4:7" ht="14">
      <c r="D230" s="129"/>
      <c r="E230" s="128"/>
      <c r="F230" s="129"/>
      <c r="G230" s="128"/>
    </row>
    <row r="231" spans="4:7" ht="14">
      <c r="D231" s="129"/>
      <c r="E231" s="128"/>
      <c r="F231" s="129"/>
      <c r="G231" s="128"/>
    </row>
    <row r="232" spans="4:7" ht="14">
      <c r="D232" s="129"/>
      <c r="E232" s="128"/>
      <c r="F232" s="129"/>
      <c r="G232" s="128"/>
    </row>
    <row r="233" spans="4:7" ht="14">
      <c r="D233" s="129"/>
      <c r="E233" s="128"/>
      <c r="F233" s="129"/>
      <c r="G233" s="128"/>
    </row>
    <row r="234" spans="4:7" ht="14">
      <c r="D234" s="129"/>
      <c r="E234" s="128"/>
      <c r="F234" s="129"/>
      <c r="G234" s="128"/>
    </row>
    <row r="235" spans="4:7" ht="14">
      <c r="D235" s="129"/>
      <c r="E235" s="128"/>
      <c r="F235" s="129"/>
      <c r="G235" s="128"/>
    </row>
    <row r="236" spans="4:7" ht="14">
      <c r="D236" s="129"/>
      <c r="E236" s="128"/>
      <c r="F236" s="129"/>
      <c r="G236" s="128"/>
    </row>
    <row r="237" spans="4:7" ht="14">
      <c r="D237" s="129"/>
      <c r="E237" s="128"/>
      <c r="F237" s="129"/>
      <c r="G237" s="128"/>
    </row>
    <row r="238" spans="4:7" ht="14">
      <c r="D238" s="129"/>
      <c r="E238" s="128"/>
      <c r="F238" s="129"/>
      <c r="G238" s="128"/>
    </row>
    <row r="239" spans="4:7" ht="14">
      <c r="D239" s="129"/>
      <c r="E239" s="128"/>
      <c r="F239" s="129"/>
      <c r="G239" s="128"/>
    </row>
    <row r="240" spans="4:7" ht="14">
      <c r="D240" s="129"/>
      <c r="E240" s="128"/>
      <c r="F240" s="129"/>
      <c r="G240" s="128"/>
    </row>
    <row r="241" spans="4:7" ht="14">
      <c r="D241" s="129"/>
      <c r="E241" s="128"/>
      <c r="F241" s="129"/>
      <c r="G241" s="128"/>
    </row>
    <row r="242" spans="4:7" ht="14">
      <c r="D242" s="129"/>
      <c r="E242" s="128"/>
      <c r="F242" s="129"/>
      <c r="G242" s="128"/>
    </row>
    <row r="243" spans="4:7" ht="14">
      <c r="D243" s="129"/>
      <c r="E243" s="128"/>
      <c r="F243" s="129"/>
      <c r="G243" s="128"/>
    </row>
    <row r="244" spans="4:7" ht="14">
      <c r="D244" s="129"/>
      <c r="E244" s="128"/>
      <c r="F244" s="129"/>
      <c r="G244" s="128"/>
    </row>
    <row r="245" spans="4:7" ht="14">
      <c r="D245" s="129"/>
      <c r="E245" s="128"/>
      <c r="F245" s="129"/>
      <c r="G245" s="128"/>
    </row>
    <row r="246" spans="4:7" ht="14">
      <c r="D246" s="129"/>
      <c r="E246" s="128"/>
      <c r="F246" s="129"/>
      <c r="G246" s="128"/>
    </row>
    <row r="247" spans="4:7" ht="14">
      <c r="D247" s="129"/>
      <c r="E247" s="128"/>
      <c r="F247" s="129"/>
      <c r="G247" s="128"/>
    </row>
    <row r="248" spans="4:7" ht="14">
      <c r="D248" s="129"/>
      <c r="E248" s="128"/>
      <c r="F248" s="129"/>
      <c r="G248" s="128"/>
    </row>
    <row r="249" spans="4:7" ht="14">
      <c r="D249" s="129"/>
      <c r="E249" s="128"/>
      <c r="F249" s="129"/>
      <c r="G249" s="128"/>
    </row>
    <row r="250" spans="4:7" ht="14">
      <c r="D250" s="129"/>
      <c r="E250" s="128"/>
      <c r="F250" s="129"/>
      <c r="G250" s="128"/>
    </row>
    <row r="251" spans="4:7" ht="14">
      <c r="D251" s="129"/>
      <c r="E251" s="128"/>
      <c r="F251" s="129"/>
      <c r="G251" s="128"/>
    </row>
    <row r="252" spans="4:7" ht="14">
      <c r="D252" s="129"/>
      <c r="E252" s="128"/>
      <c r="F252" s="129"/>
      <c r="G252" s="128"/>
    </row>
    <row r="253" spans="4:7" ht="14">
      <c r="D253" s="129"/>
      <c r="E253" s="128"/>
      <c r="F253" s="129"/>
      <c r="G253" s="128"/>
    </row>
    <row r="254" spans="4:7" ht="14">
      <c r="D254" s="129"/>
      <c r="E254" s="128"/>
      <c r="F254" s="129"/>
      <c r="G254" s="128"/>
    </row>
    <row r="255" spans="4:7" ht="14">
      <c r="D255" s="129"/>
      <c r="E255" s="128"/>
      <c r="F255" s="129"/>
      <c r="G255" s="128"/>
    </row>
    <row r="256" spans="4:7" ht="14">
      <c r="D256" s="129"/>
      <c r="E256" s="128"/>
      <c r="F256" s="129"/>
      <c r="G256" s="128"/>
    </row>
    <row r="257" spans="4:7" ht="14">
      <c r="D257" s="129"/>
      <c r="E257" s="128"/>
      <c r="F257" s="129"/>
      <c r="G257" s="128"/>
    </row>
    <row r="258" spans="4:7" ht="14">
      <c r="D258" s="129"/>
      <c r="E258" s="128"/>
      <c r="F258" s="129"/>
      <c r="G258" s="128"/>
    </row>
    <row r="259" spans="4:7" ht="14">
      <c r="D259" s="129"/>
      <c r="E259" s="128"/>
      <c r="F259" s="129"/>
      <c r="G259" s="128"/>
    </row>
    <row r="260" spans="4:7" ht="14">
      <c r="D260" s="129"/>
      <c r="E260" s="128"/>
      <c r="F260" s="129"/>
      <c r="G260" s="128"/>
    </row>
    <row r="261" spans="4:7" ht="14">
      <c r="D261" s="129"/>
      <c r="E261" s="128"/>
      <c r="F261" s="129"/>
      <c r="G261" s="128"/>
    </row>
    <row r="262" spans="4:7" ht="14">
      <c r="D262" s="129"/>
      <c r="E262" s="128"/>
      <c r="F262" s="129"/>
      <c r="G262" s="128"/>
    </row>
    <row r="263" spans="4:7" ht="14">
      <c r="D263" s="129"/>
      <c r="E263" s="128"/>
      <c r="F263" s="129"/>
      <c r="G263" s="128"/>
    </row>
    <row r="264" spans="4:7" ht="14">
      <c r="D264" s="129"/>
      <c r="E264" s="128"/>
      <c r="F264" s="129"/>
      <c r="G264" s="128"/>
    </row>
    <row r="265" spans="4:7" ht="14">
      <c r="D265" s="129"/>
      <c r="E265" s="128"/>
      <c r="F265" s="129"/>
      <c r="G265" s="128"/>
    </row>
    <row r="266" spans="4:7" ht="14">
      <c r="D266" s="129"/>
      <c r="E266" s="128"/>
      <c r="F266" s="129"/>
      <c r="G266" s="128"/>
    </row>
    <row r="267" spans="4:7" ht="14">
      <c r="D267" s="129"/>
      <c r="E267" s="128"/>
      <c r="F267" s="129"/>
      <c r="G267" s="128"/>
    </row>
    <row r="268" spans="4:7" ht="14">
      <c r="D268" s="129"/>
      <c r="E268" s="128"/>
      <c r="F268" s="129"/>
      <c r="G268" s="128"/>
    </row>
    <row r="269" spans="4:7" ht="14">
      <c r="D269" s="129"/>
      <c r="E269" s="128"/>
      <c r="F269" s="129"/>
      <c r="G269" s="128"/>
    </row>
    <row r="270" spans="4:7" ht="14">
      <c r="D270" s="129"/>
      <c r="E270" s="128"/>
      <c r="F270" s="129"/>
      <c r="G270" s="128"/>
    </row>
    <row r="271" spans="4:7" ht="14">
      <c r="D271" s="129"/>
      <c r="E271" s="128"/>
      <c r="F271" s="129"/>
      <c r="G271" s="128"/>
    </row>
    <row r="272" spans="4:7" ht="14">
      <c r="D272" s="129"/>
      <c r="E272" s="128"/>
      <c r="F272" s="129"/>
      <c r="G272" s="128"/>
    </row>
    <row r="273" spans="4:7" ht="14">
      <c r="D273" s="129"/>
      <c r="E273" s="128"/>
      <c r="F273" s="129"/>
      <c r="G273" s="128"/>
    </row>
    <row r="274" spans="4:7" ht="14">
      <c r="D274" s="129"/>
      <c r="E274" s="128"/>
      <c r="F274" s="129"/>
      <c r="G274" s="128"/>
    </row>
    <row r="275" spans="4:7" ht="14">
      <c r="D275" s="129"/>
      <c r="E275" s="128"/>
      <c r="F275" s="129"/>
      <c r="G275" s="128"/>
    </row>
    <row r="276" spans="4:7" ht="14">
      <c r="D276" s="129"/>
      <c r="E276" s="128"/>
      <c r="F276" s="129"/>
      <c r="G276" s="128"/>
    </row>
    <row r="277" spans="4:7" ht="14">
      <c r="D277" s="129"/>
      <c r="E277" s="128"/>
      <c r="F277" s="129"/>
      <c r="G277" s="128"/>
    </row>
    <row r="278" spans="4:7" ht="14">
      <c r="D278" s="129"/>
      <c r="E278" s="128"/>
      <c r="F278" s="129"/>
      <c r="G278" s="128"/>
    </row>
    <row r="279" spans="4:7" ht="14">
      <c r="D279" s="129"/>
      <c r="E279" s="128"/>
      <c r="F279" s="129"/>
      <c r="G279" s="128"/>
    </row>
    <row r="280" spans="4:7" ht="14">
      <c r="D280" s="129"/>
      <c r="E280" s="128"/>
      <c r="F280" s="129"/>
      <c r="G280" s="128"/>
    </row>
    <row r="281" spans="4:7" ht="14">
      <c r="D281" s="129"/>
      <c r="E281" s="128"/>
      <c r="F281" s="129"/>
      <c r="G281" s="128"/>
    </row>
    <row r="282" spans="4:7" ht="14">
      <c r="D282" s="129"/>
      <c r="E282" s="128"/>
      <c r="F282" s="129"/>
      <c r="G282" s="128"/>
    </row>
    <row r="283" spans="4:7" ht="14">
      <c r="D283" s="129"/>
      <c r="E283" s="128"/>
      <c r="F283" s="129"/>
      <c r="G283" s="128"/>
    </row>
    <row r="284" spans="4:7" ht="14">
      <c r="D284" s="129"/>
      <c r="E284" s="128"/>
      <c r="F284" s="129"/>
      <c r="G284" s="128"/>
    </row>
    <row r="285" spans="4:7" ht="14">
      <c r="D285" s="129"/>
      <c r="E285" s="128"/>
      <c r="F285" s="129"/>
      <c r="G285" s="128"/>
    </row>
    <row r="286" spans="4:7" ht="14">
      <c r="D286" s="129"/>
      <c r="E286" s="128"/>
      <c r="F286" s="129"/>
      <c r="G286" s="128"/>
    </row>
    <row r="287" spans="4:7" ht="14">
      <c r="D287" s="129"/>
      <c r="E287" s="128"/>
      <c r="F287" s="129"/>
      <c r="G287" s="128"/>
    </row>
    <row r="288" spans="4:7" ht="14">
      <c r="D288" s="129"/>
      <c r="E288" s="128"/>
      <c r="F288" s="129"/>
      <c r="G288" s="128"/>
    </row>
    <row r="289" spans="2:7" ht="14">
      <c r="D289" s="129"/>
      <c r="E289" s="128"/>
      <c r="F289" s="129"/>
      <c r="G289" s="128"/>
    </row>
    <row r="290" spans="2:7" ht="14">
      <c r="D290" s="129"/>
      <c r="E290" s="128"/>
      <c r="F290" s="129"/>
      <c r="G290" s="128"/>
    </row>
    <row r="291" spans="2:7" ht="14">
      <c r="D291" s="129"/>
      <c r="E291" s="128"/>
      <c r="F291" s="129"/>
      <c r="G291" s="128"/>
    </row>
    <row r="292" spans="2:7" ht="14">
      <c r="D292" s="129"/>
      <c r="E292" s="128"/>
      <c r="F292" s="129"/>
      <c r="G292" s="128"/>
    </row>
    <row r="293" spans="2:7" ht="14">
      <c r="D293" s="129"/>
      <c r="E293" s="128"/>
      <c r="F293" s="129"/>
      <c r="G293" s="128"/>
    </row>
    <row r="294" spans="2:7" ht="14">
      <c r="D294" s="129"/>
      <c r="E294" s="128"/>
      <c r="F294" s="129"/>
      <c r="G294" s="128"/>
    </row>
    <row r="295" spans="2:7" ht="14">
      <c r="D295" s="129"/>
      <c r="E295" s="128"/>
      <c r="F295" s="129"/>
      <c r="G295" s="128"/>
    </row>
    <row r="296" spans="2:7" ht="14">
      <c r="D296" s="129"/>
      <c r="E296" s="128"/>
      <c r="F296" s="129"/>
      <c r="G296" s="128"/>
    </row>
    <row r="297" spans="2:7" ht="14">
      <c r="B297" s="128"/>
      <c r="C297" s="128"/>
      <c r="D297" s="129"/>
      <c r="E297" s="128"/>
      <c r="F297" s="129"/>
      <c r="G297" s="128"/>
    </row>
    <row r="298" spans="2:7" ht="14">
      <c r="B298" s="128"/>
      <c r="C298" s="128"/>
      <c r="D298" s="129"/>
      <c r="E298" s="128"/>
      <c r="F298" s="129"/>
      <c r="G298" s="128"/>
    </row>
    <row r="299" spans="2:7" ht="14">
      <c r="B299" s="128"/>
      <c r="C299" s="128"/>
      <c r="D299" s="129"/>
      <c r="E299" s="128"/>
      <c r="F299" s="129"/>
      <c r="G299" s="128"/>
    </row>
    <row r="300" spans="2:7" ht="14">
      <c r="B300" s="128"/>
      <c r="C300" s="128"/>
      <c r="D300" s="129"/>
      <c r="E300" s="128"/>
      <c r="F300" s="129"/>
      <c r="G300" s="128"/>
    </row>
    <row r="301" spans="2:7" ht="14">
      <c r="B301" s="128"/>
      <c r="C301" s="128"/>
      <c r="D301" s="129"/>
      <c r="E301" s="128"/>
      <c r="F301" s="129"/>
      <c r="G301" s="128"/>
    </row>
    <row r="302" spans="2:7" ht="14">
      <c r="B302" s="128"/>
      <c r="C302" s="128"/>
      <c r="D302" s="129"/>
      <c r="E302" s="128"/>
      <c r="F302" s="129"/>
      <c r="G302" s="128"/>
    </row>
    <row r="303" spans="2:7" ht="14">
      <c r="B303" s="128"/>
      <c r="C303" s="128"/>
      <c r="D303" s="129"/>
      <c r="E303" s="128"/>
      <c r="F303" s="129"/>
      <c r="G303" s="128"/>
    </row>
    <row r="304" spans="2:7" ht="14">
      <c r="B304" s="128"/>
      <c r="C304" s="128"/>
      <c r="D304" s="129"/>
      <c r="E304" s="128"/>
      <c r="F304" s="129"/>
      <c r="G304" s="128"/>
    </row>
    <row r="305" spans="2:7" ht="14">
      <c r="B305" s="128"/>
      <c r="C305" s="128"/>
      <c r="D305" s="129"/>
      <c r="E305" s="128"/>
      <c r="F305" s="129"/>
      <c r="G305" s="128"/>
    </row>
    <row r="306" spans="2:7" ht="14">
      <c r="B306" s="128"/>
      <c r="C306" s="128"/>
      <c r="D306" s="129"/>
      <c r="E306" s="128"/>
      <c r="F306" s="129"/>
      <c r="G306" s="128"/>
    </row>
    <row r="307" spans="2:7" ht="14">
      <c r="B307" s="128"/>
      <c r="C307" s="128"/>
      <c r="D307" s="129"/>
      <c r="E307" s="128"/>
      <c r="F307" s="129"/>
      <c r="G307" s="128"/>
    </row>
    <row r="308" spans="2:7" ht="14">
      <c r="B308" s="128"/>
      <c r="C308" s="128"/>
      <c r="D308" s="129"/>
      <c r="E308" s="128"/>
      <c r="F308" s="129"/>
      <c r="G308" s="128"/>
    </row>
    <row r="309" spans="2:7" ht="14">
      <c r="B309" s="128"/>
      <c r="C309" s="128"/>
      <c r="D309" s="129"/>
      <c r="E309" s="128"/>
      <c r="F309" s="129"/>
      <c r="G309" s="128"/>
    </row>
    <row r="310" spans="2:7" ht="14">
      <c r="B310" s="128"/>
      <c r="C310" s="128"/>
      <c r="D310" s="129"/>
      <c r="E310" s="128"/>
      <c r="F310" s="129"/>
      <c r="G310" s="128"/>
    </row>
    <row r="311" spans="2:7" ht="14">
      <c r="B311" s="128"/>
      <c r="C311" s="128"/>
      <c r="D311" s="129"/>
      <c r="E311" s="128"/>
      <c r="F311" s="129"/>
      <c r="G311" s="128"/>
    </row>
    <row r="312" spans="2:7" ht="14">
      <c r="B312" s="128"/>
      <c r="C312" s="128"/>
      <c r="D312" s="129"/>
      <c r="E312" s="128"/>
      <c r="F312" s="129"/>
      <c r="G312" s="128"/>
    </row>
    <row r="313" spans="2:7" ht="14">
      <c r="B313" s="128"/>
      <c r="C313" s="128"/>
      <c r="D313" s="129"/>
      <c r="E313" s="128"/>
      <c r="F313" s="129"/>
      <c r="G313" s="128"/>
    </row>
    <row r="314" spans="2:7" ht="14">
      <c r="B314" s="128"/>
      <c r="C314" s="128"/>
      <c r="D314" s="129"/>
      <c r="E314" s="128"/>
      <c r="F314" s="129"/>
      <c r="G314" s="128"/>
    </row>
    <row r="315" spans="2:7" ht="14">
      <c r="B315" s="128"/>
      <c r="C315" s="128"/>
      <c r="D315" s="129"/>
      <c r="E315" s="128"/>
      <c r="F315" s="129"/>
      <c r="G315" s="128"/>
    </row>
    <row r="316" spans="2:7" ht="14">
      <c r="B316" s="128"/>
      <c r="C316" s="128"/>
      <c r="D316" s="129"/>
      <c r="E316" s="128"/>
      <c r="F316" s="129"/>
      <c r="G316" s="128"/>
    </row>
    <row r="317" spans="2:7" ht="14">
      <c r="B317" s="128"/>
      <c r="C317" s="128"/>
      <c r="D317" s="129"/>
      <c r="E317" s="128"/>
      <c r="F317" s="129"/>
      <c r="G317" s="128"/>
    </row>
    <row r="318" spans="2:7" ht="14">
      <c r="B318" s="128"/>
      <c r="C318" s="128"/>
      <c r="D318" s="129"/>
      <c r="E318" s="128"/>
      <c r="F318" s="129"/>
      <c r="G318" s="128"/>
    </row>
    <row r="319" spans="2:7" ht="14">
      <c r="B319" s="128"/>
      <c r="C319" s="128"/>
      <c r="D319" s="129"/>
      <c r="E319" s="128"/>
      <c r="F319" s="129"/>
      <c r="G319" s="128"/>
    </row>
    <row r="320" spans="2:7" ht="14">
      <c r="B320" s="128"/>
      <c r="C320" s="128"/>
      <c r="D320" s="129"/>
      <c r="E320" s="128"/>
      <c r="F320" s="129"/>
      <c r="G320" s="128"/>
    </row>
    <row r="321" spans="2:7" ht="14">
      <c r="B321" s="128"/>
      <c r="C321" s="128"/>
      <c r="D321" s="129"/>
      <c r="E321" s="128"/>
      <c r="F321" s="129"/>
      <c r="G321" s="128"/>
    </row>
    <row r="322" spans="2:7" ht="14">
      <c r="B322" s="128"/>
      <c r="C322" s="128"/>
      <c r="D322" s="129"/>
      <c r="E322" s="128"/>
      <c r="F322" s="129"/>
      <c r="G322" s="128"/>
    </row>
    <row r="323" spans="2:7" ht="14">
      <c r="B323" s="128"/>
      <c r="C323" s="128"/>
      <c r="D323" s="129"/>
      <c r="E323" s="128"/>
      <c r="F323" s="129"/>
      <c r="G323" s="128"/>
    </row>
    <row r="324" spans="2:7" ht="14">
      <c r="B324" s="128"/>
      <c r="C324" s="128"/>
      <c r="D324" s="129"/>
      <c r="E324" s="128"/>
      <c r="F324" s="129"/>
      <c r="G324" s="128"/>
    </row>
    <row r="325" spans="2:7" ht="14">
      <c r="B325" s="128"/>
      <c r="C325" s="128"/>
      <c r="D325" s="129"/>
      <c r="E325" s="128"/>
      <c r="F325" s="129"/>
      <c r="G325" s="128"/>
    </row>
    <row r="326" spans="2:7" ht="14">
      <c r="B326" s="128"/>
      <c r="C326" s="128"/>
      <c r="D326" s="129"/>
      <c r="E326" s="128"/>
      <c r="F326" s="129"/>
      <c r="G326" s="128"/>
    </row>
    <row r="327" spans="2:7" ht="14">
      <c r="B327" s="128"/>
      <c r="C327" s="128"/>
      <c r="D327" s="129"/>
      <c r="E327" s="128"/>
      <c r="F327" s="129"/>
      <c r="G327" s="128"/>
    </row>
    <row r="328" spans="2:7" ht="14">
      <c r="B328" s="128"/>
      <c r="C328" s="128"/>
      <c r="D328" s="129"/>
      <c r="E328" s="128"/>
      <c r="F328" s="129"/>
      <c r="G328" s="128"/>
    </row>
    <row r="329" spans="2:7" ht="14">
      <c r="B329" s="128"/>
      <c r="C329" s="128"/>
      <c r="D329" s="129"/>
      <c r="E329" s="128"/>
      <c r="F329" s="129"/>
      <c r="G329" s="128"/>
    </row>
    <row r="330" spans="2:7" ht="14">
      <c r="B330" s="128"/>
      <c r="C330" s="128"/>
      <c r="D330" s="129"/>
      <c r="E330" s="128"/>
      <c r="F330" s="129"/>
      <c r="G330" s="128"/>
    </row>
    <row r="331" spans="2:7" ht="14">
      <c r="B331" s="128"/>
      <c r="C331" s="128"/>
      <c r="D331" s="129"/>
      <c r="E331" s="128"/>
      <c r="F331" s="129"/>
      <c r="G331" s="128"/>
    </row>
    <row r="332" spans="2:7" ht="14">
      <c r="B332" s="128"/>
      <c r="C332" s="128"/>
      <c r="D332" s="129"/>
      <c r="E332" s="128"/>
      <c r="F332" s="129"/>
      <c r="G332" s="128"/>
    </row>
    <row r="333" spans="2:7" ht="14">
      <c r="B333" s="128"/>
      <c r="C333" s="128"/>
      <c r="D333" s="129"/>
      <c r="E333" s="128"/>
      <c r="F333" s="129"/>
      <c r="G333" s="128"/>
    </row>
    <row r="334" spans="2:7" ht="14">
      <c r="B334" s="128"/>
      <c r="C334" s="128"/>
      <c r="D334" s="129"/>
      <c r="E334" s="128"/>
      <c r="F334" s="129"/>
      <c r="G334" s="128"/>
    </row>
    <row r="335" spans="2:7" ht="14">
      <c r="B335" s="128"/>
      <c r="C335" s="128"/>
      <c r="D335" s="129"/>
      <c r="E335" s="128"/>
      <c r="F335" s="129"/>
      <c r="G335" s="128"/>
    </row>
    <row r="336" spans="2:7" ht="14">
      <c r="B336" s="128"/>
      <c r="C336" s="128"/>
      <c r="D336" s="129"/>
      <c r="E336" s="128"/>
      <c r="F336" s="129"/>
      <c r="G336" s="128"/>
    </row>
    <row r="337" spans="2:7" ht="14">
      <c r="B337" s="128"/>
      <c r="C337" s="128"/>
      <c r="D337" s="129"/>
      <c r="E337" s="128"/>
      <c r="F337" s="129"/>
      <c r="G337" s="128"/>
    </row>
    <row r="338" spans="2:7" ht="14">
      <c r="B338" s="128"/>
      <c r="C338" s="128"/>
      <c r="D338" s="129"/>
      <c r="E338" s="128"/>
      <c r="F338" s="129"/>
      <c r="G338" s="128"/>
    </row>
    <row r="339" spans="2:7" ht="14">
      <c r="B339" s="128"/>
      <c r="C339" s="128"/>
      <c r="D339" s="129"/>
      <c r="E339" s="128"/>
      <c r="F339" s="129"/>
      <c r="G339" s="128"/>
    </row>
    <row r="340" spans="2:7" ht="14">
      <c r="B340" s="128"/>
      <c r="C340" s="128"/>
      <c r="D340" s="129"/>
      <c r="E340" s="128"/>
      <c r="F340" s="129"/>
      <c r="G340" s="128"/>
    </row>
    <row r="341" spans="2:7" ht="14">
      <c r="B341" s="128"/>
      <c r="C341" s="128"/>
      <c r="D341" s="129"/>
      <c r="E341" s="128"/>
      <c r="F341" s="129"/>
      <c r="G341" s="128"/>
    </row>
    <row r="342" spans="2:7" ht="14">
      <c r="B342" s="128"/>
      <c r="C342" s="128"/>
      <c r="D342" s="129"/>
      <c r="E342" s="128"/>
      <c r="F342" s="129"/>
      <c r="G342" s="128"/>
    </row>
    <row r="343" spans="2:7" ht="14">
      <c r="B343" s="228"/>
      <c r="C343" s="228"/>
      <c r="D343" s="129"/>
      <c r="E343" s="128"/>
      <c r="F343" s="129"/>
      <c r="G343" s="128"/>
    </row>
    <row r="344" spans="2:7" ht="14">
      <c r="B344" s="228"/>
      <c r="C344" s="228"/>
      <c r="D344" s="129"/>
      <c r="E344" s="128"/>
      <c r="F344" s="129"/>
      <c r="G344" s="128"/>
    </row>
    <row r="345" spans="2:7" ht="14">
      <c r="B345" s="228"/>
      <c r="C345" s="228"/>
      <c r="D345" s="129"/>
      <c r="E345" s="128"/>
      <c r="F345" s="129"/>
      <c r="G345" s="128"/>
    </row>
    <row r="346" spans="2:7" ht="14">
      <c r="B346" s="228"/>
      <c r="C346" s="228"/>
      <c r="D346" s="129"/>
      <c r="E346" s="128"/>
      <c r="F346" s="129"/>
      <c r="G346" s="128"/>
    </row>
    <row r="347" spans="2:7" ht="14">
      <c r="B347" s="228"/>
      <c r="C347" s="228"/>
      <c r="D347" s="129"/>
      <c r="E347" s="128"/>
      <c r="F347" s="129"/>
      <c r="G347" s="128"/>
    </row>
    <row r="348" spans="2:7" ht="14">
      <c r="B348" s="228"/>
      <c r="C348" s="228"/>
      <c r="D348" s="129"/>
      <c r="E348" s="128"/>
      <c r="F348" s="129"/>
      <c r="G348" s="128"/>
    </row>
    <row r="349" spans="2:7" ht="14">
      <c r="B349" s="228"/>
      <c r="C349" s="228"/>
      <c r="D349" s="129"/>
      <c r="E349" s="128"/>
      <c r="F349" s="129"/>
      <c r="G349" s="128"/>
    </row>
    <row r="350" spans="2:7" ht="14">
      <c r="B350" s="228"/>
      <c r="C350" s="228"/>
      <c r="D350" s="129"/>
      <c r="E350" s="128"/>
      <c r="F350" s="129"/>
      <c r="G350" s="128"/>
    </row>
    <row r="351" spans="2:7" ht="14">
      <c r="B351" s="228"/>
      <c r="C351" s="228"/>
      <c r="D351" s="129"/>
      <c r="E351" s="128"/>
      <c r="F351" s="129"/>
      <c r="G351" s="128"/>
    </row>
    <row r="352" spans="2:7" ht="14">
      <c r="B352" s="228"/>
      <c r="C352" s="228"/>
      <c r="D352" s="129"/>
      <c r="E352" s="128"/>
      <c r="F352" s="129"/>
      <c r="G352" s="128"/>
    </row>
    <row r="353" spans="2:7" ht="14">
      <c r="B353" s="228"/>
      <c r="C353" s="228"/>
      <c r="D353" s="129"/>
      <c r="E353" s="128"/>
      <c r="F353" s="129"/>
      <c r="G353" s="128"/>
    </row>
    <row r="354" spans="2:7" ht="14">
      <c r="B354" s="228"/>
      <c r="C354" s="228"/>
      <c r="D354" s="129"/>
      <c r="E354" s="128"/>
      <c r="F354" s="129"/>
      <c r="G354" s="128"/>
    </row>
    <row r="355" spans="2:7" ht="14">
      <c r="B355" s="228"/>
      <c r="C355" s="228"/>
      <c r="D355" s="129"/>
      <c r="E355" s="128"/>
      <c r="F355" s="129"/>
      <c r="G355" s="128"/>
    </row>
    <row r="356" spans="2:7" ht="14">
      <c r="B356" s="228"/>
      <c r="C356" s="228"/>
      <c r="D356" s="129"/>
      <c r="E356" s="128"/>
      <c r="F356" s="129"/>
      <c r="G356" s="128"/>
    </row>
    <row r="357" spans="2:7" ht="14">
      <c r="B357" s="228"/>
      <c r="C357" s="228"/>
      <c r="D357" s="129"/>
      <c r="E357" s="128"/>
      <c r="F357" s="129"/>
      <c r="G357" s="128"/>
    </row>
    <row r="358" spans="2:7" ht="14">
      <c r="B358" s="228"/>
      <c r="C358" s="228"/>
      <c r="D358" s="129"/>
      <c r="E358" s="128"/>
      <c r="F358" s="129"/>
      <c r="G358" s="128"/>
    </row>
    <row r="359" spans="2:7" ht="14">
      <c r="B359" s="228"/>
      <c r="C359" s="228"/>
      <c r="D359" s="129"/>
      <c r="E359" s="128"/>
      <c r="F359" s="129"/>
      <c r="G359" s="128"/>
    </row>
    <row r="360" spans="2:7" ht="14">
      <c r="B360" s="228"/>
      <c r="C360" s="228"/>
      <c r="D360" s="129"/>
      <c r="E360" s="128"/>
      <c r="F360" s="129"/>
      <c r="G360" s="128"/>
    </row>
    <row r="361" spans="2:7" ht="14">
      <c r="B361" s="228"/>
      <c r="C361" s="228"/>
      <c r="D361" s="129"/>
      <c r="E361" s="128"/>
      <c r="F361" s="129"/>
      <c r="G361" s="128"/>
    </row>
    <row r="362" spans="2:7" ht="14">
      <c r="B362" s="228"/>
      <c r="C362" s="228"/>
      <c r="D362" s="129"/>
      <c r="E362" s="128"/>
      <c r="F362" s="129"/>
      <c r="G362" s="128"/>
    </row>
    <row r="363" spans="2:7" ht="14">
      <c r="B363" s="228"/>
      <c r="C363" s="228"/>
      <c r="D363" s="129"/>
      <c r="E363" s="128"/>
      <c r="F363" s="129"/>
      <c r="G363" s="128"/>
    </row>
    <row r="364" spans="2:7" ht="14">
      <c r="B364" s="228"/>
      <c r="C364" s="228"/>
      <c r="D364" s="129"/>
      <c r="E364" s="128"/>
      <c r="F364" s="129"/>
      <c r="G364" s="128"/>
    </row>
    <row r="365" spans="2:7" ht="14">
      <c r="B365" s="228"/>
      <c r="C365" s="228"/>
      <c r="D365" s="129"/>
      <c r="E365" s="128"/>
      <c r="F365" s="129"/>
      <c r="G365" s="128"/>
    </row>
    <row r="366" spans="2:7" ht="14">
      <c r="B366" s="228"/>
      <c r="C366" s="228"/>
      <c r="D366" s="129"/>
      <c r="E366" s="128"/>
      <c r="F366" s="129"/>
      <c r="G366" s="128"/>
    </row>
    <row r="367" spans="2:7" ht="14">
      <c r="B367" s="228"/>
      <c r="C367" s="228"/>
      <c r="D367" s="129"/>
      <c r="E367" s="128"/>
      <c r="F367" s="129"/>
      <c r="G367" s="128"/>
    </row>
    <row r="368" spans="2:7" ht="14">
      <c r="B368" s="228"/>
      <c r="C368" s="228"/>
      <c r="D368" s="129"/>
      <c r="E368" s="128"/>
      <c r="F368" s="129"/>
      <c r="G368" s="128"/>
    </row>
    <row r="369" spans="2:7" ht="14">
      <c r="B369" s="228"/>
      <c r="C369" s="228"/>
      <c r="D369" s="129"/>
      <c r="E369" s="128"/>
      <c r="F369" s="129"/>
      <c r="G369" s="128"/>
    </row>
    <row r="370" spans="2:7" ht="14">
      <c r="B370" s="228"/>
      <c r="C370" s="228"/>
      <c r="D370" s="129"/>
      <c r="E370" s="128"/>
      <c r="F370" s="129"/>
      <c r="G370" s="128"/>
    </row>
    <row r="371" spans="2:7" ht="14">
      <c r="B371" s="228"/>
      <c r="C371" s="228"/>
      <c r="D371" s="129"/>
      <c r="E371" s="128"/>
      <c r="F371" s="129"/>
      <c r="G371" s="128"/>
    </row>
    <row r="372" spans="2:7" ht="14">
      <c r="B372" s="228"/>
      <c r="C372" s="228"/>
      <c r="D372" s="129"/>
      <c r="E372" s="128"/>
      <c r="F372" s="129"/>
      <c r="G372" s="128"/>
    </row>
    <row r="373" spans="2:7" ht="14">
      <c r="B373" s="228"/>
      <c r="C373" s="228"/>
      <c r="D373" s="129"/>
      <c r="E373" s="128"/>
      <c r="F373" s="129"/>
      <c r="G373" s="128"/>
    </row>
    <row r="374" spans="2:7" ht="14">
      <c r="B374" s="228"/>
      <c r="C374" s="228"/>
      <c r="D374" s="129"/>
      <c r="E374" s="128"/>
      <c r="F374" s="129"/>
      <c r="G374" s="128"/>
    </row>
    <row r="375" spans="2:7" ht="14">
      <c r="B375" s="228"/>
      <c r="C375" s="228"/>
      <c r="D375" s="129"/>
      <c r="E375" s="128"/>
      <c r="F375" s="129"/>
      <c r="G375" s="128"/>
    </row>
    <row r="376" spans="2:7" ht="14">
      <c r="B376" s="228"/>
      <c r="C376" s="228"/>
      <c r="D376" s="129"/>
      <c r="E376" s="128"/>
      <c r="F376" s="129"/>
      <c r="G376" s="128"/>
    </row>
    <row r="377" spans="2:7" ht="14">
      <c r="B377" s="228"/>
      <c r="C377" s="228"/>
      <c r="D377" s="129"/>
      <c r="E377" s="128"/>
      <c r="F377" s="129"/>
      <c r="G377" s="128"/>
    </row>
    <row r="378" spans="2:7" ht="14">
      <c r="B378" s="228"/>
      <c r="C378" s="228"/>
      <c r="D378" s="129"/>
      <c r="E378" s="128"/>
      <c r="F378" s="129"/>
      <c r="G378" s="128"/>
    </row>
    <row r="379" spans="2:7" ht="14">
      <c r="B379" s="228"/>
      <c r="C379" s="228"/>
      <c r="D379" s="129"/>
      <c r="E379" s="128"/>
      <c r="F379" s="129"/>
      <c r="G379" s="128"/>
    </row>
    <row r="380" spans="2:7" ht="14">
      <c r="B380" s="228"/>
      <c r="C380" s="228"/>
      <c r="D380" s="129"/>
      <c r="E380" s="128"/>
      <c r="F380" s="129"/>
      <c r="G380" s="128"/>
    </row>
    <row r="381" spans="2:7" ht="14">
      <c r="B381" s="228"/>
      <c r="C381" s="228"/>
      <c r="D381" s="129"/>
      <c r="E381" s="128"/>
      <c r="F381" s="129"/>
      <c r="G381" s="128"/>
    </row>
    <row r="382" spans="2:7" ht="14">
      <c r="B382" s="228"/>
      <c r="C382" s="228"/>
      <c r="D382" s="129"/>
      <c r="E382" s="128"/>
      <c r="F382" s="129"/>
      <c r="G382" s="128"/>
    </row>
    <row r="383" spans="2:7" ht="14">
      <c r="B383" s="228"/>
      <c r="C383" s="228"/>
      <c r="D383" s="129"/>
      <c r="E383" s="128"/>
      <c r="F383" s="129"/>
      <c r="G383" s="128"/>
    </row>
    <row r="384" spans="2:7" ht="14">
      <c r="B384" s="228"/>
      <c r="C384" s="228"/>
      <c r="D384" s="129"/>
      <c r="E384" s="128"/>
      <c r="F384" s="129"/>
      <c r="G384" s="128"/>
    </row>
    <row r="385" spans="1:7" ht="14">
      <c r="B385" s="228"/>
      <c r="C385" s="228"/>
      <c r="D385" s="129"/>
      <c r="E385" s="128"/>
      <c r="F385" s="129"/>
      <c r="G385" s="128"/>
    </row>
    <row r="386" spans="1:7" ht="14">
      <c r="B386" s="228"/>
      <c r="C386" s="228"/>
      <c r="D386" s="129"/>
      <c r="E386" s="128"/>
      <c r="F386" s="129"/>
      <c r="G386" s="128"/>
    </row>
    <row r="387" spans="1:7" ht="14">
      <c r="A387" s="128"/>
      <c r="B387" s="128"/>
      <c r="C387" s="128"/>
      <c r="D387" s="128"/>
      <c r="E387" s="129"/>
      <c r="F387" s="128"/>
    </row>
    <row r="388" spans="1:7" ht="14">
      <c r="A388" s="128"/>
      <c r="B388" s="128"/>
      <c r="C388" s="128"/>
      <c r="D388" s="128"/>
      <c r="E388" s="129"/>
      <c r="F388" s="128"/>
    </row>
    <row r="389" spans="1:7" ht="14">
      <c r="A389" s="128"/>
      <c r="B389" s="128"/>
      <c r="C389" s="128"/>
      <c r="D389" s="128"/>
      <c r="E389" s="129"/>
      <c r="F389" s="128"/>
    </row>
    <row r="390" spans="1:7" ht="14">
      <c r="A390" s="128"/>
      <c r="B390" s="128"/>
      <c r="C390" s="128"/>
      <c r="D390" s="128"/>
      <c r="E390" s="129"/>
      <c r="F390" s="128"/>
    </row>
    <row r="391" spans="1:7" ht="14">
      <c r="A391" s="128"/>
      <c r="B391" s="128"/>
      <c r="C391" s="128"/>
      <c r="D391" s="128"/>
      <c r="E391" s="129"/>
      <c r="F391" s="128"/>
    </row>
    <row r="392" spans="1:7" ht="14">
      <c r="A392" s="128"/>
      <c r="B392" s="128"/>
      <c r="C392" s="128"/>
      <c r="D392" s="128"/>
      <c r="E392" s="129"/>
      <c r="F392" s="128"/>
    </row>
    <row r="393" spans="1:7" ht="14">
      <c r="A393" s="128"/>
      <c r="B393" s="128"/>
      <c r="C393" s="128"/>
      <c r="D393" s="128"/>
      <c r="E393" s="129"/>
      <c r="F393" s="128"/>
    </row>
    <row r="394" spans="1:7" ht="14">
      <c r="A394" s="128"/>
      <c r="B394" s="128"/>
      <c r="C394" s="128"/>
      <c r="D394" s="128"/>
      <c r="E394" s="129"/>
      <c r="F394" s="128"/>
    </row>
    <row r="395" spans="1:7" ht="14">
      <c r="A395" s="128"/>
      <c r="B395" s="128"/>
      <c r="C395" s="128"/>
      <c r="D395" s="128"/>
      <c r="E395" s="129"/>
      <c r="F395" s="128"/>
    </row>
    <row r="396" spans="1:7" ht="14">
      <c r="A396" s="128"/>
      <c r="B396" s="128"/>
      <c r="C396" s="128"/>
      <c r="D396" s="128"/>
      <c r="E396" s="129"/>
      <c r="F396" s="128"/>
    </row>
    <row r="397" spans="1:7" ht="14">
      <c r="A397" s="128"/>
      <c r="B397" s="128"/>
      <c r="C397" s="128"/>
      <c r="D397" s="128"/>
      <c r="E397" s="129"/>
      <c r="F397" s="128"/>
    </row>
    <row r="398" spans="1:7" ht="14">
      <c r="A398" s="128"/>
      <c r="B398" s="128"/>
      <c r="C398" s="128"/>
      <c r="D398" s="128"/>
      <c r="E398" s="129"/>
      <c r="F398" s="128"/>
    </row>
    <row r="399" spans="1:7" ht="14">
      <c r="A399" s="128"/>
      <c r="B399" s="128"/>
      <c r="C399" s="128"/>
      <c r="D399" s="128"/>
      <c r="E399" s="129"/>
      <c r="F399" s="128"/>
    </row>
    <row r="400" spans="1:7" ht="14">
      <c r="A400" s="128"/>
      <c r="B400" s="128"/>
      <c r="C400" s="128"/>
      <c r="D400" s="128"/>
      <c r="E400" s="129"/>
      <c r="F400" s="128"/>
    </row>
    <row r="401" spans="1:6" ht="14">
      <c r="A401" s="128"/>
      <c r="B401" s="128"/>
      <c r="C401" s="128"/>
      <c r="D401" s="128"/>
      <c r="E401" s="129"/>
      <c r="F401" s="128"/>
    </row>
    <row r="402" spans="1:6" ht="14">
      <c r="A402" s="128"/>
      <c r="B402" s="128"/>
      <c r="C402" s="128"/>
      <c r="D402" s="128"/>
      <c r="E402" s="129"/>
      <c r="F402" s="128"/>
    </row>
    <row r="403" spans="1:6" ht="14">
      <c r="A403" s="128"/>
      <c r="B403" s="128"/>
      <c r="C403" s="128"/>
      <c r="D403" s="128"/>
      <c r="E403" s="129"/>
      <c r="F403" s="128"/>
    </row>
    <row r="404" spans="1:6" ht="14">
      <c r="A404" s="128"/>
      <c r="B404" s="128"/>
      <c r="C404" s="128"/>
      <c r="D404" s="128"/>
      <c r="E404" s="129"/>
      <c r="F404" s="128"/>
    </row>
    <row r="405" spans="1:6" ht="14">
      <c r="A405" s="128"/>
      <c r="B405" s="128"/>
      <c r="C405" s="128"/>
      <c r="D405" s="128"/>
      <c r="E405" s="129"/>
      <c r="F405" s="128"/>
    </row>
    <row r="406" spans="1:6" ht="14">
      <c r="A406" s="128"/>
      <c r="B406" s="128"/>
      <c r="C406" s="128"/>
      <c r="D406" s="128"/>
      <c r="E406" s="129"/>
      <c r="F406" s="128"/>
    </row>
    <row r="407" spans="1:6" ht="14">
      <c r="A407" s="128"/>
      <c r="B407" s="128"/>
      <c r="C407" s="128"/>
      <c r="D407" s="128"/>
      <c r="E407" s="129"/>
      <c r="F407" s="128"/>
    </row>
    <row r="408" spans="1:6" ht="14">
      <c r="A408" s="128"/>
      <c r="B408" s="128"/>
      <c r="C408" s="128"/>
      <c r="D408" s="128"/>
      <c r="E408" s="129"/>
      <c r="F408" s="128"/>
    </row>
    <row r="409" spans="1:6" ht="14">
      <c r="A409" s="128"/>
      <c r="B409" s="128"/>
      <c r="C409" s="128"/>
      <c r="D409" s="128"/>
      <c r="E409" s="129"/>
      <c r="F409" s="128"/>
    </row>
    <row r="410" spans="1:6" ht="14">
      <c r="A410" s="128"/>
      <c r="B410" s="128"/>
      <c r="C410" s="128"/>
      <c r="D410" s="128"/>
      <c r="E410" s="129"/>
      <c r="F410" s="128"/>
    </row>
    <row r="411" spans="1:6" ht="14">
      <c r="A411" s="128"/>
      <c r="B411" s="128"/>
      <c r="C411" s="128"/>
      <c r="D411" s="128"/>
      <c r="E411" s="129"/>
      <c r="F411" s="128"/>
    </row>
    <row r="412" spans="1:6" ht="14">
      <c r="A412" s="128"/>
      <c r="B412" s="128"/>
      <c r="C412" s="128"/>
      <c r="D412" s="128"/>
      <c r="E412" s="129"/>
      <c r="F412" s="128"/>
    </row>
    <row r="413" spans="1:6" ht="14">
      <c r="A413" s="128"/>
      <c r="B413" s="128"/>
      <c r="C413" s="128"/>
      <c r="D413" s="128"/>
      <c r="E413" s="129"/>
      <c r="F413" s="128"/>
    </row>
    <row r="414" spans="1:6" ht="14">
      <c r="A414" s="128"/>
      <c r="B414" s="128"/>
      <c r="C414" s="128"/>
      <c r="D414" s="128"/>
      <c r="E414" s="129"/>
      <c r="F414" s="128"/>
    </row>
    <row r="415" spans="1:6" ht="14">
      <c r="A415" s="128"/>
      <c r="B415" s="128"/>
      <c r="C415" s="128"/>
      <c r="D415" s="128"/>
      <c r="E415" s="129"/>
      <c r="F415" s="128"/>
    </row>
    <row r="416" spans="1:6" ht="14">
      <c r="A416" s="128"/>
      <c r="B416" s="128"/>
      <c r="C416" s="128"/>
      <c r="D416" s="128"/>
      <c r="E416" s="129"/>
      <c r="F416" s="128"/>
    </row>
    <row r="417" spans="1:6" ht="14">
      <c r="A417" s="128"/>
      <c r="B417" s="128"/>
      <c r="C417" s="128"/>
      <c r="D417" s="128"/>
      <c r="E417" s="129"/>
      <c r="F417" s="128"/>
    </row>
    <row r="418" spans="1:6" ht="14">
      <c r="A418" s="128"/>
      <c r="B418" s="128"/>
      <c r="C418" s="128"/>
      <c r="D418" s="128"/>
      <c r="E418" s="129"/>
      <c r="F418" s="128"/>
    </row>
    <row r="419" spans="1:6" ht="14">
      <c r="A419" s="128"/>
      <c r="B419" s="128"/>
      <c r="C419" s="128"/>
      <c r="D419" s="128"/>
      <c r="E419" s="129"/>
      <c r="F419" s="128"/>
    </row>
    <row r="420" spans="1:6" ht="14">
      <c r="A420" s="128"/>
      <c r="B420" s="128"/>
      <c r="C420" s="128"/>
      <c r="D420" s="128"/>
      <c r="E420" s="129"/>
      <c r="F420" s="128"/>
    </row>
    <row r="421" spans="1:6" ht="14">
      <c r="A421" s="128"/>
      <c r="B421" s="128"/>
      <c r="C421" s="128"/>
      <c r="D421" s="128"/>
      <c r="E421" s="129"/>
      <c r="F421" s="128"/>
    </row>
    <row r="422" spans="1:6" ht="14">
      <c r="A422" s="128"/>
      <c r="B422" s="128"/>
      <c r="C422" s="128"/>
      <c r="D422" s="128"/>
      <c r="E422" s="129"/>
      <c r="F422" s="128"/>
    </row>
    <row r="423" spans="1:6" ht="14">
      <c r="A423" s="128"/>
      <c r="B423" s="128"/>
      <c r="C423" s="128"/>
      <c r="D423" s="128"/>
      <c r="E423" s="129"/>
      <c r="F423" s="128"/>
    </row>
    <row r="424" spans="1:6" ht="14">
      <c r="A424" s="128"/>
      <c r="B424" s="128"/>
      <c r="C424" s="128"/>
      <c r="D424" s="128"/>
      <c r="E424" s="129"/>
      <c r="F424" s="128"/>
    </row>
    <row r="425" spans="1:6" ht="14">
      <c r="A425" s="128"/>
      <c r="B425" s="128"/>
      <c r="C425" s="128"/>
      <c r="D425" s="128"/>
      <c r="E425" s="129"/>
      <c r="F425" s="128"/>
    </row>
    <row r="426" spans="1:6" ht="14">
      <c r="A426" s="128"/>
      <c r="B426" s="128"/>
      <c r="C426" s="128"/>
      <c r="D426" s="128"/>
      <c r="E426" s="129"/>
      <c r="F426" s="128"/>
    </row>
    <row r="427" spans="1:6" ht="14">
      <c r="A427" s="128"/>
      <c r="B427" s="128"/>
      <c r="C427" s="128"/>
      <c r="D427" s="128"/>
      <c r="E427" s="129"/>
      <c r="F427" s="128"/>
    </row>
    <row r="428" spans="1:6" ht="14">
      <c r="A428" s="128"/>
      <c r="B428" s="128"/>
      <c r="C428" s="128"/>
      <c r="D428" s="128"/>
      <c r="E428" s="129"/>
      <c r="F428" s="128"/>
    </row>
    <row r="429" spans="1:6" ht="14">
      <c r="A429" s="128"/>
      <c r="B429" s="128"/>
      <c r="C429" s="128"/>
      <c r="D429" s="128"/>
      <c r="E429" s="129"/>
      <c r="F429" s="128"/>
    </row>
    <row r="430" spans="1:6" ht="14">
      <c r="A430" s="128"/>
      <c r="B430" s="128"/>
      <c r="C430" s="128"/>
      <c r="D430" s="128"/>
      <c r="E430" s="129"/>
      <c r="F430" s="128"/>
    </row>
    <row r="431" spans="1:6" ht="14">
      <c r="A431" s="128"/>
      <c r="B431" s="128"/>
      <c r="C431" s="128"/>
      <c r="D431" s="128"/>
      <c r="E431" s="129"/>
      <c r="F431" s="128"/>
    </row>
    <row r="432" spans="1:6" ht="14">
      <c r="A432" s="128"/>
      <c r="B432" s="128"/>
      <c r="C432" s="128"/>
      <c r="D432" s="128"/>
      <c r="E432" s="129"/>
      <c r="F432" s="128"/>
    </row>
    <row r="433" spans="1:6" ht="14">
      <c r="A433" s="128"/>
      <c r="B433" s="128"/>
      <c r="C433" s="128"/>
      <c r="D433" s="128"/>
      <c r="E433" s="129"/>
      <c r="F433" s="128"/>
    </row>
    <row r="434" spans="1:6" ht="14">
      <c r="A434" s="128"/>
      <c r="B434" s="128"/>
      <c r="C434" s="128"/>
      <c r="D434" s="128"/>
      <c r="E434" s="129"/>
      <c r="F434" s="128"/>
    </row>
    <row r="435" spans="1:6" ht="14">
      <c r="A435" s="128"/>
      <c r="B435" s="128"/>
      <c r="C435" s="128"/>
      <c r="D435" s="128"/>
      <c r="E435" s="129"/>
      <c r="F435" s="128"/>
    </row>
    <row r="436" spans="1:6" ht="14">
      <c r="A436" s="128"/>
      <c r="B436" s="128"/>
      <c r="C436" s="128"/>
      <c r="D436" s="128"/>
      <c r="E436" s="129"/>
      <c r="F436" s="128"/>
    </row>
    <row r="437" spans="1:6" ht="14">
      <c r="A437" s="128"/>
      <c r="B437" s="128"/>
      <c r="C437" s="128"/>
      <c r="D437" s="128"/>
      <c r="E437" s="129"/>
      <c r="F437" s="128"/>
    </row>
    <row r="438" spans="1:6" ht="14">
      <c r="A438" s="128"/>
      <c r="B438" s="128"/>
      <c r="C438" s="128"/>
      <c r="D438" s="128"/>
      <c r="E438" s="129"/>
      <c r="F438" s="128"/>
    </row>
    <row r="439" spans="1:6" ht="14">
      <c r="A439" s="128"/>
      <c r="B439" s="128"/>
      <c r="C439" s="128"/>
      <c r="D439" s="128"/>
      <c r="E439" s="129"/>
      <c r="F439" s="128"/>
    </row>
    <row r="440" spans="1:6" ht="14">
      <c r="A440" s="128"/>
      <c r="B440" s="128"/>
      <c r="C440" s="128"/>
      <c r="D440" s="128"/>
      <c r="E440" s="129"/>
      <c r="F440" s="128"/>
    </row>
    <row r="441" spans="1:6" ht="14">
      <c r="A441" s="128"/>
      <c r="B441" s="128"/>
      <c r="C441" s="128"/>
      <c r="D441" s="128"/>
      <c r="E441" s="129"/>
      <c r="F441" s="128"/>
    </row>
    <row r="442" spans="1:6" ht="14">
      <c r="A442" s="128"/>
      <c r="B442" s="128"/>
      <c r="C442" s="128"/>
      <c r="D442" s="128"/>
      <c r="E442" s="129"/>
      <c r="F442" s="128"/>
    </row>
    <row r="443" spans="1:6" ht="14">
      <c r="A443" s="128"/>
      <c r="B443" s="128"/>
      <c r="C443" s="128"/>
      <c r="D443" s="128"/>
      <c r="E443" s="129"/>
      <c r="F443" s="128"/>
    </row>
    <row r="444" spans="1:6" ht="14">
      <c r="A444" s="128"/>
      <c r="B444" s="128"/>
      <c r="C444" s="128"/>
      <c r="D444" s="128"/>
      <c r="E444" s="129"/>
      <c r="F444" s="128"/>
    </row>
    <row r="445" spans="1:6" ht="14">
      <c r="A445" s="128"/>
      <c r="B445" s="128"/>
      <c r="C445" s="128"/>
      <c r="D445" s="128"/>
      <c r="E445" s="129"/>
      <c r="F445" s="128"/>
    </row>
    <row r="446" spans="1:6" ht="14">
      <c r="A446" s="128"/>
      <c r="B446" s="128"/>
      <c r="C446" s="128"/>
      <c r="D446" s="128"/>
      <c r="E446" s="129"/>
      <c r="F446" s="128"/>
    </row>
    <row r="447" spans="1:6" ht="14">
      <c r="A447" s="128"/>
      <c r="B447" s="128"/>
      <c r="C447" s="128"/>
      <c r="D447" s="128"/>
      <c r="E447" s="129"/>
      <c r="F447" s="128"/>
    </row>
    <row r="448" spans="1:6" ht="14">
      <c r="A448" s="128"/>
      <c r="B448" s="128"/>
      <c r="C448" s="128"/>
      <c r="D448" s="128"/>
      <c r="E448" s="129"/>
      <c r="F448" s="128"/>
    </row>
    <row r="449" spans="1:6" ht="14">
      <c r="A449" s="128"/>
      <c r="B449" s="128"/>
      <c r="C449" s="128"/>
      <c r="D449" s="128"/>
      <c r="E449" s="129"/>
      <c r="F449" s="128"/>
    </row>
    <row r="450" spans="1:6" ht="14">
      <c r="A450" s="128"/>
      <c r="B450" s="128"/>
      <c r="C450" s="128"/>
      <c r="D450" s="128"/>
      <c r="E450" s="129"/>
      <c r="F450" s="128"/>
    </row>
    <row r="451" spans="1:6" ht="14">
      <c r="A451" s="128"/>
      <c r="B451" s="128"/>
      <c r="C451" s="128"/>
      <c r="D451" s="128"/>
      <c r="E451" s="129"/>
      <c r="F451" s="128"/>
    </row>
    <row r="452" spans="1:6" ht="14">
      <c r="A452" s="128"/>
      <c r="B452" s="128"/>
      <c r="C452" s="128"/>
      <c r="D452" s="128"/>
      <c r="E452" s="129"/>
      <c r="F452" s="128"/>
    </row>
    <row r="453" spans="1:6" ht="14">
      <c r="A453" s="128"/>
      <c r="B453" s="128"/>
      <c r="C453" s="128"/>
      <c r="D453" s="128"/>
      <c r="E453" s="129"/>
      <c r="F453" s="128"/>
    </row>
    <row r="454" spans="1:6" ht="14">
      <c r="A454" s="128"/>
      <c r="B454" s="128"/>
      <c r="C454" s="128"/>
      <c r="D454" s="128"/>
      <c r="E454" s="129"/>
      <c r="F454" s="128"/>
    </row>
    <row r="455" spans="1:6" ht="14">
      <c r="A455" s="128"/>
      <c r="B455" s="128"/>
      <c r="C455" s="128"/>
      <c r="D455" s="128"/>
      <c r="E455" s="129"/>
      <c r="F455" s="128"/>
    </row>
    <row r="456" spans="1:6" ht="14">
      <c r="A456" s="128"/>
      <c r="B456" s="128"/>
      <c r="C456" s="128"/>
      <c r="D456" s="128"/>
      <c r="E456" s="129"/>
      <c r="F456" s="128"/>
    </row>
    <row r="457" spans="1:6" ht="14">
      <c r="A457" s="128"/>
      <c r="B457" s="128"/>
      <c r="C457" s="128"/>
      <c r="D457" s="128"/>
      <c r="E457" s="129"/>
      <c r="F457" s="128"/>
    </row>
    <row r="458" spans="1:6" ht="14">
      <c r="A458" s="128"/>
      <c r="B458" s="128"/>
      <c r="C458" s="128"/>
      <c r="D458" s="128"/>
      <c r="E458" s="129"/>
      <c r="F458" s="128"/>
    </row>
    <row r="459" spans="1:6" ht="14">
      <c r="A459" s="128"/>
      <c r="B459" s="128"/>
      <c r="C459" s="128"/>
      <c r="D459" s="128"/>
      <c r="E459" s="129"/>
      <c r="F459" s="128"/>
    </row>
    <row r="460" spans="1:6" ht="14">
      <c r="A460" s="128"/>
      <c r="B460" s="128"/>
      <c r="C460" s="128"/>
      <c r="D460" s="128"/>
      <c r="E460" s="129"/>
      <c r="F460" s="128"/>
    </row>
    <row r="461" spans="1:6" ht="14">
      <c r="A461" s="128"/>
      <c r="B461" s="128"/>
      <c r="C461" s="128"/>
      <c r="D461" s="128"/>
      <c r="E461" s="129"/>
      <c r="F461" s="128"/>
    </row>
    <row r="462" spans="1:6" ht="14">
      <c r="A462" s="128"/>
      <c r="B462" s="128"/>
      <c r="C462" s="128"/>
      <c r="D462" s="128"/>
      <c r="E462" s="129"/>
      <c r="F462" s="128"/>
    </row>
    <row r="463" spans="1:6" ht="14">
      <c r="A463" s="128"/>
      <c r="B463" s="128"/>
      <c r="C463" s="128"/>
      <c r="D463" s="128"/>
      <c r="E463" s="129"/>
      <c r="F463" s="128"/>
    </row>
    <row r="464" spans="1:6" ht="14">
      <c r="A464" s="128"/>
      <c r="B464" s="128"/>
      <c r="C464" s="128"/>
      <c r="D464" s="128"/>
      <c r="E464" s="129"/>
      <c r="F464" s="128"/>
    </row>
    <row r="465" spans="1:6" ht="14">
      <c r="A465" s="128"/>
      <c r="B465" s="128"/>
      <c r="C465" s="128"/>
      <c r="D465" s="128"/>
      <c r="E465" s="129"/>
      <c r="F465" s="128"/>
    </row>
    <row r="466" spans="1:6" ht="14">
      <c r="A466" s="128"/>
      <c r="B466" s="128"/>
      <c r="C466" s="128"/>
      <c r="D466" s="128"/>
      <c r="E466" s="129"/>
      <c r="F466" s="128"/>
    </row>
    <row r="467" spans="1:6" ht="14">
      <c r="A467" s="128"/>
      <c r="B467" s="128"/>
      <c r="C467" s="128"/>
      <c r="D467" s="128"/>
      <c r="E467" s="129"/>
      <c r="F467" s="128"/>
    </row>
    <row r="468" spans="1:6" ht="14">
      <c r="A468" s="128"/>
      <c r="B468" s="128"/>
      <c r="C468" s="128"/>
      <c r="D468" s="128"/>
      <c r="E468" s="129"/>
      <c r="F468" s="128"/>
    </row>
    <row r="469" spans="1:6" ht="14">
      <c r="A469" s="128"/>
      <c r="B469" s="128"/>
      <c r="C469" s="128"/>
      <c r="D469" s="128"/>
      <c r="E469" s="129"/>
      <c r="F469" s="128"/>
    </row>
    <row r="470" spans="1:6" ht="14">
      <c r="A470" s="128"/>
      <c r="B470" s="128"/>
      <c r="C470" s="128"/>
      <c r="D470" s="128"/>
      <c r="E470" s="129"/>
      <c r="F470" s="128"/>
    </row>
    <row r="471" spans="1:6" ht="14">
      <c r="A471" s="128"/>
      <c r="B471" s="128"/>
      <c r="C471" s="128"/>
      <c r="D471" s="128"/>
      <c r="E471" s="129"/>
      <c r="F471" s="128"/>
    </row>
    <row r="472" spans="1:6" ht="14">
      <c r="A472" s="128"/>
      <c r="B472" s="128"/>
      <c r="C472" s="128"/>
      <c r="D472" s="128"/>
      <c r="E472" s="129"/>
      <c r="F472" s="128"/>
    </row>
    <row r="473" spans="1:6" ht="14">
      <c r="A473" s="128"/>
      <c r="B473" s="128"/>
      <c r="C473" s="128"/>
      <c r="D473" s="128"/>
      <c r="E473" s="129"/>
      <c r="F473" s="128"/>
    </row>
    <row r="474" spans="1:6" ht="14">
      <c r="A474" s="128"/>
      <c r="B474" s="128"/>
      <c r="C474" s="128"/>
      <c r="D474" s="128"/>
      <c r="E474" s="129"/>
      <c r="F474" s="128"/>
    </row>
    <row r="475" spans="1:6" ht="14">
      <c r="A475" s="128"/>
      <c r="B475" s="128"/>
      <c r="C475" s="128"/>
      <c r="D475" s="128"/>
      <c r="E475" s="129"/>
      <c r="F475" s="128"/>
    </row>
    <row r="476" spans="1:6" ht="14">
      <c r="A476" s="128"/>
      <c r="B476" s="128"/>
      <c r="C476" s="128"/>
      <c r="D476" s="128"/>
      <c r="E476" s="129"/>
      <c r="F476" s="128"/>
    </row>
    <row r="477" spans="1:6" ht="14">
      <c r="A477" s="128"/>
      <c r="B477" s="128"/>
      <c r="C477" s="128"/>
      <c r="D477" s="128"/>
      <c r="E477" s="129"/>
      <c r="F477" s="128"/>
    </row>
    <row r="478" spans="1:6" ht="14">
      <c r="A478" s="128"/>
      <c r="B478" s="128"/>
      <c r="C478" s="128"/>
      <c r="D478" s="128"/>
      <c r="E478" s="129"/>
      <c r="F478" s="128"/>
    </row>
    <row r="479" spans="1:6" ht="14">
      <c r="A479" s="128"/>
      <c r="B479" s="128"/>
      <c r="C479" s="128"/>
      <c r="D479" s="128"/>
      <c r="E479" s="129"/>
      <c r="F479" s="128"/>
    </row>
    <row r="480" spans="1:6" ht="14">
      <c r="A480" s="128"/>
      <c r="B480" s="128"/>
      <c r="C480" s="128"/>
      <c r="D480" s="128"/>
      <c r="E480" s="129"/>
      <c r="F480" s="128"/>
    </row>
    <row r="481" spans="1:6" ht="14">
      <c r="A481" s="128"/>
      <c r="B481" s="128"/>
      <c r="C481" s="128"/>
      <c r="D481" s="128"/>
      <c r="E481" s="129"/>
      <c r="F481" s="128"/>
    </row>
    <row r="482" spans="1:6" ht="14">
      <c r="A482" s="128"/>
      <c r="B482" s="128"/>
      <c r="C482" s="128"/>
      <c r="D482" s="128"/>
      <c r="E482" s="129"/>
      <c r="F482" s="128"/>
    </row>
    <row r="483" spans="1:6" ht="14">
      <c r="A483" s="128"/>
      <c r="B483" s="128"/>
      <c r="C483" s="128"/>
      <c r="D483" s="128"/>
      <c r="E483" s="129"/>
      <c r="F483" s="128"/>
    </row>
    <row r="484" spans="1:6" ht="14">
      <c r="A484" s="128"/>
      <c r="B484" s="128"/>
      <c r="C484" s="128"/>
      <c r="D484" s="128"/>
      <c r="E484" s="129"/>
      <c r="F484" s="128"/>
    </row>
    <row r="485" spans="1:6" ht="14">
      <c r="A485" s="128"/>
      <c r="B485" s="128"/>
      <c r="C485" s="128"/>
      <c r="D485" s="128"/>
      <c r="E485" s="129"/>
      <c r="F485" s="128"/>
    </row>
    <row r="486" spans="1:6" ht="14">
      <c r="A486" s="128"/>
      <c r="B486" s="128"/>
      <c r="C486" s="128"/>
      <c r="D486" s="128"/>
      <c r="E486" s="129"/>
      <c r="F486" s="128"/>
    </row>
    <row r="487" spans="1:6" ht="14">
      <c r="A487" s="128"/>
      <c r="B487" s="128"/>
      <c r="C487" s="128"/>
      <c r="D487" s="128"/>
      <c r="E487" s="129"/>
      <c r="F487" s="128"/>
    </row>
    <row r="488" spans="1:6" ht="14">
      <c r="A488" s="128"/>
      <c r="B488" s="128"/>
      <c r="C488" s="128"/>
      <c r="D488" s="128"/>
      <c r="E488" s="129"/>
      <c r="F488" s="128"/>
    </row>
    <row r="489" spans="1:6" ht="14">
      <c r="A489" s="128"/>
      <c r="B489" s="128"/>
      <c r="C489" s="128"/>
      <c r="D489" s="128"/>
      <c r="E489" s="129"/>
      <c r="F489" s="128"/>
    </row>
    <row r="490" spans="1:6" ht="14">
      <c r="A490" s="128"/>
      <c r="B490" s="128"/>
      <c r="C490" s="128"/>
      <c r="D490" s="128"/>
      <c r="E490" s="129"/>
      <c r="F490" s="128"/>
    </row>
    <row r="491" spans="1:6" ht="14">
      <c r="A491" s="128"/>
      <c r="B491" s="128"/>
      <c r="C491" s="128"/>
      <c r="D491" s="128"/>
      <c r="E491" s="129"/>
      <c r="F491" s="128"/>
    </row>
    <row r="492" spans="1:6" ht="14">
      <c r="A492" s="128"/>
      <c r="B492" s="128"/>
      <c r="C492" s="128"/>
      <c r="D492" s="128"/>
      <c r="E492" s="129"/>
      <c r="F492" s="128"/>
    </row>
    <row r="493" spans="1:6" ht="14">
      <c r="A493" s="128"/>
      <c r="B493" s="128"/>
      <c r="C493" s="128"/>
      <c r="D493" s="128"/>
      <c r="E493" s="129"/>
      <c r="F493" s="128"/>
    </row>
    <row r="494" spans="1:6" ht="14">
      <c r="A494" s="128"/>
      <c r="B494" s="128"/>
      <c r="C494" s="128"/>
      <c r="D494" s="128"/>
      <c r="E494" s="129"/>
      <c r="F494" s="128"/>
    </row>
    <row r="495" spans="1:6" ht="14">
      <c r="A495" s="128"/>
      <c r="B495" s="128"/>
      <c r="C495" s="128"/>
      <c r="D495" s="128"/>
      <c r="E495" s="129"/>
      <c r="F495" s="128"/>
    </row>
    <row r="496" spans="1:6" ht="14">
      <c r="A496" s="128"/>
      <c r="B496" s="128"/>
      <c r="C496" s="128"/>
      <c r="D496" s="128"/>
      <c r="E496" s="129"/>
      <c r="F496" s="128"/>
    </row>
    <row r="497" spans="1:6" ht="14">
      <c r="A497" s="128"/>
      <c r="B497" s="128"/>
      <c r="C497" s="128"/>
      <c r="D497" s="128"/>
      <c r="E497" s="129"/>
      <c r="F497" s="128"/>
    </row>
    <row r="498" spans="1:6" ht="14">
      <c r="A498" s="128"/>
      <c r="B498" s="128"/>
      <c r="C498" s="128"/>
      <c r="D498" s="128"/>
      <c r="E498" s="129"/>
      <c r="F498" s="128"/>
    </row>
    <row r="499" spans="1:6" ht="14">
      <c r="A499" s="128"/>
      <c r="B499" s="128"/>
      <c r="C499" s="128"/>
      <c r="D499" s="128"/>
      <c r="E499" s="129"/>
      <c r="F499" s="128"/>
    </row>
    <row r="500" spans="1:6" ht="14">
      <c r="A500" s="128"/>
      <c r="B500" s="128"/>
      <c r="C500" s="128"/>
      <c r="D500" s="128"/>
      <c r="E500" s="129"/>
      <c r="F500" s="128"/>
    </row>
    <row r="501" spans="1:6" ht="14">
      <c r="A501" s="128"/>
      <c r="B501" s="128"/>
      <c r="C501" s="128"/>
      <c r="D501" s="128"/>
      <c r="E501" s="129"/>
      <c r="F501" s="128"/>
    </row>
    <row r="502" spans="1:6" ht="14">
      <c r="A502" s="128"/>
      <c r="B502" s="128"/>
      <c r="C502" s="128"/>
      <c r="D502" s="128"/>
      <c r="E502" s="129"/>
      <c r="F502" s="128"/>
    </row>
    <row r="503" spans="1:6" ht="14">
      <c r="A503" s="128"/>
      <c r="B503" s="128"/>
      <c r="C503" s="128"/>
      <c r="D503" s="128"/>
      <c r="E503" s="129"/>
      <c r="F503" s="128"/>
    </row>
    <row r="504" spans="1:6" ht="14">
      <c r="A504" s="128"/>
      <c r="B504" s="128"/>
      <c r="C504" s="128"/>
      <c r="D504" s="128"/>
      <c r="E504" s="129"/>
      <c r="F504" s="128"/>
    </row>
    <row r="505" spans="1:6" ht="14">
      <c r="A505" s="128"/>
      <c r="B505" s="128"/>
      <c r="C505" s="128"/>
      <c r="D505" s="128"/>
      <c r="E505" s="129"/>
      <c r="F505" s="128"/>
    </row>
    <row r="506" spans="1:6" ht="14">
      <c r="A506" s="128"/>
      <c r="B506" s="128"/>
      <c r="C506" s="128"/>
      <c r="D506" s="128"/>
      <c r="E506" s="129"/>
      <c r="F506" s="128"/>
    </row>
    <row r="507" spans="1:6" ht="14">
      <c r="A507" s="128"/>
      <c r="B507" s="128"/>
      <c r="C507" s="128"/>
      <c r="D507" s="128"/>
      <c r="E507" s="129"/>
      <c r="F507" s="128"/>
    </row>
    <row r="508" spans="1:6" ht="14">
      <c r="A508" s="128"/>
      <c r="B508" s="128"/>
      <c r="C508" s="128"/>
      <c r="D508" s="128"/>
      <c r="E508" s="129"/>
      <c r="F508" s="128"/>
    </row>
    <row r="509" spans="1:6" ht="14">
      <c r="A509" s="128"/>
      <c r="B509" s="128"/>
      <c r="C509" s="128"/>
      <c r="D509" s="128"/>
      <c r="E509" s="129"/>
      <c r="F509" s="128"/>
    </row>
    <row r="510" spans="1:6" ht="14">
      <c r="A510" s="128"/>
      <c r="B510" s="128"/>
      <c r="C510" s="128"/>
      <c r="D510" s="128"/>
      <c r="E510" s="129"/>
      <c r="F510" s="128"/>
    </row>
    <row r="511" spans="1:6" ht="14">
      <c r="A511" s="128"/>
      <c r="B511" s="128"/>
      <c r="C511" s="128"/>
      <c r="D511" s="128"/>
      <c r="E511" s="129"/>
      <c r="F511" s="128"/>
    </row>
    <row r="512" spans="1:6" ht="14">
      <c r="A512" s="128"/>
      <c r="B512" s="128"/>
      <c r="C512" s="128"/>
      <c r="D512" s="128"/>
      <c r="E512" s="129"/>
      <c r="F512" s="128"/>
    </row>
    <row r="513" spans="1:6" ht="14">
      <c r="A513" s="128"/>
      <c r="B513" s="128"/>
      <c r="C513" s="128"/>
      <c r="D513" s="128"/>
      <c r="E513" s="129"/>
      <c r="F513" s="128"/>
    </row>
    <row r="514" spans="1:6" ht="14">
      <c r="A514" s="128"/>
      <c r="B514" s="128"/>
      <c r="C514" s="128"/>
      <c r="D514" s="128"/>
      <c r="E514" s="129"/>
      <c r="F514" s="128"/>
    </row>
    <row r="515" spans="1:6" ht="14">
      <c r="A515" s="128"/>
      <c r="B515" s="128"/>
      <c r="C515" s="128"/>
      <c r="D515" s="128"/>
      <c r="E515" s="129"/>
      <c r="F515" s="128"/>
    </row>
    <row r="516" spans="1:6" ht="14">
      <c r="A516" s="128"/>
      <c r="B516" s="128"/>
      <c r="C516" s="128"/>
      <c r="D516" s="128"/>
      <c r="E516" s="129"/>
      <c r="F516" s="128"/>
    </row>
    <row r="517" spans="1:6" ht="14">
      <c r="A517" s="128"/>
      <c r="B517" s="128"/>
      <c r="C517" s="128"/>
      <c r="D517" s="128"/>
      <c r="E517" s="129"/>
      <c r="F517" s="128"/>
    </row>
    <row r="518" spans="1:6" ht="14">
      <c r="A518" s="128"/>
      <c r="B518" s="128"/>
      <c r="C518" s="128"/>
      <c r="D518" s="128"/>
      <c r="E518" s="129"/>
      <c r="F518" s="128"/>
    </row>
    <row r="519" spans="1:6" ht="14">
      <c r="A519" s="128"/>
      <c r="B519" s="128"/>
      <c r="C519" s="128"/>
      <c r="D519" s="128"/>
      <c r="E519" s="129"/>
      <c r="F519" s="128"/>
    </row>
    <row r="520" spans="1:6" ht="14">
      <c r="A520" s="128"/>
      <c r="B520" s="128"/>
      <c r="C520" s="128"/>
      <c r="D520" s="128"/>
      <c r="E520" s="129"/>
      <c r="F520" s="128"/>
    </row>
    <row r="521" spans="1:6" ht="14">
      <c r="A521" s="128"/>
      <c r="B521" s="128"/>
      <c r="C521" s="128"/>
      <c r="D521" s="128"/>
      <c r="E521" s="129"/>
      <c r="F521" s="128"/>
    </row>
    <row r="522" spans="1:6" ht="14">
      <c r="A522" s="128"/>
      <c r="B522" s="128"/>
      <c r="C522" s="128"/>
      <c r="D522" s="128"/>
      <c r="E522" s="129"/>
      <c r="F522" s="128"/>
    </row>
    <row r="523" spans="1:6" ht="14">
      <c r="A523" s="128"/>
      <c r="B523" s="128"/>
      <c r="C523" s="128"/>
      <c r="D523" s="128"/>
      <c r="E523" s="129"/>
      <c r="F523" s="128"/>
    </row>
    <row r="524" spans="1:6" ht="14">
      <c r="A524" s="128"/>
      <c r="B524" s="128"/>
      <c r="C524" s="128"/>
      <c r="D524" s="128"/>
      <c r="E524" s="129"/>
      <c r="F524" s="128"/>
    </row>
    <row r="525" spans="1:6" ht="14">
      <c r="A525" s="128"/>
      <c r="B525" s="128"/>
      <c r="C525" s="128"/>
      <c r="D525" s="128"/>
      <c r="E525" s="129"/>
      <c r="F525" s="128"/>
    </row>
    <row r="526" spans="1:6" ht="14">
      <c r="A526" s="128"/>
      <c r="B526" s="128"/>
      <c r="C526" s="128"/>
      <c r="D526" s="128"/>
      <c r="E526" s="129"/>
      <c r="F526" s="128"/>
    </row>
    <row r="527" spans="1:6" ht="14">
      <c r="A527" s="128"/>
      <c r="B527" s="128"/>
      <c r="C527" s="128"/>
      <c r="D527" s="128"/>
      <c r="E527" s="129"/>
      <c r="F527" s="128"/>
    </row>
    <row r="528" spans="1:6" ht="14">
      <c r="A528" s="128"/>
      <c r="B528" s="128"/>
      <c r="C528" s="128"/>
      <c r="D528" s="128"/>
      <c r="E528" s="129"/>
      <c r="F528" s="128"/>
    </row>
    <row r="529" spans="1:6" ht="14">
      <c r="A529" s="128"/>
      <c r="B529" s="128"/>
      <c r="C529" s="128"/>
      <c r="D529" s="128"/>
      <c r="E529" s="129"/>
      <c r="F529" s="128"/>
    </row>
    <row r="530" spans="1:6" ht="14">
      <c r="A530" s="128"/>
      <c r="B530" s="128"/>
      <c r="C530" s="128"/>
      <c r="D530" s="128"/>
      <c r="E530" s="129"/>
      <c r="F530" s="128"/>
    </row>
    <row r="531" spans="1:6" ht="14">
      <c r="A531" s="128"/>
      <c r="B531" s="128"/>
      <c r="C531" s="128"/>
      <c r="D531" s="128"/>
      <c r="E531" s="129"/>
      <c r="F531" s="128"/>
    </row>
    <row r="532" spans="1:6" ht="14">
      <c r="A532" s="128"/>
      <c r="B532" s="128"/>
      <c r="C532" s="128"/>
      <c r="D532" s="128"/>
      <c r="E532" s="129"/>
      <c r="F532" s="128"/>
    </row>
    <row r="533" spans="1:6" ht="14">
      <c r="A533" s="128"/>
      <c r="B533" s="128"/>
      <c r="C533" s="128"/>
      <c r="D533" s="128"/>
      <c r="E533" s="129"/>
      <c r="F533" s="128"/>
    </row>
    <row r="534" spans="1:6" ht="14">
      <c r="A534" s="128"/>
      <c r="B534" s="128"/>
      <c r="C534" s="128"/>
      <c r="D534" s="128"/>
      <c r="E534" s="129"/>
      <c r="F534" s="128"/>
    </row>
    <row r="535" spans="1:6" ht="14">
      <c r="A535" s="128"/>
      <c r="B535" s="128"/>
      <c r="C535" s="128"/>
      <c r="D535" s="128"/>
      <c r="E535" s="129"/>
      <c r="F535" s="128"/>
    </row>
    <row r="536" spans="1:6" ht="14">
      <c r="A536" s="128"/>
      <c r="B536" s="128"/>
      <c r="C536" s="128"/>
      <c r="D536" s="128"/>
      <c r="E536" s="129"/>
      <c r="F536" s="128"/>
    </row>
    <row r="537" spans="1:6" ht="14">
      <c r="A537" s="128"/>
      <c r="B537" s="128"/>
      <c r="C537" s="128"/>
      <c r="D537" s="128"/>
      <c r="E537" s="129"/>
      <c r="F537" s="128"/>
    </row>
    <row r="538" spans="1:6" ht="14">
      <c r="A538" s="128"/>
      <c r="B538" s="128"/>
      <c r="C538" s="128"/>
      <c r="D538" s="128"/>
      <c r="E538" s="129"/>
      <c r="F538" s="128"/>
    </row>
    <row r="539" spans="1:6" ht="14">
      <c r="A539" s="128"/>
      <c r="B539" s="128"/>
      <c r="C539" s="128"/>
      <c r="D539" s="128"/>
      <c r="E539" s="129"/>
      <c r="F539" s="128"/>
    </row>
    <row r="540" spans="1:6" ht="14">
      <c r="A540" s="128"/>
      <c r="B540" s="128"/>
      <c r="C540" s="128"/>
      <c r="D540" s="128"/>
      <c r="E540" s="129"/>
      <c r="F540" s="128"/>
    </row>
    <row r="541" spans="1:6" ht="14">
      <c r="A541" s="128"/>
      <c r="B541" s="128"/>
      <c r="C541" s="128"/>
      <c r="D541" s="128"/>
      <c r="E541" s="129"/>
      <c r="F541" s="128"/>
    </row>
    <row r="542" spans="1:6" ht="14">
      <c r="A542" s="128"/>
      <c r="B542" s="128"/>
      <c r="C542" s="128"/>
      <c r="D542" s="128"/>
      <c r="E542" s="129"/>
      <c r="F542" s="128"/>
    </row>
    <row r="543" spans="1:6" ht="14">
      <c r="A543" s="128"/>
      <c r="B543" s="128"/>
      <c r="C543" s="128"/>
      <c r="D543" s="128"/>
      <c r="E543" s="129"/>
      <c r="F543" s="128"/>
    </row>
    <row r="544" spans="1:6" ht="14">
      <c r="A544" s="128"/>
      <c r="B544" s="128"/>
      <c r="C544" s="128"/>
      <c r="D544" s="128"/>
      <c r="E544" s="129"/>
      <c r="F544" s="128"/>
    </row>
    <row r="545" spans="1:6" ht="14">
      <c r="A545" s="128"/>
      <c r="B545" s="128"/>
      <c r="C545" s="128"/>
      <c r="D545" s="128"/>
      <c r="E545" s="129"/>
      <c r="F545" s="128"/>
    </row>
    <row r="546" spans="1:6" ht="14">
      <c r="A546" s="128"/>
      <c r="B546" s="128"/>
      <c r="C546" s="128"/>
      <c r="D546" s="128"/>
      <c r="E546" s="129"/>
      <c r="F546" s="128"/>
    </row>
    <row r="547" spans="1:6" ht="14">
      <c r="A547" s="128"/>
      <c r="B547" s="128"/>
      <c r="C547" s="128"/>
      <c r="D547" s="128"/>
      <c r="E547" s="129"/>
      <c r="F547" s="128"/>
    </row>
    <row r="548" spans="1:6" ht="14">
      <c r="A548" s="128"/>
      <c r="B548" s="128"/>
      <c r="C548" s="128"/>
      <c r="D548" s="128"/>
      <c r="E548" s="129"/>
      <c r="F548" s="128"/>
    </row>
    <row r="549" spans="1:6" ht="14">
      <c r="A549" s="128"/>
      <c r="B549" s="128"/>
      <c r="C549" s="128"/>
      <c r="D549" s="128"/>
      <c r="E549" s="129"/>
      <c r="F549" s="128"/>
    </row>
    <row r="550" spans="1:6" ht="14">
      <c r="A550" s="128"/>
      <c r="B550" s="128"/>
      <c r="C550" s="128"/>
      <c r="D550" s="128"/>
      <c r="E550" s="129"/>
      <c r="F550" s="128"/>
    </row>
    <row r="551" spans="1:6" ht="14">
      <c r="A551" s="128"/>
      <c r="B551" s="128"/>
      <c r="C551" s="128"/>
      <c r="D551" s="128"/>
      <c r="E551" s="129"/>
      <c r="F551" s="128"/>
    </row>
    <row r="552" spans="1:6" ht="14">
      <c r="A552" s="128"/>
      <c r="B552" s="128"/>
      <c r="C552" s="128"/>
      <c r="D552" s="128"/>
      <c r="E552" s="129"/>
      <c r="F552" s="128"/>
    </row>
    <row r="553" spans="1:6" ht="14">
      <c r="A553" s="128"/>
      <c r="B553" s="128"/>
      <c r="C553" s="128"/>
      <c r="D553" s="128"/>
      <c r="E553" s="129"/>
      <c r="F553" s="128"/>
    </row>
    <row r="554" spans="1:6" ht="14">
      <c r="A554" s="128"/>
      <c r="B554" s="128"/>
      <c r="C554" s="128"/>
      <c r="D554" s="128"/>
      <c r="E554" s="129"/>
      <c r="F554" s="128"/>
    </row>
    <row r="555" spans="1:6" ht="14">
      <c r="A555" s="128"/>
      <c r="B555" s="128"/>
      <c r="C555" s="128"/>
      <c r="D555" s="128"/>
      <c r="E555" s="129"/>
      <c r="F555" s="128"/>
    </row>
    <row r="556" spans="1:6" ht="14">
      <c r="A556" s="128"/>
      <c r="B556" s="128"/>
      <c r="C556" s="128"/>
      <c r="D556" s="128"/>
      <c r="E556" s="129"/>
      <c r="F556" s="128"/>
    </row>
    <row r="557" spans="1:6" ht="14">
      <c r="A557" s="128"/>
      <c r="B557" s="128"/>
      <c r="C557" s="128"/>
      <c r="D557" s="128"/>
      <c r="E557" s="129"/>
      <c r="F557" s="128"/>
    </row>
    <row r="558" spans="1:6" ht="14">
      <c r="A558" s="128"/>
      <c r="B558" s="128"/>
      <c r="C558" s="128"/>
      <c r="D558" s="128"/>
      <c r="E558" s="129"/>
      <c r="F558" s="128"/>
    </row>
    <row r="559" spans="1:6" ht="14">
      <c r="A559" s="128"/>
      <c r="B559" s="128"/>
      <c r="C559" s="128"/>
      <c r="D559" s="128"/>
      <c r="E559" s="129"/>
      <c r="F559" s="128"/>
    </row>
    <row r="560" spans="1:6" ht="14">
      <c r="A560" s="128"/>
      <c r="B560" s="128"/>
      <c r="C560" s="128"/>
      <c r="D560" s="128"/>
      <c r="E560" s="129"/>
      <c r="F560" s="128"/>
    </row>
    <row r="561" spans="1:6" ht="14">
      <c r="A561" s="128"/>
      <c r="B561" s="128"/>
      <c r="C561" s="128"/>
      <c r="D561" s="128"/>
      <c r="E561" s="129"/>
      <c r="F561" s="128"/>
    </row>
    <row r="562" spans="1:6" ht="14">
      <c r="A562" s="128"/>
      <c r="B562" s="128"/>
      <c r="C562" s="128"/>
      <c r="D562" s="128"/>
      <c r="E562" s="129"/>
      <c r="F562" s="128"/>
    </row>
    <row r="563" spans="1:6" ht="14">
      <c r="A563" s="128"/>
      <c r="B563" s="128"/>
      <c r="C563" s="128"/>
      <c r="D563" s="128"/>
      <c r="E563" s="129"/>
      <c r="F563" s="128"/>
    </row>
    <row r="564" spans="1:6" ht="14">
      <c r="A564" s="128"/>
      <c r="B564" s="128"/>
      <c r="C564" s="128"/>
      <c r="D564" s="128"/>
      <c r="E564" s="129"/>
      <c r="F564" s="128"/>
    </row>
    <row r="565" spans="1:6" ht="14">
      <c r="A565" s="128"/>
      <c r="B565" s="128"/>
      <c r="C565" s="128"/>
      <c r="D565" s="128"/>
      <c r="E565" s="129"/>
      <c r="F565" s="128"/>
    </row>
    <row r="566" spans="1:6" ht="14">
      <c r="A566" s="128"/>
      <c r="B566" s="128"/>
      <c r="C566" s="128"/>
      <c r="D566" s="128"/>
      <c r="E566" s="129"/>
      <c r="F566" s="128"/>
    </row>
    <row r="567" spans="1:6" ht="14">
      <c r="A567" s="128"/>
      <c r="B567" s="128"/>
      <c r="C567" s="128"/>
      <c r="D567" s="128"/>
      <c r="E567" s="129"/>
      <c r="F567" s="128"/>
    </row>
    <row r="568" spans="1:6" ht="14">
      <c r="A568" s="128"/>
      <c r="B568" s="128"/>
      <c r="C568" s="128"/>
      <c r="D568" s="128"/>
      <c r="E568" s="129"/>
      <c r="F568" s="128"/>
    </row>
    <row r="569" spans="1:6" ht="14">
      <c r="A569" s="128"/>
      <c r="B569" s="128"/>
      <c r="C569" s="128"/>
      <c r="D569" s="128"/>
      <c r="E569" s="129"/>
      <c r="F569" s="128"/>
    </row>
    <row r="570" spans="1:6" ht="14">
      <c r="A570" s="128"/>
      <c r="B570" s="128"/>
      <c r="C570" s="128"/>
      <c r="D570" s="128"/>
      <c r="E570" s="129"/>
      <c r="F570" s="128"/>
    </row>
    <row r="571" spans="1:6" ht="14">
      <c r="A571" s="128"/>
      <c r="B571" s="128"/>
      <c r="C571" s="128"/>
      <c r="D571" s="128"/>
      <c r="E571" s="129"/>
      <c r="F571" s="128"/>
    </row>
    <row r="572" spans="1:6" ht="14">
      <c r="A572" s="128"/>
      <c r="B572" s="128"/>
      <c r="C572" s="128"/>
      <c r="D572" s="128"/>
      <c r="E572" s="129"/>
      <c r="F572" s="128"/>
    </row>
    <row r="573" spans="1:6" ht="14">
      <c r="A573" s="128"/>
      <c r="B573" s="128"/>
      <c r="C573" s="128"/>
      <c r="D573" s="128"/>
      <c r="E573" s="129"/>
      <c r="F573" s="128"/>
    </row>
    <row r="574" spans="1:6" ht="14">
      <c r="A574" s="128"/>
      <c r="B574" s="128"/>
      <c r="C574" s="128"/>
      <c r="D574" s="128"/>
      <c r="E574" s="129"/>
      <c r="F574" s="128"/>
    </row>
    <row r="575" spans="1:6" ht="14">
      <c r="A575" s="128"/>
      <c r="B575" s="128"/>
      <c r="C575" s="128"/>
      <c r="D575" s="128"/>
      <c r="E575" s="129"/>
      <c r="F575" s="128"/>
    </row>
    <row r="576" spans="1:6" ht="14">
      <c r="A576" s="128"/>
      <c r="B576" s="128"/>
      <c r="C576" s="128"/>
      <c r="D576" s="128"/>
      <c r="E576" s="129"/>
      <c r="F576" s="128"/>
    </row>
    <row r="577" spans="1:6" ht="14">
      <c r="A577" s="128"/>
      <c r="B577" s="128"/>
      <c r="C577" s="128"/>
      <c r="D577" s="128"/>
      <c r="E577" s="129"/>
      <c r="F577" s="128"/>
    </row>
    <row r="578" spans="1:6" ht="14">
      <c r="A578" s="128"/>
      <c r="B578" s="128"/>
      <c r="C578" s="128"/>
      <c r="D578" s="128"/>
      <c r="E578" s="129"/>
      <c r="F578" s="128"/>
    </row>
    <row r="579" spans="1:6" ht="14">
      <c r="A579" s="128"/>
      <c r="B579" s="128"/>
      <c r="C579" s="128"/>
      <c r="D579" s="128"/>
      <c r="E579" s="129"/>
      <c r="F579" s="128"/>
    </row>
    <row r="580" spans="1:6" ht="14">
      <c r="A580" s="128"/>
      <c r="B580" s="128"/>
      <c r="C580" s="128"/>
      <c r="D580" s="128"/>
      <c r="E580" s="129"/>
      <c r="F580" s="128"/>
    </row>
    <row r="581" spans="1:6" ht="14">
      <c r="A581" s="128"/>
      <c r="B581" s="128"/>
      <c r="C581" s="128"/>
      <c r="D581" s="128"/>
      <c r="E581" s="129"/>
      <c r="F581" s="128"/>
    </row>
    <row r="582" spans="1:6" ht="14">
      <c r="A582" s="128"/>
      <c r="B582" s="128"/>
      <c r="C582" s="128"/>
      <c r="D582" s="128"/>
      <c r="E582" s="129"/>
      <c r="F582" s="128"/>
    </row>
    <row r="583" spans="1:6" ht="14">
      <c r="A583" s="128"/>
      <c r="B583" s="128"/>
      <c r="C583" s="128"/>
      <c r="D583" s="128"/>
      <c r="E583" s="129"/>
      <c r="F583" s="128"/>
    </row>
    <row r="584" spans="1:6" ht="14">
      <c r="A584" s="128"/>
      <c r="B584" s="128"/>
      <c r="C584" s="128"/>
      <c r="D584" s="128"/>
      <c r="E584" s="129"/>
      <c r="F584" s="128"/>
    </row>
    <row r="585" spans="1:6" ht="14">
      <c r="A585" s="128"/>
      <c r="B585" s="128"/>
      <c r="C585" s="128"/>
      <c r="D585" s="128"/>
      <c r="E585" s="129"/>
      <c r="F585" s="128"/>
    </row>
    <row r="586" spans="1:6" ht="14">
      <c r="A586" s="128"/>
      <c r="B586" s="128"/>
      <c r="C586" s="128"/>
      <c r="D586" s="128"/>
      <c r="E586" s="129"/>
      <c r="F586" s="128"/>
    </row>
    <row r="587" spans="1:6" ht="14">
      <c r="A587" s="128"/>
      <c r="B587" s="128"/>
      <c r="C587" s="128"/>
      <c r="D587" s="128"/>
      <c r="E587" s="129"/>
      <c r="F587" s="128"/>
    </row>
    <row r="588" spans="1:6" ht="14">
      <c r="A588" s="128"/>
      <c r="B588" s="128"/>
      <c r="C588" s="128"/>
      <c r="D588" s="128"/>
      <c r="E588" s="129"/>
      <c r="F588" s="128"/>
    </row>
    <row r="589" spans="1:6" ht="14">
      <c r="A589" s="128"/>
      <c r="B589" s="128"/>
      <c r="C589" s="128"/>
      <c r="D589" s="128"/>
      <c r="E589" s="129"/>
      <c r="F589" s="128"/>
    </row>
    <row r="590" spans="1:6" ht="14">
      <c r="A590" s="128"/>
      <c r="B590" s="128"/>
      <c r="C590" s="128"/>
      <c r="D590" s="128"/>
      <c r="E590" s="129"/>
      <c r="F590" s="128"/>
    </row>
    <row r="591" spans="1:6" ht="14">
      <c r="A591" s="128"/>
      <c r="B591" s="128"/>
      <c r="C591" s="128"/>
      <c r="D591" s="128"/>
      <c r="E591" s="129"/>
      <c r="F591" s="128"/>
    </row>
    <row r="592" spans="1:6" ht="14">
      <c r="A592" s="128"/>
      <c r="B592" s="128"/>
      <c r="C592" s="128"/>
      <c r="D592" s="128"/>
      <c r="E592" s="129"/>
      <c r="F592" s="128"/>
    </row>
    <row r="593" spans="1:6" ht="14">
      <c r="A593" s="128"/>
      <c r="B593" s="128"/>
      <c r="C593" s="128"/>
      <c r="D593" s="128"/>
      <c r="E593" s="129"/>
      <c r="F593" s="128"/>
    </row>
    <row r="594" spans="1:6" ht="14">
      <c r="A594" s="128"/>
      <c r="B594" s="128"/>
      <c r="C594" s="128"/>
      <c r="D594" s="128"/>
      <c r="E594" s="129"/>
      <c r="F594" s="128"/>
    </row>
    <row r="595" spans="1:6" ht="14">
      <c r="A595" s="128"/>
      <c r="B595" s="128"/>
      <c r="C595" s="128"/>
      <c r="D595" s="128"/>
      <c r="E595" s="129"/>
      <c r="F595" s="128"/>
    </row>
    <row r="596" spans="1:6" ht="14">
      <c r="A596" s="128"/>
      <c r="B596" s="128"/>
      <c r="C596" s="128"/>
      <c r="D596" s="128"/>
      <c r="E596" s="129"/>
      <c r="F596" s="128"/>
    </row>
    <row r="597" spans="1:6" ht="14">
      <c r="A597" s="128"/>
      <c r="B597" s="128"/>
      <c r="C597" s="128"/>
      <c r="D597" s="128"/>
      <c r="E597" s="129"/>
      <c r="F597" s="128"/>
    </row>
    <row r="598" spans="1:6" ht="14">
      <c r="A598" s="128"/>
      <c r="B598" s="128"/>
      <c r="C598" s="128"/>
      <c r="D598" s="128"/>
      <c r="E598" s="129"/>
      <c r="F598" s="128"/>
    </row>
    <row r="599" spans="1:6" ht="14">
      <c r="A599" s="128"/>
      <c r="B599" s="128"/>
      <c r="C599" s="128"/>
      <c r="D599" s="128"/>
      <c r="E599" s="129"/>
      <c r="F599" s="128"/>
    </row>
    <row r="600" spans="1:6" ht="14">
      <c r="A600" s="128"/>
      <c r="B600" s="128"/>
      <c r="C600" s="128"/>
      <c r="D600" s="128"/>
      <c r="E600" s="129"/>
      <c r="F600" s="128"/>
    </row>
    <row r="601" spans="1:6" ht="14">
      <c r="A601" s="128"/>
      <c r="B601" s="128"/>
      <c r="C601" s="128"/>
      <c r="D601" s="128"/>
      <c r="E601" s="129"/>
      <c r="F601" s="128"/>
    </row>
    <row r="602" spans="1:6" ht="14">
      <c r="A602" s="128"/>
      <c r="B602" s="128"/>
      <c r="C602" s="128"/>
      <c r="D602" s="128"/>
      <c r="E602" s="129"/>
      <c r="F602" s="128"/>
    </row>
    <row r="603" spans="1:6" ht="14">
      <c r="A603" s="128"/>
      <c r="B603" s="128"/>
      <c r="C603" s="128"/>
      <c r="D603" s="128"/>
      <c r="E603" s="129"/>
      <c r="F603" s="128"/>
    </row>
    <row r="604" spans="1:6" ht="14">
      <c r="A604" s="128"/>
      <c r="B604" s="128"/>
      <c r="C604" s="128"/>
      <c r="D604" s="128"/>
      <c r="E604" s="129"/>
      <c r="F604" s="128"/>
    </row>
    <row r="605" spans="1:6" ht="14">
      <c r="A605" s="128"/>
      <c r="B605" s="128"/>
      <c r="C605" s="128"/>
      <c r="D605" s="128"/>
      <c r="E605" s="129"/>
      <c r="F605" s="128"/>
    </row>
    <row r="606" spans="1:6" ht="14">
      <c r="A606" s="128"/>
      <c r="B606" s="128"/>
      <c r="C606" s="128"/>
      <c r="D606" s="128"/>
      <c r="E606" s="129"/>
      <c r="F606" s="128"/>
    </row>
    <row r="607" spans="1:6" ht="14">
      <c r="A607" s="128"/>
      <c r="B607" s="128"/>
      <c r="C607" s="128"/>
      <c r="D607" s="128"/>
      <c r="E607" s="129"/>
      <c r="F607" s="128"/>
    </row>
    <row r="608" spans="1:6" ht="14">
      <c r="A608" s="128"/>
      <c r="B608" s="128"/>
      <c r="C608" s="128"/>
      <c r="D608" s="128"/>
      <c r="E608" s="129"/>
      <c r="F608" s="128"/>
    </row>
    <row r="609" spans="1:6" ht="14">
      <c r="A609" s="128"/>
      <c r="B609" s="128"/>
      <c r="C609" s="128"/>
      <c r="D609" s="128"/>
      <c r="E609" s="129"/>
      <c r="F609" s="128"/>
    </row>
    <row r="610" spans="1:6" ht="14">
      <c r="A610" s="128"/>
      <c r="B610" s="128"/>
      <c r="C610" s="128"/>
      <c r="D610" s="128"/>
      <c r="E610" s="129"/>
      <c r="F610" s="128"/>
    </row>
    <row r="611" spans="1:6" ht="14">
      <c r="A611" s="128"/>
      <c r="B611" s="128"/>
      <c r="C611" s="128"/>
      <c r="D611" s="128"/>
      <c r="E611" s="129"/>
      <c r="F611" s="128"/>
    </row>
    <row r="612" spans="1:6" ht="14">
      <c r="A612" s="128"/>
      <c r="B612" s="128"/>
      <c r="C612" s="128"/>
      <c r="D612" s="128"/>
      <c r="E612" s="129"/>
      <c r="F612" s="128"/>
    </row>
    <row r="613" spans="1:6" ht="14">
      <c r="A613" s="128"/>
      <c r="B613" s="128"/>
      <c r="C613" s="128"/>
      <c r="D613" s="128"/>
      <c r="E613" s="129"/>
      <c r="F613" s="128"/>
    </row>
    <row r="614" spans="1:6" ht="14">
      <c r="A614" s="128"/>
      <c r="B614" s="128"/>
      <c r="C614" s="128"/>
      <c r="D614" s="128"/>
      <c r="E614" s="129"/>
      <c r="F614" s="128"/>
    </row>
    <row r="615" spans="1:6" ht="14">
      <c r="A615" s="128"/>
      <c r="B615" s="128"/>
      <c r="C615" s="128"/>
      <c r="D615" s="128"/>
      <c r="E615" s="129"/>
      <c r="F615" s="128"/>
    </row>
    <row r="616" spans="1:6" ht="14">
      <c r="A616" s="128"/>
      <c r="B616" s="128"/>
      <c r="C616" s="128"/>
      <c r="D616" s="128"/>
      <c r="E616" s="129"/>
      <c r="F616" s="128"/>
    </row>
    <row r="617" spans="1:6" ht="14">
      <c r="A617" s="128"/>
      <c r="B617" s="128"/>
      <c r="C617" s="128"/>
      <c r="D617" s="128"/>
      <c r="E617" s="129"/>
      <c r="F617" s="128"/>
    </row>
    <row r="618" spans="1:6" ht="14">
      <c r="A618" s="128"/>
      <c r="B618" s="128"/>
      <c r="C618" s="128"/>
      <c r="D618" s="128"/>
      <c r="E618" s="129"/>
      <c r="F618" s="128"/>
    </row>
    <row r="619" spans="1:6" ht="14">
      <c r="A619" s="128"/>
      <c r="B619" s="128"/>
      <c r="C619" s="128"/>
      <c r="D619" s="128"/>
      <c r="E619" s="129"/>
      <c r="F619" s="128"/>
    </row>
    <row r="620" spans="1:6" ht="14">
      <c r="A620" s="128"/>
      <c r="B620" s="128"/>
      <c r="C620" s="128"/>
      <c r="D620" s="128"/>
      <c r="E620" s="129"/>
      <c r="F620" s="128"/>
    </row>
    <row r="621" spans="1:6" ht="14">
      <c r="A621" s="128"/>
      <c r="B621" s="128"/>
      <c r="C621" s="128"/>
      <c r="D621" s="128"/>
      <c r="E621" s="129"/>
      <c r="F621" s="128"/>
    </row>
    <row r="622" spans="1:6" ht="14">
      <c r="A622" s="128"/>
      <c r="B622" s="128"/>
      <c r="C622" s="128"/>
      <c r="D622" s="128"/>
      <c r="E622" s="129"/>
      <c r="F622" s="128"/>
    </row>
    <row r="623" spans="1:6" ht="14">
      <c r="A623" s="128"/>
      <c r="B623" s="128"/>
      <c r="C623" s="128"/>
      <c r="D623" s="128"/>
      <c r="E623" s="129"/>
      <c r="F623" s="128"/>
    </row>
    <row r="624" spans="1:6" ht="14">
      <c r="A624" s="128"/>
      <c r="B624" s="128"/>
      <c r="C624" s="128"/>
      <c r="D624" s="128"/>
      <c r="E624" s="129"/>
      <c r="F624" s="128"/>
    </row>
    <row r="625" spans="1:6" ht="14">
      <c r="A625" s="128"/>
      <c r="B625" s="128"/>
      <c r="C625" s="128"/>
      <c r="D625" s="128"/>
      <c r="E625" s="129"/>
      <c r="F625" s="128"/>
    </row>
    <row r="626" spans="1:6" ht="14">
      <c r="A626" s="128"/>
      <c r="B626" s="128"/>
      <c r="C626" s="128"/>
      <c r="D626" s="128"/>
      <c r="E626" s="129"/>
      <c r="F626" s="128"/>
    </row>
    <row r="627" spans="1:6" ht="14">
      <c r="A627" s="128"/>
      <c r="B627" s="128"/>
      <c r="C627" s="128"/>
      <c r="D627" s="128"/>
      <c r="E627" s="129"/>
      <c r="F627" s="128"/>
    </row>
    <row r="628" spans="1:6" ht="14">
      <c r="A628" s="128"/>
      <c r="B628" s="128"/>
      <c r="C628" s="128"/>
      <c r="D628" s="128"/>
      <c r="E628" s="129"/>
      <c r="F628" s="128"/>
    </row>
    <row r="629" spans="1:6" ht="14">
      <c r="A629" s="128"/>
      <c r="B629" s="128"/>
      <c r="C629" s="128"/>
      <c r="D629" s="128"/>
      <c r="E629" s="129"/>
      <c r="F629" s="128"/>
    </row>
    <row r="630" spans="1:6" ht="14">
      <c r="A630" s="128"/>
      <c r="B630" s="128"/>
      <c r="C630" s="128"/>
      <c r="D630" s="128"/>
      <c r="E630" s="129"/>
      <c r="F630" s="128"/>
    </row>
  </sheetData>
  <sheetCalcPr fullCalcOnLoad="1"/>
  <sortState ref="A3:XFD106">
    <sortCondition ref="E3:E106"/>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G87"/>
  <sheetViews>
    <sheetView workbookViewId="0">
      <selection activeCell="A3" sqref="A3:F39"/>
    </sheetView>
  </sheetViews>
  <sheetFormatPr baseColWidth="10" defaultRowHeight="13"/>
  <cols>
    <col min="1" max="5" width="10.7109375" style="42"/>
  </cols>
  <sheetData>
    <row r="1" spans="1:7" ht="39">
      <c r="A1" s="100" t="s">
        <v>1869</v>
      </c>
      <c r="B1" s="100" t="s">
        <v>2173</v>
      </c>
      <c r="C1" s="100" t="s">
        <v>1175</v>
      </c>
      <c r="D1" s="100" t="s">
        <v>1774</v>
      </c>
      <c r="E1" s="100" t="s">
        <v>2022</v>
      </c>
      <c r="F1" s="82" t="s">
        <v>1787</v>
      </c>
    </row>
    <row r="2" spans="1:7">
      <c r="A2" s="42" t="s">
        <v>940</v>
      </c>
      <c r="F2" s="120" t="s">
        <v>1331</v>
      </c>
    </row>
    <row r="3" spans="1:7">
      <c r="A3" s="220" t="s">
        <v>2298</v>
      </c>
      <c r="B3" s="220">
        <v>2020329</v>
      </c>
      <c r="C3" s="221" t="s">
        <v>1176</v>
      </c>
      <c r="D3" s="112">
        <v>9601</v>
      </c>
      <c r="E3" s="112">
        <v>11638</v>
      </c>
      <c r="F3" s="117" t="s">
        <v>2458</v>
      </c>
    </row>
    <row r="4" spans="1:7">
      <c r="A4" s="220" t="s">
        <v>2298</v>
      </c>
      <c r="B4" s="220">
        <v>2041516</v>
      </c>
      <c r="C4" s="221" t="s">
        <v>1176</v>
      </c>
      <c r="D4" s="112">
        <v>10192</v>
      </c>
      <c r="E4" s="112">
        <v>11827</v>
      </c>
      <c r="F4" s="117" t="s">
        <v>2458</v>
      </c>
    </row>
    <row r="5" spans="1:7">
      <c r="A5" s="220" t="s">
        <v>2298</v>
      </c>
      <c r="B5" s="220">
        <v>2157019</v>
      </c>
      <c r="C5" s="221" t="s">
        <v>1176</v>
      </c>
      <c r="D5" s="112">
        <v>10770</v>
      </c>
      <c r="E5" s="112">
        <v>12905</v>
      </c>
      <c r="F5" s="117" t="s">
        <v>2458</v>
      </c>
    </row>
    <row r="6" spans="1:7">
      <c r="A6" s="220" t="s">
        <v>2298</v>
      </c>
      <c r="B6" s="220">
        <v>2046260</v>
      </c>
      <c r="C6" s="221" t="s">
        <v>1176</v>
      </c>
      <c r="D6" s="112">
        <v>7236</v>
      </c>
      <c r="E6" s="112">
        <v>11869</v>
      </c>
      <c r="F6" s="371" t="s">
        <v>4138</v>
      </c>
    </row>
    <row r="7" spans="1:7">
      <c r="A7" s="220" t="s">
        <v>2298</v>
      </c>
      <c r="B7" s="220">
        <v>2025698</v>
      </c>
      <c r="C7" s="221" t="s">
        <v>1176</v>
      </c>
      <c r="D7" s="112">
        <v>8908</v>
      </c>
      <c r="E7" s="112">
        <v>11680</v>
      </c>
      <c r="F7" s="117" t="s">
        <v>2477</v>
      </c>
    </row>
    <row r="8" spans="1:7">
      <c r="A8" s="220" t="s">
        <v>2298</v>
      </c>
      <c r="B8" s="220">
        <v>2047099</v>
      </c>
      <c r="C8" s="221" t="s">
        <v>1176</v>
      </c>
      <c r="D8" s="112">
        <v>9063</v>
      </c>
      <c r="E8" s="112">
        <v>11876</v>
      </c>
      <c r="F8" s="117" t="s">
        <v>2477</v>
      </c>
    </row>
    <row r="9" spans="1:7">
      <c r="A9" s="220" t="s">
        <v>2298</v>
      </c>
      <c r="B9" s="220">
        <v>2055158</v>
      </c>
      <c r="C9" s="221" t="s">
        <v>1176</v>
      </c>
      <c r="D9" s="112">
        <v>9691</v>
      </c>
      <c r="E9" s="112">
        <v>11953</v>
      </c>
      <c r="F9" s="117" t="s">
        <v>2477</v>
      </c>
      <c r="G9" t="s">
        <v>1006</v>
      </c>
    </row>
    <row r="10" spans="1:7">
      <c r="A10" s="220" t="s">
        <v>2298</v>
      </c>
      <c r="B10" s="220">
        <v>2065987</v>
      </c>
      <c r="C10" s="221" t="s">
        <v>1176</v>
      </c>
      <c r="D10" s="112">
        <v>9691</v>
      </c>
      <c r="E10" s="112">
        <v>12051</v>
      </c>
      <c r="F10" s="117" t="s">
        <v>2477</v>
      </c>
    </row>
    <row r="11" spans="1:7">
      <c r="A11" s="220" t="s">
        <v>2298</v>
      </c>
      <c r="B11" s="220">
        <v>1992889</v>
      </c>
      <c r="C11" s="221" t="s">
        <v>1176</v>
      </c>
      <c r="D11" s="112">
        <v>9691</v>
      </c>
      <c r="E11" s="112">
        <v>11806</v>
      </c>
      <c r="F11" s="117" t="s">
        <v>2477</v>
      </c>
    </row>
    <row r="12" spans="1:7">
      <c r="A12" s="220" t="s">
        <v>2298</v>
      </c>
      <c r="B12" s="220">
        <v>2060694</v>
      </c>
      <c r="C12" s="221" t="s">
        <v>1176</v>
      </c>
      <c r="D12" s="112">
        <v>9852</v>
      </c>
      <c r="E12" s="112">
        <v>12002</v>
      </c>
      <c r="F12" s="117" t="s">
        <v>2477</v>
      </c>
    </row>
    <row r="13" spans="1:7">
      <c r="A13" s="220" t="s">
        <v>2298</v>
      </c>
      <c r="B13" s="220">
        <v>2078129</v>
      </c>
      <c r="C13" s="221" t="s">
        <v>1176</v>
      </c>
      <c r="D13" s="112">
        <v>9936</v>
      </c>
      <c r="E13" s="112">
        <v>12163</v>
      </c>
      <c r="F13" s="117" t="s">
        <v>2477</v>
      </c>
    </row>
    <row r="14" spans="1:7">
      <c r="A14" s="220" t="s">
        <v>2298</v>
      </c>
      <c r="B14" s="220">
        <v>2018608</v>
      </c>
      <c r="C14" s="221" t="s">
        <v>1176</v>
      </c>
      <c r="D14" s="112">
        <v>9966</v>
      </c>
      <c r="E14" s="112">
        <v>11616</v>
      </c>
      <c r="F14" s="117" t="s">
        <v>2477</v>
      </c>
    </row>
    <row r="15" spans="1:7">
      <c r="A15" s="220" t="s">
        <v>2298</v>
      </c>
      <c r="B15" s="220">
        <v>2017779</v>
      </c>
      <c r="C15" s="221" t="s">
        <v>1176</v>
      </c>
      <c r="D15" s="112">
        <v>9969</v>
      </c>
      <c r="E15" s="112">
        <v>11610</v>
      </c>
      <c r="F15" s="117" t="s">
        <v>2477</v>
      </c>
    </row>
    <row r="16" spans="1:7">
      <c r="A16" s="220" t="s">
        <v>2298</v>
      </c>
      <c r="B16" s="220">
        <v>2067324</v>
      </c>
      <c r="C16" s="221" t="s">
        <v>1176</v>
      </c>
      <c r="D16" s="112">
        <v>9978</v>
      </c>
      <c r="E16" s="112">
        <v>12065</v>
      </c>
      <c r="F16" s="117" t="s">
        <v>2477</v>
      </c>
    </row>
    <row r="17" spans="1:6">
      <c r="A17" s="220" t="s">
        <v>2298</v>
      </c>
      <c r="B17" s="220">
        <v>2067325</v>
      </c>
      <c r="C17" s="221" t="s">
        <v>1176</v>
      </c>
      <c r="D17" s="112">
        <v>9978</v>
      </c>
      <c r="E17" s="112">
        <v>12065</v>
      </c>
      <c r="F17" s="117" t="s">
        <v>2477</v>
      </c>
    </row>
    <row r="18" spans="1:6">
      <c r="A18" s="220" t="s">
        <v>2298</v>
      </c>
      <c r="B18" s="220">
        <v>2090454</v>
      </c>
      <c r="C18" s="221" t="s">
        <v>1176</v>
      </c>
      <c r="D18" s="112">
        <v>9985</v>
      </c>
      <c r="E18" s="112">
        <v>12282</v>
      </c>
      <c r="F18" s="117" t="s">
        <v>2477</v>
      </c>
    </row>
    <row r="19" spans="1:6">
      <c r="A19" s="220" t="s">
        <v>2298</v>
      </c>
      <c r="B19" s="220">
        <v>2005650</v>
      </c>
      <c r="C19" s="221" t="s">
        <v>1176</v>
      </c>
      <c r="D19" s="112">
        <v>10118</v>
      </c>
      <c r="E19" s="112">
        <v>11491</v>
      </c>
      <c r="F19" s="117" t="s">
        <v>2477</v>
      </c>
    </row>
    <row r="20" spans="1:6">
      <c r="A20" s="220" t="s">
        <v>2298</v>
      </c>
      <c r="B20" s="220">
        <v>2074256</v>
      </c>
      <c r="C20" s="221" t="s">
        <v>1176</v>
      </c>
      <c r="D20" s="112">
        <v>10118</v>
      </c>
      <c r="E20" s="112">
        <v>12128</v>
      </c>
      <c r="F20" s="117" t="s">
        <v>2477</v>
      </c>
    </row>
    <row r="21" spans="1:6" s="123" customFormat="1">
      <c r="A21" s="220" t="s">
        <v>2298</v>
      </c>
      <c r="B21" s="220">
        <v>2043163</v>
      </c>
      <c r="C21" s="221" t="s">
        <v>1176</v>
      </c>
      <c r="D21" s="112">
        <v>10140</v>
      </c>
      <c r="E21" s="112">
        <v>11841</v>
      </c>
      <c r="F21" s="123" t="s">
        <v>2477</v>
      </c>
    </row>
    <row r="22" spans="1:6">
      <c r="A22" s="220" t="s">
        <v>2298</v>
      </c>
      <c r="B22" s="220">
        <v>2062971</v>
      </c>
      <c r="C22" s="221" t="s">
        <v>1176</v>
      </c>
      <c r="D22" s="112">
        <v>10363</v>
      </c>
      <c r="E22" s="112">
        <v>12023</v>
      </c>
      <c r="F22" s="117" t="s">
        <v>2477</v>
      </c>
    </row>
    <row r="23" spans="1:6">
      <c r="A23" s="220" t="s">
        <v>2298</v>
      </c>
      <c r="B23" s="220">
        <v>2026353</v>
      </c>
      <c r="C23" s="221" t="s">
        <v>1176</v>
      </c>
      <c r="D23" s="112">
        <v>10387</v>
      </c>
      <c r="E23" s="112">
        <v>11687</v>
      </c>
      <c r="F23" s="117" t="s">
        <v>2477</v>
      </c>
    </row>
    <row r="24" spans="1:6" s="123" customFormat="1">
      <c r="A24" s="220" t="s">
        <v>2298</v>
      </c>
      <c r="B24" s="220">
        <v>2037592</v>
      </c>
      <c r="C24" s="221" t="s">
        <v>1176</v>
      </c>
      <c r="D24" s="112">
        <v>10780</v>
      </c>
      <c r="E24" s="112">
        <v>11792</v>
      </c>
      <c r="F24" s="123" t="s">
        <v>2477</v>
      </c>
    </row>
    <row r="25" spans="1:6">
      <c r="A25" s="220" t="s">
        <v>2298</v>
      </c>
      <c r="B25" s="220">
        <v>2061776</v>
      </c>
      <c r="C25" s="221" t="s">
        <v>1176</v>
      </c>
      <c r="D25" s="112">
        <v>10780</v>
      </c>
      <c r="E25" s="112">
        <v>12016</v>
      </c>
      <c r="F25" s="117" t="s">
        <v>2477</v>
      </c>
    </row>
    <row r="26" spans="1:6">
      <c r="A26" s="220" t="s">
        <v>2298</v>
      </c>
      <c r="B26" s="220">
        <v>2065984</v>
      </c>
      <c r="C26" s="221" t="s">
        <v>1176</v>
      </c>
      <c r="D26" s="112">
        <v>10780</v>
      </c>
      <c r="E26" s="112">
        <v>12051</v>
      </c>
      <c r="F26" s="117" t="s">
        <v>2477</v>
      </c>
    </row>
    <row r="27" spans="1:6">
      <c r="A27" s="220" t="s">
        <v>2298</v>
      </c>
      <c r="B27" s="220">
        <v>1993345</v>
      </c>
      <c r="C27" s="221" t="s">
        <v>1176</v>
      </c>
      <c r="D27" s="112">
        <v>10787</v>
      </c>
      <c r="E27" s="112">
        <v>11386</v>
      </c>
      <c r="F27" s="117" t="s">
        <v>2477</v>
      </c>
    </row>
    <row r="28" spans="1:6">
      <c r="A28" s="220" t="s">
        <v>2298</v>
      </c>
      <c r="B28" s="220">
        <v>2010200</v>
      </c>
      <c r="C28" s="221" t="s">
        <v>1176</v>
      </c>
      <c r="D28" s="112">
        <v>10836</v>
      </c>
      <c r="E28" s="112">
        <v>11540</v>
      </c>
      <c r="F28" s="117" t="s">
        <v>2477</v>
      </c>
    </row>
    <row r="29" spans="1:6">
      <c r="A29" s="220" t="s">
        <v>2298</v>
      </c>
      <c r="B29" s="220">
        <v>2020189</v>
      </c>
      <c r="C29" s="221" t="s">
        <v>1176</v>
      </c>
      <c r="D29" s="112">
        <v>10960</v>
      </c>
      <c r="E29" s="112">
        <v>11631</v>
      </c>
      <c r="F29" s="117" t="s">
        <v>2477</v>
      </c>
    </row>
    <row r="30" spans="1:6">
      <c r="A30" s="220" t="s">
        <v>2298</v>
      </c>
      <c r="B30" s="220">
        <v>2012892</v>
      </c>
      <c r="C30" s="221" t="s">
        <v>1176</v>
      </c>
      <c r="D30" s="112">
        <v>11059</v>
      </c>
      <c r="E30" s="112">
        <v>11561</v>
      </c>
      <c r="F30" s="117" t="s">
        <v>2477</v>
      </c>
    </row>
    <row r="31" spans="1:6">
      <c r="A31" s="220" t="s">
        <v>2298</v>
      </c>
      <c r="B31" s="220">
        <v>2057058</v>
      </c>
      <c r="C31" s="221" t="s">
        <v>1176</v>
      </c>
      <c r="D31" s="112">
        <v>11128</v>
      </c>
      <c r="E31" s="112">
        <v>11974</v>
      </c>
      <c r="F31" s="117" t="s">
        <v>2477</v>
      </c>
    </row>
    <row r="32" spans="1:6">
      <c r="A32" s="220" t="s">
        <v>2298</v>
      </c>
      <c r="B32" s="220">
        <v>2058973</v>
      </c>
      <c r="C32" s="221" t="s">
        <v>1176</v>
      </c>
      <c r="D32" s="112">
        <v>11179</v>
      </c>
      <c r="E32" s="112">
        <v>11988</v>
      </c>
      <c r="F32" s="117" t="s">
        <v>2477</v>
      </c>
    </row>
    <row r="33" spans="1:6">
      <c r="A33" s="220" t="s">
        <v>2298</v>
      </c>
      <c r="B33" s="220">
        <v>2120943</v>
      </c>
      <c r="C33" s="221" t="s">
        <v>1176</v>
      </c>
      <c r="D33" s="112">
        <v>11263</v>
      </c>
      <c r="E33" s="112">
        <v>12583</v>
      </c>
      <c r="F33" s="117" t="s">
        <v>2477</v>
      </c>
    </row>
    <row r="34" spans="1:6">
      <c r="A34" s="220" t="s">
        <v>2298</v>
      </c>
      <c r="B34" s="220">
        <v>1806240</v>
      </c>
      <c r="C34" s="221" t="s">
        <v>1176</v>
      </c>
      <c r="D34" s="112">
        <v>9071</v>
      </c>
      <c r="E34" s="112">
        <v>10000</v>
      </c>
      <c r="F34" s="117" t="s">
        <v>2299</v>
      </c>
    </row>
    <row r="35" spans="1:6">
      <c r="A35" s="220" t="s">
        <v>2298</v>
      </c>
      <c r="B35" s="220">
        <v>1992486</v>
      </c>
      <c r="C35" s="221" t="s">
        <v>1176</v>
      </c>
      <c r="D35" s="112">
        <v>10183</v>
      </c>
      <c r="E35" s="112">
        <v>11379</v>
      </c>
      <c r="F35" s="117" t="s">
        <v>2299</v>
      </c>
    </row>
    <row r="36" spans="1:6">
      <c r="A36" s="220" t="s">
        <v>2298</v>
      </c>
      <c r="B36" s="220">
        <v>2048656</v>
      </c>
      <c r="C36" s="221" t="s">
        <v>1176</v>
      </c>
      <c r="D36" s="112">
        <v>10183</v>
      </c>
      <c r="E36" s="112">
        <v>11890</v>
      </c>
      <c r="F36" s="117" t="s">
        <v>2299</v>
      </c>
    </row>
    <row r="37" spans="1:6">
      <c r="A37" s="220" t="s">
        <v>2298</v>
      </c>
      <c r="B37" s="220">
        <v>2012587</v>
      </c>
      <c r="C37" s="221" t="s">
        <v>1176</v>
      </c>
      <c r="D37" s="112">
        <v>10312</v>
      </c>
      <c r="E37" s="112">
        <v>11561</v>
      </c>
      <c r="F37" s="117" t="s">
        <v>2299</v>
      </c>
    </row>
    <row r="38" spans="1:6">
      <c r="A38" s="220" t="s">
        <v>2298</v>
      </c>
      <c r="B38" s="220">
        <v>2117025</v>
      </c>
      <c r="C38" s="221" t="s">
        <v>1176</v>
      </c>
      <c r="D38" s="112">
        <v>10828</v>
      </c>
      <c r="E38" s="112">
        <v>12548</v>
      </c>
      <c r="F38" s="117" t="s">
        <v>2299</v>
      </c>
    </row>
    <row r="39" spans="1:6">
      <c r="A39" s="220" t="s">
        <v>2298</v>
      </c>
      <c r="B39" s="220">
        <v>2041659</v>
      </c>
      <c r="C39" s="221" t="s">
        <v>1176</v>
      </c>
      <c r="D39" s="112">
        <v>11102</v>
      </c>
      <c r="E39" s="112">
        <v>11827</v>
      </c>
      <c r="F39" s="117" t="s">
        <v>2299</v>
      </c>
    </row>
    <row r="40" spans="1:6">
      <c r="A40" s="42" t="s">
        <v>2298</v>
      </c>
      <c r="B40" s="42">
        <v>2026799</v>
      </c>
      <c r="C40" s="151" t="s">
        <v>1176</v>
      </c>
      <c r="D40" s="112">
        <v>11379</v>
      </c>
      <c r="E40" s="112">
        <v>11694</v>
      </c>
      <c r="F40" s="117" t="s">
        <v>2458</v>
      </c>
    </row>
    <row r="41" spans="1:6">
      <c r="A41" s="42" t="s">
        <v>2298</v>
      </c>
      <c r="B41" s="42">
        <v>2224004</v>
      </c>
      <c r="C41" s="151" t="s">
        <v>1176</v>
      </c>
      <c r="D41" s="112">
        <v>11550</v>
      </c>
      <c r="E41" s="112">
        <v>13486</v>
      </c>
      <c r="F41" s="117" t="s">
        <v>2458</v>
      </c>
    </row>
    <row r="42" spans="1:6">
      <c r="A42" s="42" t="s">
        <v>2298</v>
      </c>
      <c r="B42" s="42">
        <v>2145096</v>
      </c>
      <c r="C42" s="151" t="s">
        <v>1176</v>
      </c>
      <c r="D42" s="112">
        <v>11721</v>
      </c>
      <c r="E42" s="112">
        <v>12807</v>
      </c>
      <c r="F42" s="117" t="s">
        <v>2477</v>
      </c>
    </row>
    <row r="43" spans="1:6">
      <c r="A43" s="42" t="s">
        <v>2298</v>
      </c>
      <c r="B43" s="42">
        <v>2065985</v>
      </c>
      <c r="C43" s="151" t="s">
        <v>1176</v>
      </c>
      <c r="D43" s="112">
        <v>11872</v>
      </c>
      <c r="E43" s="112">
        <v>12051</v>
      </c>
      <c r="F43" s="117" t="s">
        <v>2477</v>
      </c>
    </row>
    <row r="44" spans="1:6">
      <c r="A44" s="42" t="s">
        <v>2298</v>
      </c>
      <c r="B44" s="42">
        <v>2065986</v>
      </c>
      <c r="C44" s="151" t="s">
        <v>1176</v>
      </c>
      <c r="D44" s="112">
        <v>11872</v>
      </c>
      <c r="E44" s="112">
        <v>12051</v>
      </c>
      <c r="F44" s="117" t="s">
        <v>2477</v>
      </c>
    </row>
    <row r="45" spans="1:6">
      <c r="A45" s="42" t="s">
        <v>2298</v>
      </c>
      <c r="B45" s="42">
        <v>2205793</v>
      </c>
      <c r="C45" s="151" t="s">
        <v>1176</v>
      </c>
      <c r="D45" s="112">
        <v>11910</v>
      </c>
      <c r="E45" s="112">
        <v>13325</v>
      </c>
      <c r="F45" s="117" t="s">
        <v>2299</v>
      </c>
    </row>
    <row r="46" spans="1:6">
      <c r="A46" s="42" t="s">
        <v>2298</v>
      </c>
      <c r="B46" s="42">
        <v>2296349</v>
      </c>
      <c r="C46" s="151" t="s">
        <v>1176</v>
      </c>
      <c r="D46" s="112">
        <v>12540</v>
      </c>
      <c r="E46" s="112">
        <v>14144</v>
      </c>
      <c r="F46" s="117" t="s">
        <v>2299</v>
      </c>
    </row>
    <row r="47" spans="1:6">
      <c r="A47" s="42" t="s">
        <v>2298</v>
      </c>
      <c r="B47" s="42">
        <v>2221077</v>
      </c>
      <c r="C47" s="151" t="s">
        <v>1176</v>
      </c>
      <c r="D47" s="112">
        <v>12710</v>
      </c>
      <c r="E47" s="112">
        <v>13465</v>
      </c>
      <c r="F47" s="117" t="s">
        <v>2458</v>
      </c>
    </row>
    <row r="48" spans="1:6">
      <c r="A48" s="42" t="s">
        <v>2298</v>
      </c>
      <c r="B48" s="42">
        <v>2291287</v>
      </c>
      <c r="C48" s="151" t="s">
        <v>1176</v>
      </c>
      <c r="D48" s="112">
        <v>13005</v>
      </c>
      <c r="E48" s="112">
        <v>14088</v>
      </c>
      <c r="F48" s="117" t="s">
        <v>2458</v>
      </c>
    </row>
    <row r="49" spans="1:7">
      <c r="A49" s="42" t="s">
        <v>2298</v>
      </c>
      <c r="B49" s="42">
        <v>2291288</v>
      </c>
      <c r="C49" s="151" t="s">
        <v>1176</v>
      </c>
      <c r="D49" s="112">
        <v>13005</v>
      </c>
      <c r="E49" s="112">
        <v>14088</v>
      </c>
      <c r="F49" s="117" t="s">
        <v>2458</v>
      </c>
    </row>
    <row r="50" spans="1:7">
      <c r="A50" s="42" t="s">
        <v>2298</v>
      </c>
      <c r="B50" s="42">
        <v>2253880</v>
      </c>
      <c r="C50" s="151" t="s">
        <v>1176</v>
      </c>
      <c r="D50" s="112">
        <v>13752</v>
      </c>
      <c r="E50" s="112">
        <v>13752</v>
      </c>
      <c r="F50" s="117" t="s">
        <v>2477</v>
      </c>
    </row>
    <row r="51" spans="1:7">
      <c r="A51" s="42" t="s">
        <v>2298</v>
      </c>
      <c r="B51" s="42">
        <v>2325045</v>
      </c>
      <c r="C51" s="151" t="s">
        <v>1176</v>
      </c>
      <c r="D51" s="112">
        <v>13816</v>
      </c>
      <c r="E51" s="112">
        <v>14452</v>
      </c>
      <c r="F51" s="117" t="s">
        <v>2458</v>
      </c>
    </row>
    <row r="52" spans="1:7">
      <c r="A52" s="42" t="s">
        <v>2298</v>
      </c>
      <c r="B52" s="42">
        <v>2341697</v>
      </c>
      <c r="C52" s="151" t="s">
        <v>1176</v>
      </c>
      <c r="D52" s="112">
        <v>13816</v>
      </c>
      <c r="E52" s="112">
        <v>14655</v>
      </c>
      <c r="F52" s="117" t="s">
        <v>2458</v>
      </c>
    </row>
    <row r="53" spans="1:7">
      <c r="A53" s="42" t="s">
        <v>874</v>
      </c>
      <c r="B53" s="42">
        <v>2341698</v>
      </c>
      <c r="C53" s="151" t="s">
        <v>1176</v>
      </c>
      <c r="D53" s="112">
        <v>13856</v>
      </c>
      <c r="E53" s="112">
        <v>14655</v>
      </c>
      <c r="F53" s="117" t="s">
        <v>1003</v>
      </c>
    </row>
    <row r="54" spans="1:7">
      <c r="A54" s="42" t="s">
        <v>2298</v>
      </c>
      <c r="B54" s="42">
        <v>2464089</v>
      </c>
      <c r="C54" s="151" t="s">
        <v>1176</v>
      </c>
      <c r="D54" s="112">
        <v>14894</v>
      </c>
      <c r="E54" s="112">
        <v>16503</v>
      </c>
      <c r="F54" s="117" t="s">
        <v>2477</v>
      </c>
    </row>
    <row r="55" spans="1:7">
      <c r="A55" s="42" t="s">
        <v>2298</v>
      </c>
      <c r="B55" s="42">
        <v>2550196</v>
      </c>
      <c r="C55" s="151" t="s">
        <v>1176</v>
      </c>
      <c r="D55" s="112">
        <v>14894</v>
      </c>
      <c r="E55" s="112">
        <v>17280</v>
      </c>
      <c r="F55" s="117" t="s">
        <v>2477</v>
      </c>
    </row>
    <row r="56" spans="1:7">
      <c r="A56" s="42" t="s">
        <v>2298</v>
      </c>
      <c r="B56" s="42">
        <v>2507996</v>
      </c>
      <c r="C56" s="151" t="s">
        <v>1176</v>
      </c>
      <c r="D56" s="112">
        <v>15326</v>
      </c>
      <c r="E56" s="112">
        <v>16937</v>
      </c>
      <c r="F56" s="117" t="s">
        <v>2459</v>
      </c>
      <c r="G56" s="123"/>
    </row>
    <row r="57" spans="1:7">
      <c r="A57" s="42" t="s">
        <v>2298</v>
      </c>
      <c r="B57" s="42">
        <v>2590542</v>
      </c>
      <c r="C57" s="151" t="s">
        <v>1176</v>
      </c>
      <c r="D57" s="112">
        <v>15837</v>
      </c>
      <c r="E57" s="112">
        <v>17616</v>
      </c>
      <c r="F57" s="117" t="s">
        <v>2477</v>
      </c>
      <c r="G57" t="s">
        <v>1007</v>
      </c>
    </row>
    <row r="58" spans="1:7">
      <c r="A58" s="42" t="s">
        <v>2298</v>
      </c>
      <c r="B58" s="42">
        <v>2585288</v>
      </c>
      <c r="C58" s="151" t="s">
        <v>1176</v>
      </c>
      <c r="D58" s="112">
        <v>15980</v>
      </c>
      <c r="E58" s="112">
        <v>17574</v>
      </c>
      <c r="F58" s="117" t="s">
        <v>2458</v>
      </c>
    </row>
    <row r="59" spans="1:7">
      <c r="A59" s="42" t="s">
        <v>1004</v>
      </c>
      <c r="B59" s="42">
        <v>2593530</v>
      </c>
      <c r="C59" s="151" t="s">
        <v>1176</v>
      </c>
      <c r="D59" s="112">
        <v>16050</v>
      </c>
      <c r="E59" s="112">
        <v>17644</v>
      </c>
      <c r="F59" s="117" t="s">
        <v>1003</v>
      </c>
      <c r="G59" s="123" t="s">
        <v>1005</v>
      </c>
    </row>
    <row r="60" spans="1:7">
      <c r="A60" s="42" t="s">
        <v>2298</v>
      </c>
      <c r="B60" s="42">
        <v>2534597</v>
      </c>
      <c r="C60" s="151" t="s">
        <v>1176</v>
      </c>
      <c r="D60" s="112">
        <v>16139</v>
      </c>
      <c r="E60" s="112">
        <v>17154</v>
      </c>
      <c r="F60" s="117" t="s">
        <v>2458</v>
      </c>
    </row>
    <row r="63" spans="1:7">
      <c r="A63" s="126" t="s">
        <v>2196</v>
      </c>
    </row>
    <row r="64" spans="1:7">
      <c r="A64" s="127" t="s">
        <v>77</v>
      </c>
    </row>
    <row r="65" spans="1:5">
      <c r="A65" s="125"/>
    </row>
    <row r="66" spans="1:5">
      <c r="A66" s="42" t="s">
        <v>1329</v>
      </c>
    </row>
    <row r="67" spans="1:5">
      <c r="A67" s="42" t="s">
        <v>2769</v>
      </c>
    </row>
    <row r="68" spans="1:5">
      <c r="A68" s="42" t="s">
        <v>3971</v>
      </c>
    </row>
    <row r="69" spans="1:5">
      <c r="A69" s="42" t="s">
        <v>3970</v>
      </c>
    </row>
    <row r="70" spans="1:5">
      <c r="A70" s="42" t="s">
        <v>3967</v>
      </c>
    </row>
    <row r="71" spans="1:5">
      <c r="A71" s="42" t="s">
        <v>3968</v>
      </c>
    </row>
    <row r="72" spans="1:5">
      <c r="A72" s="42" t="s">
        <v>3969</v>
      </c>
    </row>
    <row r="73" spans="1:5">
      <c r="A73" s="42" t="s">
        <v>171</v>
      </c>
    </row>
    <row r="74" spans="1:5">
      <c r="A74" s="42" t="s">
        <v>1378</v>
      </c>
    </row>
    <row r="75" spans="1:5">
      <c r="A75" s="42" t="s">
        <v>177</v>
      </c>
    </row>
    <row r="76" spans="1:5">
      <c r="A76" s="42" t="s">
        <v>76</v>
      </c>
    </row>
    <row r="77" spans="1:5" s="203" customFormat="1">
      <c r="A77" s="42" t="s">
        <v>263</v>
      </c>
      <c r="B77" s="42"/>
      <c r="C77" s="42"/>
      <c r="D77" s="42"/>
      <c r="E77" s="42"/>
    </row>
    <row r="79" spans="1:5">
      <c r="A79" s="126" t="s">
        <v>1407</v>
      </c>
    </row>
    <row r="80" spans="1:5">
      <c r="A80" s="42" t="s">
        <v>1372</v>
      </c>
    </row>
    <row r="81" spans="1:3">
      <c r="A81" s="42" t="s">
        <v>2770</v>
      </c>
    </row>
    <row r="83" spans="1:3">
      <c r="A83" s="126" t="s">
        <v>1411</v>
      </c>
    </row>
    <row r="84" spans="1:3">
      <c r="A84" s="42" t="s">
        <v>1373</v>
      </c>
      <c r="B84" s="43" t="s">
        <v>1374</v>
      </c>
      <c r="C84" s="43"/>
    </row>
    <row r="85" spans="1:3">
      <c r="A85" s="42" t="s">
        <v>20</v>
      </c>
      <c r="B85" s="42" t="s">
        <v>1374</v>
      </c>
    </row>
    <row r="86" spans="1:3">
      <c r="A86" s="42" t="s">
        <v>1340</v>
      </c>
      <c r="B86" s="42" t="s">
        <v>1341</v>
      </c>
    </row>
    <row r="87" spans="1:3">
      <c r="A87" s="42" t="s">
        <v>18</v>
      </c>
      <c r="B87" s="42" t="s">
        <v>19</v>
      </c>
    </row>
  </sheetData>
  <sheetCalcPr fullCalcOnLoad="1"/>
  <sortState ref="A3:F39">
    <sortCondition ref="F3:F39"/>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249"/>
  <sheetViews>
    <sheetView workbookViewId="0">
      <selection activeCell="A250" sqref="A250"/>
    </sheetView>
  </sheetViews>
  <sheetFormatPr baseColWidth="10" defaultRowHeight="13"/>
  <cols>
    <col min="1" max="2" width="10.7109375" style="127"/>
    <col min="3" max="3" width="8.7109375" style="127" customWidth="1"/>
    <col min="4" max="6" width="10.7109375" style="127"/>
    <col min="7" max="16384" width="10.7109375" style="83"/>
  </cols>
  <sheetData>
    <row r="1" spans="1:12" ht="52">
      <c r="A1" s="100" t="s">
        <v>1869</v>
      </c>
      <c r="B1" s="100" t="s">
        <v>1890</v>
      </c>
      <c r="C1" s="237" t="s">
        <v>591</v>
      </c>
      <c r="D1" s="100" t="s">
        <v>820</v>
      </c>
      <c r="E1" s="100" t="s">
        <v>1891</v>
      </c>
      <c r="F1" s="100" t="s">
        <v>807</v>
      </c>
      <c r="G1" s="201" t="s">
        <v>1892</v>
      </c>
      <c r="H1" s="82" t="s">
        <v>808</v>
      </c>
      <c r="I1" s="82" t="s">
        <v>809</v>
      </c>
      <c r="J1" s="82" t="s">
        <v>810</v>
      </c>
      <c r="K1" s="82" t="s">
        <v>756</v>
      </c>
      <c r="L1" s="158" t="s">
        <v>757</v>
      </c>
    </row>
    <row r="2" spans="1:12">
      <c r="A2" s="212" t="s">
        <v>423</v>
      </c>
      <c r="B2" s="100"/>
      <c r="C2" s="100"/>
      <c r="D2" s="100"/>
      <c r="E2" s="100"/>
    </row>
    <row r="3" spans="1:12" s="123" customFormat="1">
      <c r="A3" s="220" t="s">
        <v>629</v>
      </c>
      <c r="B3" s="220">
        <v>2092095</v>
      </c>
      <c r="C3" s="221" t="s">
        <v>103</v>
      </c>
      <c r="D3" s="42" t="s">
        <v>136</v>
      </c>
      <c r="E3" s="181">
        <v>7118</v>
      </c>
      <c r="F3" s="112">
        <v>11274</v>
      </c>
      <c r="G3" s="159">
        <v>12303</v>
      </c>
      <c r="H3" s="123" t="s">
        <v>495</v>
      </c>
      <c r="I3" s="123" t="s">
        <v>137</v>
      </c>
      <c r="J3" s="207" t="s">
        <v>113</v>
      </c>
      <c r="K3" s="159">
        <v>9294</v>
      </c>
    </row>
    <row r="4" spans="1:12" s="123" customFormat="1">
      <c r="A4" s="220" t="s">
        <v>629</v>
      </c>
      <c r="B4" s="220">
        <v>2103794</v>
      </c>
      <c r="C4" s="221" t="s">
        <v>103</v>
      </c>
      <c r="D4" s="42"/>
      <c r="E4" s="181">
        <v>9076</v>
      </c>
      <c r="F4" s="42"/>
      <c r="G4" s="159">
        <v>12415</v>
      </c>
      <c r="H4" s="123" t="s">
        <v>495</v>
      </c>
      <c r="I4" s="207" t="s">
        <v>140</v>
      </c>
      <c r="J4" s="123" t="s">
        <v>113</v>
      </c>
      <c r="K4" s="159">
        <v>8713</v>
      </c>
    </row>
    <row r="5" spans="1:12" s="123" customFormat="1">
      <c r="A5" s="220" t="s">
        <v>629</v>
      </c>
      <c r="B5" s="220">
        <v>2036223</v>
      </c>
      <c r="C5" s="221" t="s">
        <v>103</v>
      </c>
      <c r="D5" s="42"/>
      <c r="E5" s="181">
        <v>9953</v>
      </c>
      <c r="F5" s="42"/>
      <c r="G5" s="159">
        <v>11785</v>
      </c>
      <c r="H5" s="123" t="s">
        <v>495</v>
      </c>
      <c r="I5" s="123" t="s">
        <v>375</v>
      </c>
      <c r="J5" s="123" t="s">
        <v>845</v>
      </c>
      <c r="K5" s="159">
        <v>9660</v>
      </c>
    </row>
    <row r="6" spans="1:12" s="123" customFormat="1">
      <c r="A6" s="220" t="s">
        <v>629</v>
      </c>
      <c r="B6" s="220">
        <v>2039071</v>
      </c>
      <c r="C6" s="221" t="s">
        <v>103</v>
      </c>
      <c r="D6" s="42"/>
      <c r="E6" s="181">
        <v>10133</v>
      </c>
      <c r="F6" s="42"/>
      <c r="G6" s="159">
        <v>11806</v>
      </c>
      <c r="H6" s="123" t="s">
        <v>495</v>
      </c>
      <c r="I6" s="123" t="s">
        <v>377</v>
      </c>
      <c r="J6" s="123" t="s">
        <v>845</v>
      </c>
      <c r="K6" s="159">
        <v>9771</v>
      </c>
    </row>
    <row r="7" spans="1:12" s="123" customFormat="1">
      <c r="A7" s="220" t="s">
        <v>629</v>
      </c>
      <c r="B7" s="220">
        <v>2162533</v>
      </c>
      <c r="C7" s="221" t="s">
        <v>103</v>
      </c>
      <c r="D7" s="42"/>
      <c r="E7" s="181">
        <v>10211</v>
      </c>
      <c r="F7" s="42"/>
      <c r="G7" s="159">
        <v>9847</v>
      </c>
      <c r="H7" s="123" t="s">
        <v>495</v>
      </c>
      <c r="I7" s="123" t="s">
        <v>371</v>
      </c>
      <c r="J7" s="123" t="s">
        <v>845</v>
      </c>
      <c r="K7" s="159">
        <v>9847</v>
      </c>
    </row>
    <row r="8" spans="1:12" s="123" customFormat="1">
      <c r="A8" s="220" t="s">
        <v>629</v>
      </c>
      <c r="B8" s="220">
        <v>2061301</v>
      </c>
      <c r="C8" s="221" t="s">
        <v>103</v>
      </c>
      <c r="D8" s="42"/>
      <c r="E8" s="181">
        <v>10372</v>
      </c>
      <c r="F8" s="42"/>
      <c r="G8" s="159">
        <v>12009</v>
      </c>
      <c r="H8" s="123" t="s">
        <v>495</v>
      </c>
      <c r="I8" s="123" t="s">
        <v>377</v>
      </c>
      <c r="J8" s="123" t="s">
        <v>845</v>
      </c>
      <c r="K8" s="159">
        <v>10008</v>
      </c>
    </row>
    <row r="9" spans="1:12" s="123" customFormat="1">
      <c r="A9" s="220" t="s">
        <v>629</v>
      </c>
      <c r="B9" s="220">
        <v>2068402</v>
      </c>
      <c r="C9" s="221" t="s">
        <v>103</v>
      </c>
      <c r="D9" s="42"/>
      <c r="E9" s="181">
        <v>10372</v>
      </c>
      <c r="F9" s="42"/>
      <c r="G9" s="159">
        <v>12072</v>
      </c>
      <c r="H9" s="123" t="s">
        <v>495</v>
      </c>
      <c r="I9" s="123" t="s">
        <v>104</v>
      </c>
      <c r="J9" s="123" t="s">
        <v>845</v>
      </c>
      <c r="K9" s="159">
        <v>10016</v>
      </c>
    </row>
    <row r="10" spans="1:12" s="123" customFormat="1">
      <c r="A10" s="220" t="s">
        <v>629</v>
      </c>
      <c r="B10" s="220">
        <v>2044133</v>
      </c>
      <c r="C10" s="221" t="s">
        <v>103</v>
      </c>
      <c r="D10" s="42"/>
      <c r="E10" s="181">
        <v>10514</v>
      </c>
      <c r="F10" s="42"/>
      <c r="G10" s="159">
        <v>11855</v>
      </c>
      <c r="H10" s="123" t="s">
        <v>495</v>
      </c>
      <c r="I10" s="123" t="s">
        <v>503</v>
      </c>
      <c r="J10" s="123" t="s">
        <v>845</v>
      </c>
      <c r="K10" s="159">
        <v>10151</v>
      </c>
    </row>
    <row r="11" spans="1:12" s="123" customFormat="1">
      <c r="A11" s="220" t="s">
        <v>629</v>
      </c>
      <c r="B11" s="220">
        <v>2094379</v>
      </c>
      <c r="C11" s="221" t="s">
        <v>103</v>
      </c>
      <c r="D11" s="42"/>
      <c r="E11" s="181">
        <v>10617</v>
      </c>
      <c r="F11" s="112"/>
      <c r="G11" s="159">
        <v>12324</v>
      </c>
      <c r="H11" s="123" t="s">
        <v>495</v>
      </c>
      <c r="I11" s="123" t="s">
        <v>218</v>
      </c>
      <c r="J11" s="123" t="s">
        <v>113</v>
      </c>
      <c r="K11" s="159">
        <v>10266</v>
      </c>
    </row>
    <row r="12" spans="1:12" s="123" customFormat="1">
      <c r="A12" s="220" t="s">
        <v>629</v>
      </c>
      <c r="B12" s="220">
        <v>2030127</v>
      </c>
      <c r="C12" s="221" t="s">
        <v>103</v>
      </c>
      <c r="D12" s="42"/>
      <c r="E12" s="181">
        <v>10683</v>
      </c>
      <c r="F12" s="42"/>
      <c r="G12" s="159">
        <v>11729</v>
      </c>
      <c r="H12" s="123" t="s">
        <v>495</v>
      </c>
      <c r="I12" s="42" t="s">
        <v>371</v>
      </c>
      <c r="J12" s="123" t="s">
        <v>845</v>
      </c>
      <c r="K12" s="159">
        <v>10323</v>
      </c>
    </row>
    <row r="13" spans="1:12" s="123" customFormat="1">
      <c r="A13" s="220" t="s">
        <v>629</v>
      </c>
      <c r="B13" s="220">
        <v>2162534</v>
      </c>
      <c r="C13" s="221" t="s">
        <v>103</v>
      </c>
      <c r="D13" s="42"/>
      <c r="E13" s="181">
        <v>10683</v>
      </c>
      <c r="F13" s="42"/>
      <c r="G13" s="159">
        <v>12947</v>
      </c>
      <c r="H13" s="123" t="s">
        <v>495</v>
      </c>
      <c r="I13" s="123" t="s">
        <v>221</v>
      </c>
      <c r="J13" s="123" t="s">
        <v>845</v>
      </c>
      <c r="K13" s="159">
        <v>10318</v>
      </c>
    </row>
    <row r="14" spans="1:12" s="123" customFormat="1">
      <c r="A14" s="220" t="s">
        <v>629</v>
      </c>
      <c r="B14" s="220">
        <v>2068422</v>
      </c>
      <c r="C14" s="221" t="s">
        <v>103</v>
      </c>
      <c r="D14" s="42"/>
      <c r="E14" s="181">
        <v>10736</v>
      </c>
      <c r="F14" s="42"/>
      <c r="G14" s="159">
        <v>12072</v>
      </c>
      <c r="H14" s="207" t="s">
        <v>495</v>
      </c>
      <c r="I14" s="207" t="s">
        <v>105</v>
      </c>
      <c r="J14" s="123" t="s">
        <v>845</v>
      </c>
      <c r="K14" s="159">
        <v>10371</v>
      </c>
    </row>
    <row r="15" spans="1:12" s="123" customFormat="1">
      <c r="A15" s="220" t="s">
        <v>629</v>
      </c>
      <c r="B15" s="220">
        <v>2261678</v>
      </c>
      <c r="C15" s="221" t="s">
        <v>103</v>
      </c>
      <c r="D15" s="42"/>
      <c r="E15" s="181">
        <v>10739</v>
      </c>
      <c r="F15" s="42"/>
      <c r="G15" s="159">
        <v>13822</v>
      </c>
      <c r="H15" s="123" t="s">
        <v>495</v>
      </c>
      <c r="I15" s="123" t="s">
        <v>139</v>
      </c>
      <c r="J15" s="123" t="s">
        <v>845</v>
      </c>
      <c r="K15" s="159">
        <v>12221</v>
      </c>
    </row>
    <row r="16" spans="1:12" s="123" customFormat="1">
      <c r="A16" s="220" t="s">
        <v>629</v>
      </c>
      <c r="B16" s="220">
        <v>2130896</v>
      </c>
      <c r="C16" s="221" t="s">
        <v>103</v>
      </c>
      <c r="D16" s="42"/>
      <c r="E16" s="181">
        <v>10809</v>
      </c>
      <c r="F16" s="42"/>
      <c r="G16" s="159">
        <v>12681</v>
      </c>
      <c r="H16" s="123" t="s">
        <v>495</v>
      </c>
      <c r="I16" s="123" t="s">
        <v>109</v>
      </c>
      <c r="J16" s="123" t="s">
        <v>845</v>
      </c>
      <c r="K16" s="159">
        <v>10447</v>
      </c>
    </row>
    <row r="17" spans="1:12" s="123" customFormat="1">
      <c r="A17" s="220" t="s">
        <v>629</v>
      </c>
      <c r="B17" s="220">
        <v>2078691</v>
      </c>
      <c r="C17" s="221" t="s">
        <v>103</v>
      </c>
      <c r="D17" s="42"/>
      <c r="E17" s="181">
        <v>10834</v>
      </c>
      <c r="F17" s="42"/>
      <c r="G17" s="159">
        <v>12170</v>
      </c>
      <c r="H17" s="123" t="s">
        <v>495</v>
      </c>
      <c r="I17" s="123" t="s">
        <v>215</v>
      </c>
      <c r="J17" s="123" t="s">
        <v>113</v>
      </c>
      <c r="K17" s="159">
        <v>10469</v>
      </c>
    </row>
    <row r="18" spans="1:12" s="123" customFormat="1">
      <c r="A18" s="220" t="s">
        <v>629</v>
      </c>
      <c r="B18" s="220">
        <v>2042183</v>
      </c>
      <c r="C18" s="221" t="s">
        <v>103</v>
      </c>
      <c r="D18" s="42"/>
      <c r="E18" s="181">
        <v>10837</v>
      </c>
      <c r="F18" s="42"/>
      <c r="G18" s="159">
        <v>11834</v>
      </c>
      <c r="H18" s="123" t="s">
        <v>495</v>
      </c>
      <c r="I18" s="123" t="s">
        <v>158</v>
      </c>
      <c r="J18" s="123" t="s">
        <v>845</v>
      </c>
      <c r="K18" s="159">
        <v>10476</v>
      </c>
    </row>
    <row r="19" spans="1:12" s="123" customFormat="1">
      <c r="A19" s="220" t="s">
        <v>629</v>
      </c>
      <c r="B19" s="220">
        <v>2032137</v>
      </c>
      <c r="C19" s="221" t="s">
        <v>103</v>
      </c>
      <c r="D19" s="42"/>
      <c r="E19" s="181">
        <v>10891</v>
      </c>
      <c r="F19" s="42"/>
      <c r="G19" s="159">
        <v>11743</v>
      </c>
      <c r="H19" s="123" t="s">
        <v>495</v>
      </c>
      <c r="I19" s="123" t="s">
        <v>158</v>
      </c>
      <c r="J19" s="123" t="s">
        <v>845</v>
      </c>
      <c r="K19" s="159">
        <v>10527</v>
      </c>
    </row>
    <row r="20" spans="1:12" s="123" customFormat="1">
      <c r="A20" s="220" t="s">
        <v>629</v>
      </c>
      <c r="B20" s="220">
        <v>2061945</v>
      </c>
      <c r="C20" s="221" t="s">
        <v>103</v>
      </c>
      <c r="D20" s="42" t="s">
        <v>102</v>
      </c>
      <c r="E20" s="181">
        <v>10980</v>
      </c>
      <c r="F20" s="112">
        <v>12460</v>
      </c>
      <c r="G20" s="159">
        <v>12786</v>
      </c>
      <c r="H20" s="46" t="s">
        <v>495</v>
      </c>
      <c r="I20" s="46" t="s">
        <v>378</v>
      </c>
      <c r="J20" s="123" t="s">
        <v>845</v>
      </c>
      <c r="K20" s="159">
        <v>10615</v>
      </c>
    </row>
    <row r="21" spans="1:12" s="123" customFormat="1">
      <c r="A21" s="220" t="s">
        <v>629</v>
      </c>
      <c r="B21" s="220">
        <v>2080612</v>
      </c>
      <c r="C21" s="221" t="s">
        <v>103</v>
      </c>
      <c r="D21" s="42"/>
      <c r="E21" s="181">
        <v>10990</v>
      </c>
      <c r="F21" s="42"/>
      <c r="G21" s="159">
        <v>12191</v>
      </c>
      <c r="H21" s="123" t="s">
        <v>495</v>
      </c>
      <c r="I21" s="123" t="s">
        <v>216</v>
      </c>
      <c r="J21" s="123" t="s">
        <v>113</v>
      </c>
      <c r="K21" s="159">
        <v>10626</v>
      </c>
    </row>
    <row r="22" spans="1:12" s="123" customFormat="1">
      <c r="A22" s="220" t="s">
        <v>629</v>
      </c>
      <c r="B22" s="220">
        <v>2134593</v>
      </c>
      <c r="C22" s="221" t="s">
        <v>103</v>
      </c>
      <c r="D22" s="42"/>
      <c r="E22" s="181">
        <v>11009</v>
      </c>
      <c r="F22" s="42"/>
      <c r="G22" s="159">
        <v>12716</v>
      </c>
      <c r="H22" s="123" t="s">
        <v>495</v>
      </c>
      <c r="I22" s="123" t="s">
        <v>504</v>
      </c>
      <c r="J22" s="123" t="s">
        <v>845</v>
      </c>
      <c r="K22" s="159">
        <v>10648</v>
      </c>
    </row>
    <row r="23" spans="1:12" s="123" customFormat="1">
      <c r="A23" s="220" t="s">
        <v>629</v>
      </c>
      <c r="B23" s="220">
        <v>2044142</v>
      </c>
      <c r="C23" s="221" t="s">
        <v>103</v>
      </c>
      <c r="D23" s="42"/>
      <c r="E23" s="181">
        <v>11011</v>
      </c>
      <c r="F23" s="42"/>
      <c r="G23" s="159">
        <v>11855</v>
      </c>
      <c r="H23" s="123" t="s">
        <v>495</v>
      </c>
      <c r="I23" s="123" t="s">
        <v>504</v>
      </c>
      <c r="J23" s="123" t="s">
        <v>845</v>
      </c>
      <c r="K23" s="159">
        <v>12474</v>
      </c>
    </row>
    <row r="24" spans="1:12" s="123" customFormat="1">
      <c r="A24" s="220" t="s">
        <v>629</v>
      </c>
      <c r="B24" s="220">
        <v>2066938</v>
      </c>
      <c r="C24" s="221" t="s">
        <v>103</v>
      </c>
      <c r="D24" s="42"/>
      <c r="E24" s="181">
        <v>11019</v>
      </c>
      <c r="F24" s="42"/>
      <c r="G24" s="159">
        <v>12058</v>
      </c>
      <c r="H24" s="123" t="s">
        <v>495</v>
      </c>
      <c r="I24" s="123" t="s">
        <v>507</v>
      </c>
      <c r="J24" s="123" t="s">
        <v>845</v>
      </c>
      <c r="K24" s="159">
        <v>10657</v>
      </c>
    </row>
    <row r="25" spans="1:12" s="123" customFormat="1">
      <c r="A25" s="220" t="s">
        <v>629</v>
      </c>
      <c r="B25" s="220">
        <v>2036307</v>
      </c>
      <c r="C25" s="221" t="s">
        <v>103</v>
      </c>
      <c r="D25" s="42"/>
      <c r="E25" s="181">
        <v>11081</v>
      </c>
      <c r="F25" s="42"/>
      <c r="G25" s="159">
        <v>11785</v>
      </c>
      <c r="H25" s="123" t="s">
        <v>495</v>
      </c>
      <c r="I25" s="123" t="s">
        <v>376</v>
      </c>
      <c r="J25" s="123" t="s">
        <v>845</v>
      </c>
      <c r="K25" s="159">
        <v>10724</v>
      </c>
    </row>
    <row r="26" spans="1:12" s="123" customFormat="1">
      <c r="A26" s="220" t="s">
        <v>629</v>
      </c>
      <c r="B26" s="220">
        <v>2095772</v>
      </c>
      <c r="C26" s="221" t="s">
        <v>103</v>
      </c>
      <c r="D26" s="42"/>
      <c r="E26" s="181">
        <v>11081</v>
      </c>
      <c r="F26" s="42"/>
      <c r="G26" s="159">
        <v>12338</v>
      </c>
      <c r="H26" s="123" t="s">
        <v>495</v>
      </c>
      <c r="I26" s="123" t="s">
        <v>137</v>
      </c>
      <c r="J26" s="123" t="s">
        <v>113</v>
      </c>
      <c r="K26" s="159">
        <v>10717</v>
      </c>
    </row>
    <row r="27" spans="1:12" s="123" customFormat="1">
      <c r="A27" s="220" t="s">
        <v>629</v>
      </c>
      <c r="B27" s="220">
        <v>2108560</v>
      </c>
      <c r="C27" s="221" t="s">
        <v>103</v>
      </c>
      <c r="D27" s="42"/>
      <c r="E27" s="181">
        <v>11081</v>
      </c>
      <c r="F27" s="42"/>
      <c r="G27" s="159">
        <v>12464</v>
      </c>
      <c r="H27" s="123" t="s">
        <v>495</v>
      </c>
      <c r="I27" s="123" t="s">
        <v>319</v>
      </c>
      <c r="J27" s="123" t="s">
        <v>845</v>
      </c>
      <c r="K27" s="159">
        <v>10885</v>
      </c>
    </row>
    <row r="28" spans="1:12" s="123" customFormat="1">
      <c r="A28" s="220" t="s">
        <v>629</v>
      </c>
      <c r="B28" s="220">
        <v>2078642</v>
      </c>
      <c r="C28" s="221" t="s">
        <v>103</v>
      </c>
      <c r="D28" s="42"/>
      <c r="E28" s="181">
        <v>11148</v>
      </c>
      <c r="F28" s="42"/>
      <c r="G28" s="159">
        <v>12170</v>
      </c>
      <c r="H28" s="123" t="s">
        <v>495</v>
      </c>
      <c r="I28" s="123" t="s">
        <v>112</v>
      </c>
      <c r="J28" s="123" t="s">
        <v>113</v>
      </c>
      <c r="K28" s="159">
        <v>10790</v>
      </c>
    </row>
    <row r="29" spans="1:12" s="123" customFormat="1">
      <c r="A29" s="220" t="s">
        <v>629</v>
      </c>
      <c r="B29" s="220">
        <v>2027235</v>
      </c>
      <c r="C29" s="221" t="s">
        <v>103</v>
      </c>
      <c r="D29" s="42"/>
      <c r="E29" s="181">
        <v>11186</v>
      </c>
      <c r="F29" s="42"/>
      <c r="G29" s="159">
        <v>11694</v>
      </c>
      <c r="H29" s="123" t="s">
        <v>495</v>
      </c>
      <c r="I29" s="123" t="s">
        <v>496</v>
      </c>
      <c r="J29" s="42" t="s">
        <v>497</v>
      </c>
      <c r="K29" s="159"/>
      <c r="L29" s="207"/>
    </row>
    <row r="30" spans="1:12" s="123" customFormat="1">
      <c r="A30" s="220" t="s">
        <v>629</v>
      </c>
      <c r="B30" s="220">
        <v>2055991</v>
      </c>
      <c r="C30" s="221" t="s">
        <v>103</v>
      </c>
      <c r="D30" s="42"/>
      <c r="E30" s="181">
        <v>11212</v>
      </c>
      <c r="F30" s="42"/>
      <c r="G30" s="159">
        <v>11960</v>
      </c>
      <c r="H30" s="123" t="s">
        <v>495</v>
      </c>
      <c r="I30" s="123" t="s">
        <v>506</v>
      </c>
      <c r="J30" s="123" t="s">
        <v>845</v>
      </c>
      <c r="K30" s="159">
        <v>10879</v>
      </c>
      <c r="L30" s="207"/>
    </row>
    <row r="31" spans="1:12" s="123" customFormat="1">
      <c r="A31" s="220" t="s">
        <v>629</v>
      </c>
      <c r="B31" s="220">
        <v>2067673</v>
      </c>
      <c r="C31" s="221" t="s">
        <v>103</v>
      </c>
      <c r="D31" s="42"/>
      <c r="E31" s="181">
        <v>11274</v>
      </c>
      <c r="F31" s="42"/>
      <c r="G31" s="159">
        <v>12065</v>
      </c>
      <c r="H31" s="123" t="s">
        <v>495</v>
      </c>
      <c r="I31" s="123" t="s">
        <v>268</v>
      </c>
      <c r="J31" s="123" t="s">
        <v>845</v>
      </c>
      <c r="K31" s="159">
        <v>10913</v>
      </c>
    </row>
    <row r="32" spans="1:12" s="123" customFormat="1">
      <c r="A32" s="220" t="s">
        <v>629</v>
      </c>
      <c r="B32" s="220">
        <v>2067648</v>
      </c>
      <c r="C32" s="221" t="s">
        <v>103</v>
      </c>
      <c r="D32" s="42"/>
      <c r="E32" s="181">
        <v>11309</v>
      </c>
      <c r="F32" s="42"/>
      <c r="G32" s="159">
        <v>12065</v>
      </c>
      <c r="H32" s="123" t="s">
        <v>495</v>
      </c>
      <c r="I32" s="123" t="s">
        <v>265</v>
      </c>
      <c r="J32" s="123" t="s">
        <v>845</v>
      </c>
      <c r="K32" s="159">
        <v>10949</v>
      </c>
    </row>
    <row r="33" spans="1:12" s="123" customFormat="1">
      <c r="A33" s="42" t="s">
        <v>629</v>
      </c>
      <c r="B33" s="42">
        <v>2095729</v>
      </c>
      <c r="C33" s="151" t="s">
        <v>103</v>
      </c>
      <c r="D33" s="42"/>
      <c r="E33" s="181">
        <v>11389</v>
      </c>
      <c r="F33" s="42"/>
      <c r="G33" s="159">
        <v>12338</v>
      </c>
      <c r="H33" s="123" t="s">
        <v>495</v>
      </c>
      <c r="I33" s="123" t="s">
        <v>138</v>
      </c>
      <c r="J33" s="123" t="s">
        <v>113</v>
      </c>
      <c r="K33" s="159">
        <v>11038</v>
      </c>
    </row>
    <row r="34" spans="1:12" s="123" customFormat="1">
      <c r="A34" s="42" t="s">
        <v>629</v>
      </c>
      <c r="B34" s="42">
        <v>2071805</v>
      </c>
      <c r="C34" s="151" t="s">
        <v>103</v>
      </c>
      <c r="D34" s="42"/>
      <c r="E34" s="181">
        <v>11390</v>
      </c>
      <c r="F34" s="42"/>
      <c r="G34" s="159">
        <v>12107</v>
      </c>
      <c r="H34" s="207" t="s">
        <v>495</v>
      </c>
      <c r="I34" s="207" t="s">
        <v>371</v>
      </c>
      <c r="J34" s="207" t="s">
        <v>845</v>
      </c>
      <c r="K34" s="159">
        <v>11022</v>
      </c>
      <c r="L34" s="207"/>
    </row>
    <row r="35" spans="1:12" s="123" customFormat="1">
      <c r="A35" s="42" t="s">
        <v>629</v>
      </c>
      <c r="B35" s="42">
        <v>2103786</v>
      </c>
      <c r="C35" s="151" t="s">
        <v>103</v>
      </c>
      <c r="D35" s="42"/>
      <c r="E35" s="181">
        <v>11437</v>
      </c>
      <c r="F35" s="42"/>
      <c r="G35" s="159">
        <v>12415</v>
      </c>
      <c r="H35" s="123" t="s">
        <v>495</v>
      </c>
      <c r="I35" s="123" t="s">
        <v>507</v>
      </c>
      <c r="J35" s="123" t="s">
        <v>113</v>
      </c>
      <c r="K35" s="159">
        <v>11073</v>
      </c>
      <c r="L35" s="42"/>
    </row>
    <row r="36" spans="1:12" s="123" customFormat="1">
      <c r="A36" s="42" t="s">
        <v>629</v>
      </c>
      <c r="B36" s="42">
        <v>2121589</v>
      </c>
      <c r="C36" s="151" t="s">
        <v>103</v>
      </c>
      <c r="D36" s="42"/>
      <c r="E36" s="181">
        <v>11443</v>
      </c>
      <c r="F36" s="42"/>
      <c r="G36" s="159">
        <v>12590</v>
      </c>
      <c r="H36" s="123" t="s">
        <v>495</v>
      </c>
      <c r="I36" s="123" t="s">
        <v>301</v>
      </c>
      <c r="J36" s="123" t="s">
        <v>845</v>
      </c>
      <c r="K36" s="159">
        <v>11136</v>
      </c>
    </row>
    <row r="37" spans="1:12" s="123" customFormat="1">
      <c r="A37" s="42" t="s">
        <v>629</v>
      </c>
      <c r="B37" s="42">
        <v>2121598</v>
      </c>
      <c r="C37" s="151" t="s">
        <v>103</v>
      </c>
      <c r="D37" s="42"/>
      <c r="E37" s="181">
        <v>11501</v>
      </c>
      <c r="F37" s="42"/>
      <c r="G37" s="159">
        <v>12590</v>
      </c>
      <c r="H37" s="123" t="s">
        <v>495</v>
      </c>
      <c r="I37" s="123" t="s">
        <v>302</v>
      </c>
      <c r="J37" s="123" t="s">
        <v>845</v>
      </c>
      <c r="K37" s="159">
        <v>11136</v>
      </c>
    </row>
    <row r="38" spans="1:12" s="123" customFormat="1">
      <c r="A38" s="42" t="s">
        <v>629</v>
      </c>
      <c r="B38" s="42">
        <v>2103774</v>
      </c>
      <c r="C38" s="151" t="s">
        <v>103</v>
      </c>
      <c r="D38" s="42"/>
      <c r="E38" s="181">
        <v>11655</v>
      </c>
      <c r="F38" s="42"/>
      <c r="G38" s="159">
        <v>12415</v>
      </c>
      <c r="H38" s="123" t="s">
        <v>495</v>
      </c>
      <c r="I38" s="123" t="s">
        <v>139</v>
      </c>
      <c r="J38" s="123" t="s">
        <v>113</v>
      </c>
      <c r="K38" s="159">
        <v>11380</v>
      </c>
      <c r="L38" s="42"/>
    </row>
    <row r="39" spans="1:12" s="123" customFormat="1">
      <c r="A39" s="42" t="s">
        <v>629</v>
      </c>
      <c r="B39" s="42">
        <v>2081993</v>
      </c>
      <c r="C39" s="151" t="s">
        <v>103</v>
      </c>
      <c r="D39" s="42"/>
      <c r="E39" s="181">
        <v>11669</v>
      </c>
      <c r="F39" s="42"/>
      <c r="G39" s="159">
        <v>12205</v>
      </c>
      <c r="H39" s="123" t="s">
        <v>495</v>
      </c>
      <c r="I39" s="123" t="s">
        <v>217</v>
      </c>
      <c r="J39" s="123" t="s">
        <v>113</v>
      </c>
      <c r="K39" s="159">
        <v>11361</v>
      </c>
    </row>
    <row r="40" spans="1:12" s="123" customFormat="1">
      <c r="A40" s="42" t="s">
        <v>629</v>
      </c>
      <c r="B40" s="42">
        <v>2130903</v>
      </c>
      <c r="C40" s="151" t="s">
        <v>103</v>
      </c>
      <c r="D40" s="42"/>
      <c r="E40" s="181">
        <v>11745</v>
      </c>
      <c r="F40" s="42"/>
      <c r="G40" s="159">
        <v>12681</v>
      </c>
      <c r="H40" s="123" t="s">
        <v>495</v>
      </c>
      <c r="I40" s="123" t="s">
        <v>110</v>
      </c>
      <c r="J40" s="123" t="s">
        <v>845</v>
      </c>
      <c r="K40" s="159">
        <v>11388</v>
      </c>
    </row>
    <row r="41" spans="1:12" s="123" customFormat="1">
      <c r="A41" s="42" t="s">
        <v>629</v>
      </c>
      <c r="B41" s="42">
        <v>2106832</v>
      </c>
      <c r="C41" s="151" t="s">
        <v>103</v>
      </c>
      <c r="D41" s="42"/>
      <c r="E41" s="181">
        <v>11752</v>
      </c>
      <c r="F41" s="42"/>
      <c r="G41" s="159">
        <v>12450</v>
      </c>
      <c r="H41" s="42"/>
      <c r="I41" s="42" t="s">
        <v>317</v>
      </c>
      <c r="J41" s="42"/>
      <c r="K41" s="159"/>
      <c r="L41" s="178" t="s">
        <v>318</v>
      </c>
    </row>
    <row r="42" spans="1:12" s="123" customFormat="1">
      <c r="A42" s="42" t="s">
        <v>629</v>
      </c>
      <c r="B42" s="42">
        <v>2154260</v>
      </c>
      <c r="C42" s="151" t="s">
        <v>103</v>
      </c>
      <c r="D42" s="42"/>
      <c r="E42" s="181">
        <v>11752</v>
      </c>
      <c r="F42" s="42"/>
      <c r="G42" s="159">
        <v>12884</v>
      </c>
      <c r="H42" s="123" t="s">
        <v>495</v>
      </c>
      <c r="I42" s="123" t="s">
        <v>309</v>
      </c>
      <c r="J42" s="123" t="s">
        <v>845</v>
      </c>
      <c r="K42" s="159">
        <v>11089</v>
      </c>
    </row>
    <row r="43" spans="1:12" s="123" customFormat="1">
      <c r="A43" s="42" t="s">
        <v>629</v>
      </c>
      <c r="B43" s="42">
        <v>2154287</v>
      </c>
      <c r="C43" s="151" t="s">
        <v>103</v>
      </c>
      <c r="D43" s="42"/>
      <c r="E43" s="181">
        <v>11752</v>
      </c>
      <c r="F43" s="42"/>
      <c r="G43" s="159">
        <v>12884</v>
      </c>
      <c r="H43" s="123" t="s">
        <v>495</v>
      </c>
      <c r="I43" s="123" t="s">
        <v>427</v>
      </c>
      <c r="J43" s="123" t="s">
        <v>845</v>
      </c>
      <c r="K43" s="159">
        <v>11493</v>
      </c>
    </row>
    <row r="44" spans="1:12" s="123" customFormat="1">
      <c r="A44" s="42" t="s">
        <v>629</v>
      </c>
      <c r="B44" s="42">
        <v>2151743</v>
      </c>
      <c r="C44" s="151" t="s">
        <v>103</v>
      </c>
      <c r="D44" s="42"/>
      <c r="E44" s="181">
        <v>11822</v>
      </c>
      <c r="F44" s="42"/>
      <c r="G44" s="159">
        <v>12870</v>
      </c>
      <c r="H44" s="123" t="s">
        <v>495</v>
      </c>
      <c r="I44" s="123" t="s">
        <v>307</v>
      </c>
      <c r="J44" s="123" t="s">
        <v>845</v>
      </c>
      <c r="K44" s="159">
        <v>11534</v>
      </c>
    </row>
    <row r="45" spans="1:12" s="123" customFormat="1">
      <c r="A45" s="42" t="s">
        <v>629</v>
      </c>
      <c r="B45" s="42">
        <v>2140356</v>
      </c>
      <c r="C45" s="151" t="s">
        <v>103</v>
      </c>
      <c r="D45" s="42"/>
      <c r="E45" s="181">
        <v>11865</v>
      </c>
      <c r="F45" s="42"/>
      <c r="G45" s="159">
        <v>12765</v>
      </c>
      <c r="H45" s="123" t="s">
        <v>495</v>
      </c>
      <c r="I45" s="123" t="s">
        <v>111</v>
      </c>
      <c r="J45" s="123" t="s">
        <v>845</v>
      </c>
      <c r="K45" s="159">
        <v>11571</v>
      </c>
    </row>
    <row r="46" spans="1:12" s="123" customFormat="1">
      <c r="A46" s="42" t="s">
        <v>629</v>
      </c>
      <c r="B46" s="42">
        <v>2114835</v>
      </c>
      <c r="C46" s="151" t="s">
        <v>103</v>
      </c>
      <c r="D46" s="42"/>
      <c r="E46" s="181">
        <v>11880</v>
      </c>
      <c r="F46" s="42"/>
      <c r="G46" s="159">
        <v>12527</v>
      </c>
      <c r="H46" s="123" t="s">
        <v>495</v>
      </c>
      <c r="I46" s="123" t="s">
        <v>299</v>
      </c>
      <c r="J46" s="123" t="s">
        <v>845</v>
      </c>
      <c r="K46" s="159">
        <v>11523</v>
      </c>
    </row>
    <row r="47" spans="1:12" s="123" customFormat="1">
      <c r="A47" s="42" t="s">
        <v>629</v>
      </c>
      <c r="B47" s="42">
        <v>2130866</v>
      </c>
      <c r="C47" s="151" t="s">
        <v>103</v>
      </c>
      <c r="D47" s="42"/>
      <c r="E47" s="181">
        <v>11901</v>
      </c>
      <c r="F47" s="42"/>
      <c r="G47" s="159">
        <v>12681</v>
      </c>
      <c r="H47" s="123" t="s">
        <v>495</v>
      </c>
      <c r="I47" s="123" t="s">
        <v>108</v>
      </c>
      <c r="J47" s="123" t="s">
        <v>845</v>
      </c>
      <c r="K47" s="159">
        <v>11479</v>
      </c>
    </row>
    <row r="48" spans="1:12" s="123" customFormat="1">
      <c r="A48" s="42" t="s">
        <v>629</v>
      </c>
      <c r="B48" s="42">
        <v>2128044</v>
      </c>
      <c r="C48" s="151" t="s">
        <v>103</v>
      </c>
      <c r="D48" s="42"/>
      <c r="E48" s="181">
        <v>11931</v>
      </c>
      <c r="F48" s="42"/>
      <c r="G48" s="159">
        <v>12653</v>
      </c>
      <c r="H48" s="123" t="s">
        <v>495</v>
      </c>
      <c r="I48" s="123" t="s">
        <v>106</v>
      </c>
      <c r="J48" s="123" t="s">
        <v>107</v>
      </c>
      <c r="K48" s="159">
        <v>11621</v>
      </c>
    </row>
    <row r="49" spans="1:11" s="123" customFormat="1">
      <c r="A49" s="42" t="s">
        <v>629</v>
      </c>
      <c r="B49" s="42">
        <v>2187418</v>
      </c>
      <c r="C49" s="151" t="s">
        <v>103</v>
      </c>
      <c r="D49" s="42"/>
      <c r="E49" s="181">
        <v>11954</v>
      </c>
      <c r="F49" s="42"/>
      <c r="G49" s="159">
        <v>13164</v>
      </c>
      <c r="H49" s="123" t="s">
        <v>495</v>
      </c>
      <c r="I49" s="123" t="s">
        <v>321</v>
      </c>
      <c r="J49" s="123" t="s">
        <v>845</v>
      </c>
      <c r="K49" s="159">
        <v>11602</v>
      </c>
    </row>
    <row r="50" spans="1:11" s="123" customFormat="1">
      <c r="A50" s="42" t="s">
        <v>629</v>
      </c>
      <c r="B50" s="42">
        <v>2154274</v>
      </c>
      <c r="C50" s="151" t="s">
        <v>103</v>
      </c>
      <c r="D50" s="42"/>
      <c r="E50" s="181">
        <v>11987</v>
      </c>
      <c r="F50" s="42"/>
      <c r="G50" s="159">
        <v>12884</v>
      </c>
      <c r="H50" s="123" t="s">
        <v>495</v>
      </c>
      <c r="I50" s="123" t="s">
        <v>310</v>
      </c>
      <c r="J50" s="123" t="s">
        <v>845</v>
      </c>
      <c r="K50" s="159">
        <v>11621</v>
      </c>
    </row>
    <row r="51" spans="1:11" s="123" customFormat="1">
      <c r="A51" s="42" t="s">
        <v>629</v>
      </c>
      <c r="B51" s="42">
        <v>2151753</v>
      </c>
      <c r="C51" s="151" t="s">
        <v>103</v>
      </c>
      <c r="D51" s="42"/>
      <c r="E51" s="181">
        <v>12013</v>
      </c>
      <c r="F51" s="42"/>
      <c r="G51" s="159">
        <v>12870</v>
      </c>
      <c r="H51" s="123" t="s">
        <v>495</v>
      </c>
      <c r="I51" s="123" t="s">
        <v>308</v>
      </c>
      <c r="J51" s="123" t="s">
        <v>845</v>
      </c>
      <c r="K51" s="159">
        <v>11648</v>
      </c>
    </row>
    <row r="52" spans="1:11" s="123" customFormat="1">
      <c r="A52" s="42" t="s">
        <v>629</v>
      </c>
      <c r="B52" s="42">
        <v>2112046</v>
      </c>
      <c r="C52" s="151" t="s">
        <v>103</v>
      </c>
      <c r="D52" s="42"/>
      <c r="E52" s="181">
        <v>12031</v>
      </c>
      <c r="F52" s="42"/>
      <c r="G52" s="159">
        <v>12499</v>
      </c>
      <c r="H52" s="123" t="s">
        <v>495</v>
      </c>
      <c r="I52" s="123" t="s">
        <v>100</v>
      </c>
      <c r="J52" s="123" t="s">
        <v>845</v>
      </c>
      <c r="K52" s="159">
        <v>11667</v>
      </c>
    </row>
    <row r="53" spans="1:11" s="123" customFormat="1">
      <c r="A53" s="42" t="s">
        <v>629</v>
      </c>
      <c r="B53" s="42">
        <v>2186218</v>
      </c>
      <c r="C53" s="151" t="s">
        <v>103</v>
      </c>
      <c r="D53" s="42"/>
      <c r="E53" s="181">
        <v>12059</v>
      </c>
      <c r="F53" s="42"/>
      <c r="G53" s="159">
        <v>13157</v>
      </c>
      <c r="H53" s="123" t="s">
        <v>495</v>
      </c>
      <c r="I53" s="123" t="s">
        <v>437</v>
      </c>
      <c r="J53" s="123" t="s">
        <v>845</v>
      </c>
      <c r="K53" s="159">
        <v>11611</v>
      </c>
    </row>
    <row r="54" spans="1:11" s="123" customFormat="1">
      <c r="A54" s="42" t="s">
        <v>629</v>
      </c>
      <c r="B54" s="42">
        <v>2103950</v>
      </c>
      <c r="C54" s="151" t="s">
        <v>103</v>
      </c>
      <c r="D54" s="42"/>
      <c r="E54" s="181">
        <v>12079</v>
      </c>
      <c r="F54" s="42"/>
      <c r="G54" s="159">
        <v>12415</v>
      </c>
      <c r="H54" s="123" t="s">
        <v>495</v>
      </c>
      <c r="I54" s="123" t="s">
        <v>315</v>
      </c>
      <c r="J54" s="123" t="s">
        <v>113</v>
      </c>
      <c r="K54" s="159">
        <v>11711</v>
      </c>
    </row>
    <row r="55" spans="1:11" s="123" customFormat="1">
      <c r="A55" s="42" t="s">
        <v>629</v>
      </c>
      <c r="B55" s="42">
        <v>2162509</v>
      </c>
      <c r="C55" s="151" t="s">
        <v>103</v>
      </c>
      <c r="D55" s="42"/>
      <c r="E55" s="181">
        <v>12110</v>
      </c>
      <c r="F55" s="42"/>
      <c r="G55" s="159">
        <v>12947</v>
      </c>
      <c r="H55" s="123" t="s">
        <v>495</v>
      </c>
      <c r="I55" s="123" t="s">
        <v>315</v>
      </c>
      <c r="J55" s="123" t="s">
        <v>845</v>
      </c>
      <c r="K55" s="159">
        <v>11747</v>
      </c>
    </row>
    <row r="56" spans="1:11" s="123" customFormat="1">
      <c r="A56" s="42" t="s">
        <v>629</v>
      </c>
      <c r="B56" s="42">
        <v>2175920</v>
      </c>
      <c r="C56" s="151" t="s">
        <v>103</v>
      </c>
      <c r="D56" s="42"/>
      <c r="E56" s="181">
        <v>12118</v>
      </c>
      <c r="F56" s="42"/>
      <c r="G56" s="159">
        <v>13066</v>
      </c>
      <c r="H56" s="123" t="s">
        <v>495</v>
      </c>
      <c r="I56" s="123" t="s">
        <v>425</v>
      </c>
      <c r="J56" s="123" t="s">
        <v>845</v>
      </c>
      <c r="K56" s="159">
        <v>11882</v>
      </c>
    </row>
    <row r="57" spans="1:11" s="123" customFormat="1">
      <c r="A57" s="42" t="s">
        <v>629</v>
      </c>
      <c r="B57" s="42">
        <v>2179353</v>
      </c>
      <c r="C57" s="151" t="s">
        <v>103</v>
      </c>
      <c r="D57" s="42"/>
      <c r="E57" s="181">
        <v>12132</v>
      </c>
      <c r="F57" s="42"/>
      <c r="G57" s="159">
        <v>13094</v>
      </c>
      <c r="H57" s="123" t="s">
        <v>495</v>
      </c>
      <c r="I57" s="123" t="s">
        <v>428</v>
      </c>
      <c r="J57" s="123" t="s">
        <v>845</v>
      </c>
      <c r="K57" s="159">
        <v>11771</v>
      </c>
    </row>
    <row r="58" spans="1:11" s="123" customFormat="1">
      <c r="A58" s="42" t="s">
        <v>629</v>
      </c>
      <c r="B58" s="42">
        <v>2137052</v>
      </c>
      <c r="C58" s="151" t="s">
        <v>103</v>
      </c>
      <c r="D58" s="42"/>
      <c r="E58" s="181">
        <v>12142</v>
      </c>
      <c r="F58" s="42"/>
      <c r="G58" s="159">
        <v>12737</v>
      </c>
      <c r="H58" s="123" t="s">
        <v>495</v>
      </c>
      <c r="I58" s="123" t="s">
        <v>507</v>
      </c>
      <c r="J58" s="123" t="s">
        <v>845</v>
      </c>
      <c r="K58" s="159">
        <v>11780</v>
      </c>
    </row>
    <row r="59" spans="1:11" s="123" customFormat="1">
      <c r="A59" s="42" t="s">
        <v>629</v>
      </c>
      <c r="B59" s="42">
        <v>2112083</v>
      </c>
      <c r="C59" s="151" t="s">
        <v>103</v>
      </c>
      <c r="D59" s="42"/>
      <c r="E59" s="181">
        <v>12145</v>
      </c>
      <c r="F59" s="42"/>
      <c r="G59" s="159">
        <v>12499</v>
      </c>
      <c r="H59" s="123" t="s">
        <v>495</v>
      </c>
      <c r="I59" s="123" t="s">
        <v>299</v>
      </c>
      <c r="J59" s="123" t="s">
        <v>845</v>
      </c>
      <c r="K59" s="159">
        <v>11786</v>
      </c>
    </row>
    <row r="60" spans="1:11" s="123" customFormat="1">
      <c r="A60" s="42" t="s">
        <v>629</v>
      </c>
      <c r="B60" s="42">
        <v>2106826</v>
      </c>
      <c r="C60" s="151" t="s">
        <v>103</v>
      </c>
      <c r="D60" s="42"/>
      <c r="E60" s="181">
        <v>12157</v>
      </c>
      <c r="F60" s="42"/>
      <c r="G60" s="159">
        <v>12450</v>
      </c>
      <c r="H60" s="123" t="s">
        <v>495</v>
      </c>
      <c r="I60" s="123" t="s">
        <v>316</v>
      </c>
      <c r="J60" s="123" t="s">
        <v>113</v>
      </c>
      <c r="K60" s="159">
        <v>11793</v>
      </c>
    </row>
    <row r="61" spans="1:11" s="123" customFormat="1">
      <c r="A61" s="42" t="s">
        <v>629</v>
      </c>
      <c r="B61" s="42">
        <v>2121603</v>
      </c>
      <c r="C61" s="151" t="s">
        <v>103</v>
      </c>
      <c r="D61" s="42"/>
      <c r="E61" s="181">
        <v>12157</v>
      </c>
      <c r="F61" s="42"/>
      <c r="G61" s="159">
        <v>12590</v>
      </c>
      <c r="H61" s="123" t="s">
        <v>495</v>
      </c>
      <c r="I61" s="123" t="s">
        <v>105</v>
      </c>
      <c r="J61" s="123" t="s">
        <v>845</v>
      </c>
      <c r="K61" s="159">
        <v>11838</v>
      </c>
    </row>
    <row r="62" spans="1:11" s="123" customFormat="1">
      <c r="A62" s="42" t="s">
        <v>629</v>
      </c>
      <c r="B62" s="42">
        <v>2162539</v>
      </c>
      <c r="C62" s="151" t="s">
        <v>103</v>
      </c>
      <c r="D62" s="42"/>
      <c r="E62" s="181">
        <v>12213</v>
      </c>
      <c r="F62" s="42"/>
      <c r="G62" s="159">
        <v>12947</v>
      </c>
      <c r="H62" s="123" t="s">
        <v>495</v>
      </c>
      <c r="I62" s="123" t="s">
        <v>222</v>
      </c>
      <c r="J62" s="123" t="s">
        <v>845</v>
      </c>
      <c r="K62" s="159">
        <v>11870</v>
      </c>
    </row>
    <row r="63" spans="1:11" s="123" customFormat="1">
      <c r="A63" s="42" t="s">
        <v>629</v>
      </c>
      <c r="B63" s="42">
        <v>2137046</v>
      </c>
      <c r="C63" s="151" t="s">
        <v>103</v>
      </c>
      <c r="D63" s="42"/>
      <c r="E63" s="181">
        <v>12235</v>
      </c>
      <c r="F63" s="42"/>
      <c r="G63" s="159">
        <v>12737</v>
      </c>
      <c r="H63" s="123" t="s">
        <v>495</v>
      </c>
      <c r="I63" s="123" t="s">
        <v>299</v>
      </c>
      <c r="J63" s="123" t="s">
        <v>845</v>
      </c>
      <c r="K63" s="159">
        <v>11859</v>
      </c>
    </row>
    <row r="64" spans="1:11" s="123" customFormat="1">
      <c r="A64" s="42" t="s">
        <v>629</v>
      </c>
      <c r="B64" s="42">
        <v>2117900</v>
      </c>
      <c r="C64" s="151" t="s">
        <v>103</v>
      </c>
      <c r="D64" s="42"/>
      <c r="E64" s="181">
        <v>12251</v>
      </c>
      <c r="F64" s="42"/>
      <c r="G64" s="159">
        <v>12555</v>
      </c>
      <c r="H64" s="123" t="s">
        <v>495</v>
      </c>
      <c r="I64" s="123" t="s">
        <v>300</v>
      </c>
      <c r="J64" s="123" t="s">
        <v>845</v>
      </c>
      <c r="K64" s="159">
        <v>11892</v>
      </c>
    </row>
    <row r="65" spans="1:11" s="123" customFormat="1">
      <c r="A65" s="42" t="s">
        <v>629</v>
      </c>
      <c r="B65" s="42">
        <v>2187426</v>
      </c>
      <c r="C65" s="151" t="s">
        <v>103</v>
      </c>
      <c r="D65" s="42"/>
      <c r="E65" s="181">
        <v>12251</v>
      </c>
      <c r="F65" s="42"/>
      <c r="G65" s="159">
        <v>13164</v>
      </c>
      <c r="H65" s="123" t="s">
        <v>495</v>
      </c>
      <c r="I65" s="123" t="s">
        <v>436</v>
      </c>
      <c r="J65" s="123" t="s">
        <v>845</v>
      </c>
      <c r="K65" s="159">
        <v>11887</v>
      </c>
    </row>
    <row r="66" spans="1:11" s="123" customFormat="1">
      <c r="A66" s="42" t="s">
        <v>629</v>
      </c>
      <c r="B66" s="42">
        <v>2192059</v>
      </c>
      <c r="C66" s="151" t="s">
        <v>103</v>
      </c>
      <c r="D66" s="42"/>
      <c r="E66" s="181">
        <v>12267</v>
      </c>
      <c r="F66" s="42"/>
      <c r="G66" s="159">
        <v>13206</v>
      </c>
      <c r="H66" s="123" t="s">
        <v>495</v>
      </c>
      <c r="I66" s="123" t="s">
        <v>323</v>
      </c>
      <c r="J66" s="123" t="s">
        <v>845</v>
      </c>
      <c r="K66" s="159">
        <v>11903</v>
      </c>
    </row>
    <row r="67" spans="1:11" s="123" customFormat="1">
      <c r="A67" s="42" t="s">
        <v>629</v>
      </c>
      <c r="B67" s="42">
        <v>2217462</v>
      </c>
      <c r="C67" s="151" t="s">
        <v>103</v>
      </c>
      <c r="D67" s="42"/>
      <c r="E67" s="181">
        <v>12267</v>
      </c>
      <c r="F67" s="42"/>
      <c r="G67" s="159">
        <v>13430</v>
      </c>
      <c r="H67" s="123" t="s">
        <v>495</v>
      </c>
      <c r="I67" s="123" t="s">
        <v>323</v>
      </c>
      <c r="J67" s="123" t="s">
        <v>845</v>
      </c>
      <c r="K67" s="159">
        <v>11903</v>
      </c>
    </row>
    <row r="68" spans="1:11" s="123" customFormat="1">
      <c r="A68" s="42" t="s">
        <v>629</v>
      </c>
      <c r="B68" s="42">
        <v>2179358</v>
      </c>
      <c r="C68" s="151" t="s">
        <v>103</v>
      </c>
      <c r="D68" s="42"/>
      <c r="E68" s="181">
        <v>12279</v>
      </c>
      <c r="F68" s="42"/>
      <c r="G68" s="159">
        <v>13094</v>
      </c>
      <c r="H68" s="123" t="s">
        <v>495</v>
      </c>
      <c r="I68" s="123" t="s">
        <v>429</v>
      </c>
      <c r="J68" s="123" t="s">
        <v>107</v>
      </c>
      <c r="K68" s="159">
        <v>11919</v>
      </c>
    </row>
    <row r="69" spans="1:11" s="123" customFormat="1">
      <c r="A69" s="42" t="s">
        <v>629</v>
      </c>
      <c r="B69" s="42">
        <v>2162487</v>
      </c>
      <c r="C69" s="151" t="s">
        <v>103</v>
      </c>
      <c r="D69" s="42"/>
      <c r="E69" s="181">
        <v>12285</v>
      </c>
      <c r="F69" s="42"/>
      <c r="G69" s="159">
        <v>12947</v>
      </c>
      <c r="H69" s="123" t="s">
        <v>495</v>
      </c>
      <c r="I69" s="123" t="s">
        <v>105</v>
      </c>
      <c r="J69" s="123" t="s">
        <v>845</v>
      </c>
      <c r="K69" s="159">
        <v>11959</v>
      </c>
    </row>
    <row r="70" spans="1:11" s="123" customFormat="1">
      <c r="A70" s="42" t="s">
        <v>629</v>
      </c>
      <c r="B70" s="42">
        <v>2193598</v>
      </c>
      <c r="C70" s="151" t="s">
        <v>103</v>
      </c>
      <c r="D70" s="42"/>
      <c r="E70" s="181">
        <v>12285</v>
      </c>
      <c r="F70" s="42"/>
      <c r="G70" s="159">
        <v>13220</v>
      </c>
      <c r="H70" s="123" t="s">
        <v>495</v>
      </c>
      <c r="I70" s="123" t="s">
        <v>105</v>
      </c>
      <c r="J70" s="123" t="s">
        <v>845</v>
      </c>
      <c r="K70" s="159">
        <v>11936</v>
      </c>
    </row>
    <row r="71" spans="1:11" s="123" customFormat="1">
      <c r="A71" s="42" t="s">
        <v>629</v>
      </c>
      <c r="B71" s="42">
        <v>2217460</v>
      </c>
      <c r="C71" s="151" t="s">
        <v>103</v>
      </c>
      <c r="D71" s="42"/>
      <c r="E71" s="181">
        <v>12291</v>
      </c>
      <c r="F71" s="42"/>
      <c r="G71" s="159">
        <v>13430</v>
      </c>
      <c r="H71" s="123" t="s">
        <v>495</v>
      </c>
      <c r="I71" s="123" t="s">
        <v>145</v>
      </c>
      <c r="J71" s="123" t="s">
        <v>845</v>
      </c>
      <c r="K71" s="159">
        <v>11933</v>
      </c>
    </row>
    <row r="72" spans="1:11" s="123" customFormat="1">
      <c r="A72" s="42" t="s">
        <v>629</v>
      </c>
      <c r="B72" s="42">
        <v>2205221</v>
      </c>
      <c r="C72" s="151" t="s">
        <v>103</v>
      </c>
      <c r="D72" s="42"/>
      <c r="E72" s="181">
        <v>12293</v>
      </c>
      <c r="F72" s="42"/>
      <c r="G72" s="159">
        <v>13318</v>
      </c>
      <c r="H72" s="123" t="s">
        <v>495</v>
      </c>
      <c r="I72" s="123" t="s">
        <v>445</v>
      </c>
      <c r="J72" s="123" t="s">
        <v>845</v>
      </c>
      <c r="K72" s="159">
        <v>11859</v>
      </c>
    </row>
    <row r="73" spans="1:11" s="123" customFormat="1">
      <c r="A73" s="42" t="s">
        <v>629</v>
      </c>
      <c r="B73" s="42">
        <v>2186207</v>
      </c>
      <c r="C73" s="151" t="s">
        <v>103</v>
      </c>
      <c r="D73" s="42"/>
      <c r="E73" s="181">
        <v>12299</v>
      </c>
      <c r="F73" s="42"/>
      <c r="G73" s="159">
        <v>13157</v>
      </c>
      <c r="H73" s="123" t="s">
        <v>495</v>
      </c>
      <c r="I73" s="123" t="s">
        <v>140</v>
      </c>
      <c r="J73" s="123" t="s">
        <v>845</v>
      </c>
      <c r="K73" s="159">
        <v>12142</v>
      </c>
    </row>
    <row r="74" spans="1:11" s="123" customFormat="1">
      <c r="A74" s="42" t="s">
        <v>629</v>
      </c>
      <c r="B74" s="42">
        <v>2182628</v>
      </c>
      <c r="C74" s="151" t="s">
        <v>103</v>
      </c>
      <c r="D74" s="42"/>
      <c r="E74" s="181">
        <v>12303</v>
      </c>
      <c r="F74" s="42"/>
      <c r="G74" s="159">
        <v>13122</v>
      </c>
      <c r="H74" s="123" t="s">
        <v>495</v>
      </c>
      <c r="I74" s="123" t="s">
        <v>507</v>
      </c>
      <c r="J74" s="123" t="s">
        <v>845</v>
      </c>
      <c r="K74" s="159">
        <v>11938</v>
      </c>
    </row>
    <row r="75" spans="1:11" s="123" customFormat="1">
      <c r="A75" s="42" t="s">
        <v>629</v>
      </c>
      <c r="B75" s="42">
        <v>2144475</v>
      </c>
      <c r="C75" s="151" t="s">
        <v>103</v>
      </c>
      <c r="D75" s="42"/>
      <c r="E75" s="181">
        <v>12312</v>
      </c>
      <c r="F75" s="42"/>
      <c r="G75" s="159">
        <v>12800</v>
      </c>
      <c r="H75" s="123" t="s">
        <v>495</v>
      </c>
      <c r="I75" s="123" t="s">
        <v>504</v>
      </c>
      <c r="J75" s="123" t="s">
        <v>845</v>
      </c>
      <c r="K75" s="159">
        <v>11942</v>
      </c>
    </row>
    <row r="76" spans="1:11" s="123" customFormat="1">
      <c r="A76" s="42" t="s">
        <v>629</v>
      </c>
      <c r="B76" s="42">
        <v>2210675</v>
      </c>
      <c r="C76" s="151" t="s">
        <v>103</v>
      </c>
      <c r="D76" s="42"/>
      <c r="E76" s="181">
        <v>12312</v>
      </c>
      <c r="F76" s="42"/>
      <c r="G76" s="159">
        <v>13367</v>
      </c>
      <c r="H76" s="123" t="s">
        <v>495</v>
      </c>
      <c r="I76" s="123" t="s">
        <v>330</v>
      </c>
      <c r="J76" s="123" t="s">
        <v>845</v>
      </c>
      <c r="K76" s="159">
        <v>11949</v>
      </c>
    </row>
    <row r="77" spans="1:11" s="123" customFormat="1">
      <c r="A77" s="42" t="s">
        <v>629</v>
      </c>
      <c r="B77" s="42">
        <v>2173489</v>
      </c>
      <c r="C77" s="151" t="s">
        <v>103</v>
      </c>
      <c r="D77" s="42"/>
      <c r="E77" s="181">
        <v>12333</v>
      </c>
      <c r="F77" s="42"/>
      <c r="G77" s="159">
        <v>13045</v>
      </c>
      <c r="H77" s="123" t="s">
        <v>495</v>
      </c>
      <c r="I77" s="123" t="s">
        <v>673</v>
      </c>
      <c r="J77" s="123" t="s">
        <v>845</v>
      </c>
      <c r="K77" s="159">
        <v>11970</v>
      </c>
    </row>
    <row r="78" spans="1:11" s="123" customFormat="1">
      <c r="A78" s="42" t="s">
        <v>629</v>
      </c>
      <c r="B78" s="42">
        <v>2205214</v>
      </c>
      <c r="C78" s="151" t="s">
        <v>103</v>
      </c>
      <c r="D78" s="42"/>
      <c r="E78" s="181">
        <v>12339</v>
      </c>
      <c r="F78" s="42"/>
      <c r="G78" s="159">
        <v>13318</v>
      </c>
      <c r="H78" s="123" t="s">
        <v>495</v>
      </c>
      <c r="I78" s="123" t="s">
        <v>315</v>
      </c>
      <c r="J78" s="123" t="s">
        <v>845</v>
      </c>
      <c r="K78" s="159">
        <v>11974</v>
      </c>
    </row>
    <row r="79" spans="1:11" s="123" customFormat="1">
      <c r="A79" s="42" t="s">
        <v>629</v>
      </c>
      <c r="B79" s="42">
        <v>2154279</v>
      </c>
      <c r="C79" s="151" t="s">
        <v>103</v>
      </c>
      <c r="D79" s="42"/>
      <c r="E79" s="181">
        <v>12353</v>
      </c>
      <c r="F79" s="42"/>
      <c r="G79" s="159">
        <v>12884</v>
      </c>
      <c r="H79" s="123" t="s">
        <v>495</v>
      </c>
      <c r="I79" s="123" t="s">
        <v>311</v>
      </c>
      <c r="J79" s="123" t="s">
        <v>845</v>
      </c>
      <c r="K79" s="159">
        <v>12018</v>
      </c>
    </row>
    <row r="80" spans="1:11" s="123" customFormat="1">
      <c r="A80" s="42" t="s">
        <v>629</v>
      </c>
      <c r="B80" s="42">
        <v>2165041</v>
      </c>
      <c r="C80" s="151" t="s">
        <v>103</v>
      </c>
      <c r="D80" s="42"/>
      <c r="E80" s="181">
        <v>12353</v>
      </c>
      <c r="F80" s="42"/>
      <c r="G80" s="159">
        <v>12968</v>
      </c>
      <c r="H80" s="123" t="s">
        <v>495</v>
      </c>
      <c r="I80" s="123" t="s">
        <v>422</v>
      </c>
      <c r="J80" s="123" t="s">
        <v>845</v>
      </c>
      <c r="K80" s="159">
        <v>11882</v>
      </c>
    </row>
    <row r="81" spans="1:11" s="123" customFormat="1">
      <c r="A81" s="42" t="s">
        <v>629</v>
      </c>
      <c r="B81" s="42">
        <v>2147461</v>
      </c>
      <c r="C81" s="151" t="s">
        <v>103</v>
      </c>
      <c r="D81" s="42"/>
      <c r="E81" s="181">
        <v>12369</v>
      </c>
      <c r="F81" s="42"/>
      <c r="G81" s="159">
        <v>12828</v>
      </c>
      <c r="H81" s="123" t="s">
        <v>495</v>
      </c>
      <c r="I81" s="123" t="s">
        <v>306</v>
      </c>
      <c r="J81" s="123" t="s">
        <v>845</v>
      </c>
      <c r="K81" s="159">
        <v>12087</v>
      </c>
    </row>
    <row r="82" spans="1:11" s="123" customFormat="1">
      <c r="A82" s="42" t="s">
        <v>629</v>
      </c>
      <c r="B82" s="42">
        <v>2172197</v>
      </c>
      <c r="C82" s="151" t="s">
        <v>103</v>
      </c>
      <c r="D82" s="42"/>
      <c r="E82" s="181">
        <v>12369</v>
      </c>
      <c r="F82" s="42"/>
      <c r="G82" s="159">
        <v>13031</v>
      </c>
      <c r="H82" s="123" t="s">
        <v>495</v>
      </c>
      <c r="I82" s="123" t="s">
        <v>139</v>
      </c>
      <c r="J82" s="123" t="s">
        <v>845</v>
      </c>
      <c r="K82" s="159">
        <v>12123</v>
      </c>
    </row>
    <row r="83" spans="1:11" s="123" customFormat="1">
      <c r="A83" s="42" t="s">
        <v>629</v>
      </c>
      <c r="B83" s="42">
        <v>2175921</v>
      </c>
      <c r="C83" s="151" t="s">
        <v>103</v>
      </c>
      <c r="D83" s="42"/>
      <c r="E83" s="181">
        <v>12369</v>
      </c>
      <c r="F83" s="42"/>
      <c r="G83" s="159">
        <v>13066</v>
      </c>
      <c r="H83" s="123" t="s">
        <v>495</v>
      </c>
      <c r="I83" s="123" t="s">
        <v>425</v>
      </c>
      <c r="J83" s="123" t="s">
        <v>845</v>
      </c>
      <c r="K83" s="159">
        <v>12089</v>
      </c>
    </row>
    <row r="84" spans="1:11" s="123" customFormat="1">
      <c r="A84" s="42" t="s">
        <v>629</v>
      </c>
      <c r="B84" s="42">
        <v>2225763</v>
      </c>
      <c r="C84" s="151" t="s">
        <v>103</v>
      </c>
      <c r="D84" s="42"/>
      <c r="E84" s="181">
        <v>12369</v>
      </c>
      <c r="F84" s="42"/>
      <c r="G84" s="159">
        <v>13507</v>
      </c>
      <c r="H84" s="123" t="s">
        <v>495</v>
      </c>
      <c r="I84" s="123" t="s">
        <v>214</v>
      </c>
      <c r="J84" s="123" t="s">
        <v>845</v>
      </c>
      <c r="K84" s="159">
        <v>12026</v>
      </c>
    </row>
    <row r="85" spans="1:11" s="123" customFormat="1">
      <c r="A85" s="42" t="s">
        <v>629</v>
      </c>
      <c r="B85" s="42">
        <v>2162493</v>
      </c>
      <c r="C85" s="151" t="s">
        <v>103</v>
      </c>
      <c r="D85" s="42"/>
      <c r="E85" s="181">
        <v>12384</v>
      </c>
      <c r="F85" s="42"/>
      <c r="G85" s="159">
        <v>12947</v>
      </c>
      <c r="H85" s="123" t="s">
        <v>495</v>
      </c>
      <c r="I85" s="123" t="s">
        <v>220</v>
      </c>
      <c r="J85" s="123" t="s">
        <v>845</v>
      </c>
      <c r="K85" s="159">
        <v>12043</v>
      </c>
    </row>
    <row r="86" spans="1:11" s="123" customFormat="1">
      <c r="A86" s="42" t="s">
        <v>629</v>
      </c>
      <c r="B86" s="42">
        <v>2208415</v>
      </c>
      <c r="C86" s="151" t="s">
        <v>103</v>
      </c>
      <c r="D86" s="42"/>
      <c r="E86" s="181">
        <v>12384</v>
      </c>
      <c r="F86" s="42"/>
      <c r="G86" s="159">
        <v>13346</v>
      </c>
      <c r="H86" s="123" t="s">
        <v>495</v>
      </c>
      <c r="I86" s="123" t="s">
        <v>329</v>
      </c>
      <c r="J86" s="123" t="s">
        <v>845</v>
      </c>
      <c r="K86" s="159">
        <v>12100</v>
      </c>
    </row>
    <row r="87" spans="1:11" s="123" customFormat="1">
      <c r="A87" s="42" t="s">
        <v>629</v>
      </c>
      <c r="B87" s="42">
        <v>2175860</v>
      </c>
      <c r="C87" s="151" t="s">
        <v>103</v>
      </c>
      <c r="D87" s="42"/>
      <c r="E87" s="181">
        <v>12396</v>
      </c>
      <c r="F87" s="42"/>
      <c r="G87" s="159">
        <v>13066</v>
      </c>
      <c r="H87" s="123" t="s">
        <v>495</v>
      </c>
      <c r="I87" s="207" t="s">
        <v>560</v>
      </c>
      <c r="J87" s="123" t="s">
        <v>845</v>
      </c>
      <c r="K87" s="159">
        <v>12068</v>
      </c>
    </row>
    <row r="88" spans="1:11" s="123" customFormat="1">
      <c r="A88" s="42" t="s">
        <v>629</v>
      </c>
      <c r="B88" s="42">
        <v>2179337</v>
      </c>
      <c r="C88" s="151" t="s">
        <v>103</v>
      </c>
      <c r="D88" s="42"/>
      <c r="E88" s="181">
        <v>12404</v>
      </c>
      <c r="F88" s="42"/>
      <c r="G88" s="159">
        <v>13094</v>
      </c>
      <c r="H88" s="123" t="s">
        <v>495</v>
      </c>
      <c r="I88" s="123" t="s">
        <v>315</v>
      </c>
      <c r="J88" s="123" t="s">
        <v>845</v>
      </c>
      <c r="K88" s="159">
        <v>12040</v>
      </c>
    </row>
    <row r="89" spans="1:11" s="123" customFormat="1">
      <c r="A89" s="42" t="s">
        <v>629</v>
      </c>
      <c r="B89" s="42">
        <v>2189353</v>
      </c>
      <c r="C89" s="151" t="s">
        <v>103</v>
      </c>
      <c r="D89" s="42"/>
      <c r="E89" s="181">
        <v>12409</v>
      </c>
      <c r="F89" s="42"/>
      <c r="G89" s="159">
        <v>13185</v>
      </c>
      <c r="H89" s="123" t="s">
        <v>495</v>
      </c>
      <c r="I89" s="123" t="s">
        <v>441</v>
      </c>
      <c r="J89" s="123" t="s">
        <v>845</v>
      </c>
      <c r="K89" s="159">
        <v>12045</v>
      </c>
    </row>
    <row r="90" spans="1:11" s="123" customFormat="1">
      <c r="A90" s="42" t="s">
        <v>629</v>
      </c>
      <c r="B90" s="42">
        <v>2261701</v>
      </c>
      <c r="C90" s="151" t="s">
        <v>103</v>
      </c>
      <c r="D90" s="42" t="s">
        <v>443</v>
      </c>
      <c r="E90" s="181">
        <v>12409</v>
      </c>
      <c r="F90" s="112">
        <v>13130</v>
      </c>
      <c r="G90" s="159">
        <v>13822</v>
      </c>
      <c r="H90" s="123" t="s">
        <v>495</v>
      </c>
      <c r="I90" s="123" t="s">
        <v>441</v>
      </c>
      <c r="J90" s="123" t="s">
        <v>845</v>
      </c>
      <c r="K90" s="159">
        <v>12045</v>
      </c>
    </row>
    <row r="91" spans="1:11" s="123" customFormat="1">
      <c r="A91" s="42" t="s">
        <v>629</v>
      </c>
      <c r="B91" s="42">
        <v>2196411</v>
      </c>
      <c r="C91" s="151" t="s">
        <v>103</v>
      </c>
      <c r="D91" s="42"/>
      <c r="E91" s="181">
        <v>12440</v>
      </c>
      <c r="F91" s="42"/>
      <c r="G91" s="159">
        <v>13248</v>
      </c>
      <c r="H91" s="123" t="s">
        <v>495</v>
      </c>
      <c r="I91" s="123" t="s">
        <v>440</v>
      </c>
      <c r="J91" s="123" t="s">
        <v>845</v>
      </c>
      <c r="K91" s="159">
        <v>12076</v>
      </c>
    </row>
    <row r="92" spans="1:11" s="123" customFormat="1">
      <c r="A92" s="42" t="s">
        <v>629</v>
      </c>
      <c r="B92" s="42">
        <v>2224733</v>
      </c>
      <c r="C92" s="151" t="s">
        <v>103</v>
      </c>
      <c r="D92" s="42"/>
      <c r="E92" s="181">
        <v>12454</v>
      </c>
      <c r="F92" s="42"/>
      <c r="G92" s="159">
        <v>13493</v>
      </c>
      <c r="H92" s="123" t="s">
        <v>495</v>
      </c>
      <c r="I92" s="123" t="s">
        <v>213</v>
      </c>
      <c r="J92" s="123" t="s">
        <v>845</v>
      </c>
      <c r="K92" s="159">
        <v>11967</v>
      </c>
    </row>
    <row r="93" spans="1:11" s="123" customFormat="1">
      <c r="A93" s="42" t="s">
        <v>629</v>
      </c>
      <c r="B93" s="42">
        <v>2182640</v>
      </c>
      <c r="C93" s="151" t="s">
        <v>103</v>
      </c>
      <c r="D93" s="42"/>
      <c r="E93" s="181">
        <v>12460</v>
      </c>
      <c r="F93" s="42"/>
      <c r="G93" s="159">
        <v>13122</v>
      </c>
      <c r="H93" s="123" t="s">
        <v>495</v>
      </c>
      <c r="I93" s="123" t="s">
        <v>570</v>
      </c>
      <c r="J93" s="123" t="s">
        <v>845</v>
      </c>
      <c r="K93" s="159">
        <v>12225</v>
      </c>
    </row>
    <row r="94" spans="1:11" s="123" customFormat="1">
      <c r="A94" s="42" t="s">
        <v>629</v>
      </c>
      <c r="B94" s="42">
        <v>2183079</v>
      </c>
      <c r="C94" s="151" t="s">
        <v>103</v>
      </c>
      <c r="D94" s="42"/>
      <c r="E94" s="181">
        <v>12460</v>
      </c>
      <c r="F94" s="42"/>
      <c r="G94" s="159">
        <v>13129</v>
      </c>
      <c r="H94" s="123" t="s">
        <v>495</v>
      </c>
      <c r="I94" s="123" t="s">
        <v>314</v>
      </c>
      <c r="J94" s="123" t="s">
        <v>845</v>
      </c>
      <c r="K94" s="159">
        <v>12096</v>
      </c>
    </row>
    <row r="95" spans="1:11" s="123" customFormat="1">
      <c r="A95" s="42" t="s">
        <v>629</v>
      </c>
      <c r="B95" s="42">
        <v>2189615</v>
      </c>
      <c r="C95" s="151" t="s">
        <v>103</v>
      </c>
      <c r="D95" s="42"/>
      <c r="E95" s="181">
        <v>12460</v>
      </c>
      <c r="F95" s="42"/>
      <c r="G95" s="159">
        <v>13185</v>
      </c>
      <c r="H95" s="123" t="s">
        <v>495</v>
      </c>
      <c r="I95" s="123" t="s">
        <v>140</v>
      </c>
      <c r="J95" s="123" t="s">
        <v>845</v>
      </c>
      <c r="K95" s="159">
        <v>12213</v>
      </c>
    </row>
    <row r="96" spans="1:11" s="123" customFormat="1">
      <c r="A96" s="42" t="s">
        <v>629</v>
      </c>
      <c r="B96" s="42">
        <v>2228101</v>
      </c>
      <c r="C96" s="151" t="s">
        <v>103</v>
      </c>
      <c r="D96" s="42"/>
      <c r="E96" s="181">
        <v>12461</v>
      </c>
      <c r="F96" s="42"/>
      <c r="G96" s="159">
        <v>13521</v>
      </c>
      <c r="H96" s="123" t="s">
        <v>495</v>
      </c>
      <c r="I96" s="123" t="s">
        <v>323</v>
      </c>
      <c r="J96" s="123" t="s">
        <v>845</v>
      </c>
      <c r="K96" s="159">
        <v>12097</v>
      </c>
    </row>
    <row r="97" spans="1:11" s="123" customFormat="1">
      <c r="A97" s="42" t="s">
        <v>629</v>
      </c>
      <c r="B97" s="42">
        <v>2217457</v>
      </c>
      <c r="C97" s="151" t="s">
        <v>103</v>
      </c>
      <c r="D97" s="42"/>
      <c r="E97" s="181">
        <v>12467</v>
      </c>
      <c r="F97" s="42"/>
      <c r="G97" s="159">
        <v>13430</v>
      </c>
      <c r="H97" s="123" t="s">
        <v>495</v>
      </c>
      <c r="I97" s="123" t="s">
        <v>452</v>
      </c>
      <c r="J97" s="123" t="s">
        <v>845</v>
      </c>
      <c r="K97" s="159">
        <v>12109</v>
      </c>
    </row>
    <row r="98" spans="1:11" s="123" customFormat="1">
      <c r="A98" s="42" t="s">
        <v>629</v>
      </c>
      <c r="B98" s="42">
        <v>2186211</v>
      </c>
      <c r="C98" s="151" t="s">
        <v>103</v>
      </c>
      <c r="D98" s="42"/>
      <c r="E98" s="181">
        <v>12482</v>
      </c>
      <c r="F98" s="42"/>
      <c r="G98" s="159">
        <v>13157</v>
      </c>
      <c r="H98" s="123" t="s">
        <v>495</v>
      </c>
      <c r="I98" s="123" t="s">
        <v>313</v>
      </c>
      <c r="J98" s="123" t="s">
        <v>845</v>
      </c>
      <c r="K98" s="159">
        <v>12150</v>
      </c>
    </row>
    <row r="99" spans="1:11" s="123" customFormat="1">
      <c r="A99" s="42" t="s">
        <v>629</v>
      </c>
      <c r="B99" s="42">
        <v>2254941</v>
      </c>
      <c r="C99" s="151" t="s">
        <v>103</v>
      </c>
      <c r="D99" s="42"/>
      <c r="E99" s="181">
        <v>12486</v>
      </c>
      <c r="F99" s="42"/>
      <c r="G99" s="159">
        <v>13759</v>
      </c>
      <c r="H99" s="123" t="s">
        <v>495</v>
      </c>
      <c r="I99" s="123" t="s">
        <v>139</v>
      </c>
      <c r="J99" s="123" t="s">
        <v>845</v>
      </c>
      <c r="K99" s="159">
        <v>12122</v>
      </c>
    </row>
    <row r="100" spans="1:11" s="123" customFormat="1">
      <c r="A100" s="42" t="s">
        <v>629</v>
      </c>
      <c r="B100" s="42">
        <v>2185280</v>
      </c>
      <c r="C100" s="151" t="s">
        <v>103</v>
      </c>
      <c r="D100" s="42"/>
      <c r="E100" s="181">
        <v>12496</v>
      </c>
      <c r="F100" s="42"/>
      <c r="G100" s="159">
        <v>13150</v>
      </c>
      <c r="H100" s="123" t="s">
        <v>495</v>
      </c>
      <c r="I100" s="42" t="s">
        <v>431</v>
      </c>
      <c r="J100" s="123" t="s">
        <v>845</v>
      </c>
      <c r="K100" s="159">
        <v>11922</v>
      </c>
    </row>
    <row r="101" spans="1:11" s="123" customFormat="1">
      <c r="A101" s="42" t="s">
        <v>629</v>
      </c>
      <c r="B101" s="42">
        <v>2175824</v>
      </c>
      <c r="C101" s="151" t="s">
        <v>103</v>
      </c>
      <c r="D101" s="42"/>
      <c r="E101" s="181">
        <v>12523</v>
      </c>
      <c r="F101" s="42"/>
      <c r="G101" s="200">
        <v>13066</v>
      </c>
      <c r="H101" s="123" t="s">
        <v>495</v>
      </c>
      <c r="I101" s="123" t="s">
        <v>424</v>
      </c>
      <c r="J101" s="123" t="s">
        <v>845</v>
      </c>
      <c r="K101" s="159">
        <v>12163</v>
      </c>
    </row>
    <row r="102" spans="1:11" s="123" customFormat="1">
      <c r="A102" s="42" t="s">
        <v>629</v>
      </c>
      <c r="B102" s="42">
        <v>2165055</v>
      </c>
      <c r="C102" s="151" t="s">
        <v>103</v>
      </c>
      <c r="D102" s="42"/>
      <c r="E102" s="181">
        <v>12536</v>
      </c>
      <c r="F102" s="42"/>
      <c r="G102" s="159">
        <v>12968</v>
      </c>
      <c r="H102" s="123" t="s">
        <v>495</v>
      </c>
      <c r="I102" s="123" t="s">
        <v>671</v>
      </c>
      <c r="J102" s="123" t="s">
        <v>845</v>
      </c>
      <c r="K102" s="159">
        <v>12233</v>
      </c>
    </row>
    <row r="103" spans="1:11" s="123" customFormat="1">
      <c r="A103" s="42" t="s">
        <v>629</v>
      </c>
      <c r="B103" s="42">
        <v>2150307</v>
      </c>
      <c r="C103" s="151" t="s">
        <v>103</v>
      </c>
      <c r="D103" s="42"/>
      <c r="E103" s="181">
        <v>12559</v>
      </c>
      <c r="F103" s="42"/>
      <c r="G103" s="159">
        <v>12856</v>
      </c>
      <c r="H103" s="123" t="s">
        <v>495</v>
      </c>
      <c r="I103" s="123" t="s">
        <v>504</v>
      </c>
      <c r="J103" s="123" t="s">
        <v>845</v>
      </c>
      <c r="K103" s="159">
        <v>12250</v>
      </c>
    </row>
    <row r="104" spans="1:11" s="123" customFormat="1">
      <c r="A104" s="42" t="s">
        <v>629</v>
      </c>
      <c r="B104" s="42">
        <v>2175841</v>
      </c>
      <c r="C104" s="151" t="s">
        <v>103</v>
      </c>
      <c r="D104" s="42"/>
      <c r="E104" s="181">
        <v>12559</v>
      </c>
      <c r="F104" s="42"/>
      <c r="G104" s="159">
        <v>13066</v>
      </c>
      <c r="H104" s="123" t="s">
        <v>495</v>
      </c>
      <c r="I104" s="123" t="s">
        <v>559</v>
      </c>
      <c r="J104" s="123" t="s">
        <v>845</v>
      </c>
      <c r="K104" s="159">
        <v>12188</v>
      </c>
    </row>
    <row r="105" spans="1:11" s="123" customFormat="1">
      <c r="A105" s="42" t="s">
        <v>629</v>
      </c>
      <c r="B105" s="42">
        <v>2196409</v>
      </c>
      <c r="C105" s="151" t="s">
        <v>103</v>
      </c>
      <c r="D105" s="42"/>
      <c r="E105" s="181">
        <v>12559</v>
      </c>
      <c r="F105" s="42"/>
      <c r="G105" s="159">
        <v>13248</v>
      </c>
      <c r="H105" s="123" t="s">
        <v>495</v>
      </c>
      <c r="I105" s="123" t="s">
        <v>439</v>
      </c>
      <c r="J105" s="123" t="s">
        <v>845</v>
      </c>
      <c r="K105" s="159">
        <v>12292</v>
      </c>
    </row>
    <row r="106" spans="1:11" s="123" customFormat="1">
      <c r="A106" s="42" t="s">
        <v>629</v>
      </c>
      <c r="B106" s="42">
        <v>2217435</v>
      </c>
      <c r="C106" s="151" t="s">
        <v>103</v>
      </c>
      <c r="D106" s="42"/>
      <c r="E106" s="181">
        <v>12559</v>
      </c>
      <c r="F106" s="42"/>
      <c r="G106" s="159">
        <v>13430</v>
      </c>
      <c r="H106" s="123" t="s">
        <v>495</v>
      </c>
      <c r="I106" s="123" t="s">
        <v>144</v>
      </c>
      <c r="J106" s="123" t="s">
        <v>845</v>
      </c>
      <c r="K106" s="159">
        <v>12326</v>
      </c>
    </row>
    <row r="107" spans="1:11" s="123" customFormat="1">
      <c r="A107" s="42" t="s">
        <v>629</v>
      </c>
      <c r="B107" s="42">
        <v>2231683</v>
      </c>
      <c r="C107" s="151" t="s">
        <v>103</v>
      </c>
      <c r="D107" s="42"/>
      <c r="E107" s="181">
        <v>12559</v>
      </c>
      <c r="F107" s="42"/>
      <c r="G107" s="159">
        <v>13556</v>
      </c>
      <c r="H107" s="123" t="s">
        <v>495</v>
      </c>
      <c r="I107" s="123" t="s">
        <v>140</v>
      </c>
      <c r="J107" s="123" t="s">
        <v>845</v>
      </c>
      <c r="K107" s="159">
        <v>12208</v>
      </c>
    </row>
    <row r="108" spans="1:11" s="123" customFormat="1">
      <c r="A108" s="42" t="s">
        <v>629</v>
      </c>
      <c r="B108" s="42">
        <v>2259289</v>
      </c>
      <c r="C108" s="151" t="s">
        <v>103</v>
      </c>
      <c r="D108" s="42"/>
      <c r="E108" s="181">
        <v>12559</v>
      </c>
      <c r="F108" s="42"/>
      <c r="G108" s="159">
        <v>13801</v>
      </c>
      <c r="H108" s="123" t="s">
        <v>495</v>
      </c>
      <c r="I108" s="123" t="s">
        <v>131</v>
      </c>
      <c r="J108" s="123" t="s">
        <v>845</v>
      </c>
      <c r="K108" s="159">
        <v>12305</v>
      </c>
    </row>
    <row r="109" spans="1:11" s="123" customFormat="1">
      <c r="A109" s="42" t="s">
        <v>629</v>
      </c>
      <c r="B109" s="42">
        <v>2155090</v>
      </c>
      <c r="C109" s="151" t="s">
        <v>103</v>
      </c>
      <c r="D109" s="42"/>
      <c r="E109" s="181">
        <v>12579</v>
      </c>
      <c r="F109" s="42"/>
      <c r="G109" s="159">
        <v>12891</v>
      </c>
      <c r="H109" s="123" t="s">
        <v>495</v>
      </c>
      <c r="I109" s="123" t="s">
        <v>507</v>
      </c>
      <c r="J109" s="123" t="s">
        <v>845</v>
      </c>
      <c r="K109" s="159">
        <v>12214</v>
      </c>
    </row>
    <row r="110" spans="1:11" s="123" customFormat="1">
      <c r="A110" s="42" t="s">
        <v>629</v>
      </c>
      <c r="B110" s="42">
        <v>2157922</v>
      </c>
      <c r="C110" s="151" t="s">
        <v>103</v>
      </c>
      <c r="D110" s="42"/>
      <c r="E110" s="181">
        <v>12593</v>
      </c>
      <c r="F110" s="42"/>
      <c r="G110" s="159">
        <v>12912</v>
      </c>
      <c r="H110" s="123" t="s">
        <v>495</v>
      </c>
      <c r="I110" s="123" t="s">
        <v>313</v>
      </c>
      <c r="J110" s="123" t="s">
        <v>845</v>
      </c>
      <c r="K110" s="159">
        <v>12244</v>
      </c>
    </row>
    <row r="111" spans="1:11" s="123" customFormat="1">
      <c r="A111" s="42" t="s">
        <v>629</v>
      </c>
      <c r="B111" s="42">
        <v>2254918</v>
      </c>
      <c r="C111" s="151" t="s">
        <v>103</v>
      </c>
      <c r="D111" s="42"/>
      <c r="E111" s="181">
        <v>12593</v>
      </c>
      <c r="F111" s="42"/>
      <c r="G111" s="159">
        <v>13759</v>
      </c>
      <c r="H111" s="123" t="s">
        <v>495</v>
      </c>
      <c r="I111" s="123" t="s">
        <v>313</v>
      </c>
      <c r="J111" s="123" t="s">
        <v>845</v>
      </c>
      <c r="K111" s="159">
        <v>12292</v>
      </c>
    </row>
    <row r="112" spans="1:11" s="123" customFormat="1">
      <c r="A112" s="42" t="s">
        <v>629</v>
      </c>
      <c r="B112" s="42">
        <v>2179283</v>
      </c>
      <c r="C112" s="151" t="s">
        <v>103</v>
      </c>
      <c r="D112" s="42"/>
      <c r="E112" s="181">
        <v>12611</v>
      </c>
      <c r="F112" s="42"/>
      <c r="G112" s="159">
        <v>13094</v>
      </c>
      <c r="H112" s="123" t="s">
        <v>495</v>
      </c>
      <c r="I112" s="123" t="s">
        <v>426</v>
      </c>
      <c r="J112" s="123" t="s">
        <v>845</v>
      </c>
      <c r="K112" s="159">
        <v>12250</v>
      </c>
    </row>
    <row r="113" spans="1:11" s="123" customFormat="1">
      <c r="A113" s="42" t="s">
        <v>629</v>
      </c>
      <c r="B113" s="42">
        <v>2184764</v>
      </c>
      <c r="C113" s="151" t="s">
        <v>103</v>
      </c>
      <c r="D113" s="42"/>
      <c r="E113" s="181">
        <v>12612</v>
      </c>
      <c r="F113" s="42"/>
      <c r="G113" s="159">
        <v>13143</v>
      </c>
      <c r="H113" s="123" t="s">
        <v>495</v>
      </c>
      <c r="I113" s="123" t="s">
        <v>430</v>
      </c>
      <c r="J113" s="123" t="s">
        <v>845</v>
      </c>
      <c r="K113" s="159">
        <v>12251</v>
      </c>
    </row>
    <row r="114" spans="1:11" s="123" customFormat="1">
      <c r="A114" s="42" t="s">
        <v>629</v>
      </c>
      <c r="B114" s="42">
        <v>2208416</v>
      </c>
      <c r="C114" s="151" t="s">
        <v>103</v>
      </c>
      <c r="D114" s="42"/>
      <c r="E114" s="181">
        <v>12612</v>
      </c>
      <c r="F114" s="42"/>
      <c r="G114" s="159">
        <v>13346</v>
      </c>
      <c r="H114" s="123" t="s">
        <v>495</v>
      </c>
      <c r="I114" s="123" t="s">
        <v>565</v>
      </c>
      <c r="J114" s="123" t="s">
        <v>845</v>
      </c>
      <c r="K114" s="159">
        <v>12248</v>
      </c>
    </row>
    <row r="115" spans="1:11" s="123" customFormat="1">
      <c r="A115" s="42" t="s">
        <v>629</v>
      </c>
      <c r="B115" s="42">
        <v>2189617</v>
      </c>
      <c r="C115" s="151" t="s">
        <v>103</v>
      </c>
      <c r="D115" s="42"/>
      <c r="E115" s="181">
        <v>12615</v>
      </c>
      <c r="F115" s="42"/>
      <c r="G115" s="159">
        <v>13185</v>
      </c>
      <c r="H115" s="123" t="s">
        <v>495</v>
      </c>
      <c r="I115" s="123" t="s">
        <v>322</v>
      </c>
      <c r="J115" s="123" t="s">
        <v>845</v>
      </c>
      <c r="K115" s="159">
        <v>12360</v>
      </c>
    </row>
    <row r="116" spans="1:11" s="123" customFormat="1">
      <c r="A116" s="42" t="s">
        <v>629</v>
      </c>
      <c r="B116" s="42">
        <v>2223729</v>
      </c>
      <c r="C116" s="151" t="s">
        <v>103</v>
      </c>
      <c r="D116" s="42"/>
      <c r="E116" s="181">
        <v>12619</v>
      </c>
      <c r="F116" s="42"/>
      <c r="G116" s="159">
        <v>13486</v>
      </c>
      <c r="H116" s="123" t="s">
        <v>495</v>
      </c>
      <c r="I116" s="42" t="s">
        <v>211</v>
      </c>
      <c r="J116" s="123" t="s">
        <v>845</v>
      </c>
      <c r="K116" s="159">
        <v>12254</v>
      </c>
    </row>
    <row r="117" spans="1:11" s="123" customFormat="1">
      <c r="A117" s="42" t="s">
        <v>629</v>
      </c>
      <c r="B117" s="42">
        <v>2205231</v>
      </c>
      <c r="C117" s="151" t="s">
        <v>103</v>
      </c>
      <c r="D117" s="42"/>
      <c r="E117" s="181">
        <v>12647</v>
      </c>
      <c r="F117" s="42"/>
      <c r="G117" s="159">
        <v>13318</v>
      </c>
      <c r="H117" s="123" t="s">
        <v>327</v>
      </c>
      <c r="I117" s="123" t="s">
        <v>137</v>
      </c>
      <c r="J117" s="123" t="s">
        <v>845</v>
      </c>
      <c r="K117" s="159">
        <v>12282</v>
      </c>
    </row>
    <row r="118" spans="1:11" s="123" customFormat="1">
      <c r="A118" s="42" t="s">
        <v>629</v>
      </c>
      <c r="B118" s="42">
        <v>2214610</v>
      </c>
      <c r="C118" s="151" t="s">
        <v>103</v>
      </c>
      <c r="D118" s="112"/>
      <c r="E118" s="181">
        <v>12657</v>
      </c>
      <c r="F118" s="42"/>
      <c r="G118" s="159">
        <v>13402</v>
      </c>
      <c r="H118" s="123" t="s">
        <v>495</v>
      </c>
      <c r="I118" s="123" t="s">
        <v>454</v>
      </c>
      <c r="J118" s="123" t="s">
        <v>845</v>
      </c>
      <c r="K118" s="159">
        <v>12444</v>
      </c>
    </row>
    <row r="119" spans="1:11" s="123" customFormat="1">
      <c r="A119" s="42" t="s">
        <v>629</v>
      </c>
      <c r="B119" s="42">
        <v>2217268</v>
      </c>
      <c r="C119" s="151" t="s">
        <v>103</v>
      </c>
      <c r="D119" s="42"/>
      <c r="E119" s="181">
        <v>12662</v>
      </c>
      <c r="F119" s="42"/>
      <c r="G119" s="159">
        <v>13430</v>
      </c>
      <c r="H119" s="123" t="s">
        <v>495</v>
      </c>
      <c r="I119" s="123" t="s">
        <v>143</v>
      </c>
      <c r="J119" s="123" t="s">
        <v>845</v>
      </c>
      <c r="K119" s="159">
        <v>12395</v>
      </c>
    </row>
    <row r="120" spans="1:11" s="123" customFormat="1">
      <c r="A120" s="42" t="s">
        <v>629</v>
      </c>
      <c r="B120" s="42">
        <v>2234361</v>
      </c>
      <c r="C120" s="151" t="s">
        <v>103</v>
      </c>
      <c r="D120" s="42"/>
      <c r="E120" s="181">
        <v>12662</v>
      </c>
      <c r="F120" s="42"/>
      <c r="G120" s="181">
        <v>13584</v>
      </c>
      <c r="H120" s="123" t="s">
        <v>495</v>
      </c>
      <c r="I120" s="123" t="s">
        <v>237</v>
      </c>
      <c r="J120" s="123" t="s">
        <v>845</v>
      </c>
      <c r="K120" s="159">
        <v>12383</v>
      </c>
    </row>
    <row r="121" spans="1:11" s="123" customFormat="1">
      <c r="A121" s="42" t="s">
        <v>629</v>
      </c>
      <c r="B121" s="42">
        <v>2181321</v>
      </c>
      <c r="C121" s="151" t="s">
        <v>103</v>
      </c>
      <c r="D121" s="42"/>
      <c r="E121" s="181">
        <v>12664</v>
      </c>
      <c r="F121" s="42"/>
      <c r="G121" s="159">
        <v>13115</v>
      </c>
      <c r="H121" s="123" t="s">
        <v>495</v>
      </c>
      <c r="I121" s="123" t="s">
        <v>565</v>
      </c>
      <c r="J121" s="123" t="s">
        <v>845</v>
      </c>
      <c r="K121" s="159">
        <v>12284</v>
      </c>
    </row>
    <row r="122" spans="1:11" s="123" customFormat="1">
      <c r="A122" s="42" t="s">
        <v>629</v>
      </c>
      <c r="B122" s="42">
        <v>2290320</v>
      </c>
      <c r="C122" s="151" t="s">
        <v>103</v>
      </c>
      <c r="D122" s="42"/>
      <c r="E122" s="181">
        <v>12709</v>
      </c>
      <c r="F122" s="42"/>
      <c r="G122" s="159">
        <v>14081</v>
      </c>
      <c r="H122" s="123" t="s">
        <v>495</v>
      </c>
      <c r="I122" s="207" t="s">
        <v>233</v>
      </c>
      <c r="J122" s="123" t="s">
        <v>845</v>
      </c>
      <c r="K122" s="159">
        <v>12367</v>
      </c>
    </row>
    <row r="123" spans="1:11" s="123" customFormat="1">
      <c r="A123" s="42" t="s">
        <v>629</v>
      </c>
      <c r="B123" s="42">
        <v>2210694</v>
      </c>
      <c r="C123" s="151" t="s">
        <v>103</v>
      </c>
      <c r="D123" s="42"/>
      <c r="E123" s="181">
        <v>12720</v>
      </c>
      <c r="F123" s="42"/>
      <c r="G123" s="159">
        <v>13367</v>
      </c>
      <c r="H123" s="123" t="s">
        <v>495</v>
      </c>
      <c r="I123" s="123" t="s">
        <v>453</v>
      </c>
      <c r="J123" s="123" t="s">
        <v>845</v>
      </c>
      <c r="K123" s="159">
        <v>12450</v>
      </c>
    </row>
    <row r="124" spans="1:11" s="123" customFormat="1">
      <c r="A124" s="42" t="s">
        <v>629</v>
      </c>
      <c r="B124" s="42">
        <v>2261661</v>
      </c>
      <c r="C124" s="151" t="s">
        <v>103</v>
      </c>
      <c r="D124" s="42"/>
      <c r="E124" s="181">
        <v>12723</v>
      </c>
      <c r="F124" s="42"/>
      <c r="G124" s="159">
        <v>13822</v>
      </c>
      <c r="H124" s="123" t="s">
        <v>495</v>
      </c>
      <c r="I124" s="123" t="s">
        <v>236</v>
      </c>
      <c r="J124" s="123" t="s">
        <v>845</v>
      </c>
      <c r="K124" s="159">
        <v>12359</v>
      </c>
    </row>
    <row r="125" spans="1:11" s="123" customFormat="1">
      <c r="A125" s="42" t="s">
        <v>629</v>
      </c>
      <c r="B125" s="42">
        <v>2217487</v>
      </c>
      <c r="C125" s="151" t="s">
        <v>103</v>
      </c>
      <c r="D125" s="42"/>
      <c r="E125" s="181">
        <v>12734</v>
      </c>
      <c r="F125" s="42"/>
      <c r="G125" s="159">
        <v>13430</v>
      </c>
      <c r="H125" s="123" t="s">
        <v>495</v>
      </c>
      <c r="I125" s="123" t="s">
        <v>146</v>
      </c>
      <c r="J125" s="123" t="s">
        <v>845</v>
      </c>
      <c r="K125" s="159">
        <v>12498</v>
      </c>
    </row>
    <row r="126" spans="1:11" s="123" customFormat="1">
      <c r="A126" s="42" t="s">
        <v>629</v>
      </c>
      <c r="B126" s="42">
        <v>2172204</v>
      </c>
      <c r="C126" s="151" t="s">
        <v>103</v>
      </c>
      <c r="D126" s="42"/>
      <c r="E126" s="181">
        <v>12738</v>
      </c>
      <c r="F126" s="42"/>
      <c r="G126" s="159">
        <v>13031</v>
      </c>
      <c r="H126" s="123" t="s">
        <v>495</v>
      </c>
      <c r="I126" s="123" t="s">
        <v>672</v>
      </c>
      <c r="J126" s="123" t="s">
        <v>845</v>
      </c>
      <c r="K126" s="159">
        <v>12375</v>
      </c>
    </row>
    <row r="127" spans="1:11" s="123" customFormat="1">
      <c r="A127" s="42" t="s">
        <v>629</v>
      </c>
      <c r="B127" s="42">
        <v>2221574</v>
      </c>
      <c r="C127" s="151" t="s">
        <v>103</v>
      </c>
      <c r="D127" s="42"/>
      <c r="E127" s="181">
        <v>12738</v>
      </c>
      <c r="F127" s="42"/>
      <c r="G127" s="159">
        <v>13465</v>
      </c>
      <c r="H127" s="123" t="s">
        <v>495</v>
      </c>
      <c r="I127" s="123" t="s">
        <v>307</v>
      </c>
      <c r="J127" s="207" t="s">
        <v>845</v>
      </c>
      <c r="K127" s="159">
        <v>12397</v>
      </c>
    </row>
    <row r="128" spans="1:11" s="123" customFormat="1">
      <c r="A128" s="42" t="s">
        <v>629</v>
      </c>
      <c r="B128" s="42">
        <v>2247201</v>
      </c>
      <c r="C128" s="151" t="s">
        <v>103</v>
      </c>
      <c r="D128" s="42"/>
      <c r="E128" s="181">
        <v>12738</v>
      </c>
      <c r="F128" s="42"/>
      <c r="G128" s="159">
        <v>13689</v>
      </c>
      <c r="H128" s="123" t="s">
        <v>495</v>
      </c>
      <c r="I128" s="123" t="s">
        <v>390</v>
      </c>
      <c r="J128" s="123" t="s">
        <v>845</v>
      </c>
      <c r="K128" s="159">
        <v>12387</v>
      </c>
    </row>
    <row r="129" spans="1:11" s="123" customFormat="1">
      <c r="A129" s="42" t="s">
        <v>629</v>
      </c>
      <c r="B129" s="42">
        <v>2254029</v>
      </c>
      <c r="C129" s="151" t="s">
        <v>103</v>
      </c>
      <c r="D129" s="42"/>
      <c r="E129" s="181">
        <v>12738</v>
      </c>
      <c r="F129" s="42"/>
      <c r="G129" s="159">
        <v>13752</v>
      </c>
      <c r="H129" s="123" t="s">
        <v>495</v>
      </c>
      <c r="I129" s="123" t="s">
        <v>307</v>
      </c>
      <c r="J129" s="123" t="s">
        <v>845</v>
      </c>
      <c r="K129" s="159">
        <v>12454</v>
      </c>
    </row>
    <row r="130" spans="1:11" s="123" customFormat="1">
      <c r="A130" s="42" t="s">
        <v>629</v>
      </c>
      <c r="B130" s="42">
        <v>2261676</v>
      </c>
      <c r="C130" s="151" t="s">
        <v>103</v>
      </c>
      <c r="D130" s="42"/>
      <c r="E130" s="181">
        <v>12738</v>
      </c>
      <c r="F130" s="42"/>
      <c r="G130" s="159">
        <v>13822</v>
      </c>
      <c r="H130" s="123" t="s">
        <v>495</v>
      </c>
      <c r="I130" s="123" t="s">
        <v>395</v>
      </c>
      <c r="J130" s="123" t="s">
        <v>845</v>
      </c>
      <c r="K130" s="159">
        <v>12391</v>
      </c>
    </row>
    <row r="131" spans="1:11" s="123" customFormat="1">
      <c r="A131" s="42" t="s">
        <v>629</v>
      </c>
      <c r="B131" s="42">
        <v>2186244</v>
      </c>
      <c r="C131" s="151" t="s">
        <v>103</v>
      </c>
      <c r="D131" s="42"/>
      <c r="E131" s="181">
        <v>12744</v>
      </c>
      <c r="F131" s="42"/>
      <c r="G131" s="159">
        <v>13157</v>
      </c>
      <c r="H131" s="123" t="s">
        <v>495</v>
      </c>
      <c r="I131" s="123" t="s">
        <v>320</v>
      </c>
      <c r="J131" s="123" t="s">
        <v>845</v>
      </c>
      <c r="K131" s="159">
        <v>12418</v>
      </c>
    </row>
    <row r="132" spans="1:11" s="123" customFormat="1">
      <c r="A132" s="42" t="s">
        <v>629</v>
      </c>
      <c r="B132" s="42">
        <v>2233605</v>
      </c>
      <c r="C132" s="151" t="s">
        <v>103</v>
      </c>
      <c r="D132" s="42"/>
      <c r="E132" s="181">
        <v>12744</v>
      </c>
      <c r="F132" s="42"/>
      <c r="G132" s="159">
        <v>13577</v>
      </c>
      <c r="H132" s="123" t="s">
        <v>495</v>
      </c>
      <c r="I132" s="123" t="s">
        <v>235</v>
      </c>
      <c r="J132" s="123" t="s">
        <v>845</v>
      </c>
      <c r="K132" s="159">
        <v>12410</v>
      </c>
    </row>
    <row r="133" spans="1:11" s="123" customFormat="1">
      <c r="A133" s="42" t="s">
        <v>629</v>
      </c>
      <c r="B133" s="42">
        <v>2248929</v>
      </c>
      <c r="C133" s="151" t="s">
        <v>103</v>
      </c>
      <c r="D133" s="42"/>
      <c r="E133" s="181">
        <v>12766</v>
      </c>
      <c r="F133" s="42"/>
      <c r="G133" s="159">
        <v>13710</v>
      </c>
      <c r="H133" s="123" t="s">
        <v>495</v>
      </c>
      <c r="I133" s="123" t="s">
        <v>391</v>
      </c>
      <c r="J133" s="123" t="s">
        <v>845</v>
      </c>
      <c r="K133" s="159">
        <v>12482</v>
      </c>
    </row>
    <row r="134" spans="1:11" s="123" customFormat="1">
      <c r="A134" s="42" t="s">
        <v>629</v>
      </c>
      <c r="B134" s="42">
        <v>2239554</v>
      </c>
      <c r="C134" s="151" t="s">
        <v>103</v>
      </c>
      <c r="D134" s="42"/>
      <c r="E134" s="181">
        <v>12769</v>
      </c>
      <c r="F134" s="42"/>
      <c r="G134" s="159">
        <v>13626</v>
      </c>
      <c r="H134" s="123" t="s">
        <v>495</v>
      </c>
      <c r="I134" s="123" t="s">
        <v>233</v>
      </c>
      <c r="J134" s="123" t="s">
        <v>845</v>
      </c>
      <c r="K134" s="159">
        <v>12447</v>
      </c>
    </row>
    <row r="135" spans="1:11" s="123" customFormat="1">
      <c r="A135" s="42" t="s">
        <v>629</v>
      </c>
      <c r="B135" s="42">
        <v>2246289</v>
      </c>
      <c r="C135" s="151" t="s">
        <v>103</v>
      </c>
      <c r="D135" s="42"/>
      <c r="E135" s="181">
        <v>12769</v>
      </c>
      <c r="F135" s="42"/>
      <c r="G135" s="159">
        <v>13682</v>
      </c>
      <c r="H135" s="123" t="s">
        <v>495</v>
      </c>
      <c r="I135" s="123" t="s">
        <v>373</v>
      </c>
      <c r="J135" s="123" t="s">
        <v>845</v>
      </c>
      <c r="K135" s="159">
        <v>12534</v>
      </c>
    </row>
    <row r="136" spans="1:11" s="123" customFormat="1">
      <c r="A136" s="42" t="s">
        <v>629</v>
      </c>
      <c r="B136" s="42">
        <v>2253370</v>
      </c>
      <c r="C136" s="151" t="s">
        <v>103</v>
      </c>
      <c r="D136" s="42"/>
      <c r="E136" s="181">
        <v>12769</v>
      </c>
      <c r="F136" s="42"/>
      <c r="G136" s="159">
        <v>13745</v>
      </c>
      <c r="H136" s="123" t="s">
        <v>495</v>
      </c>
      <c r="I136" s="123" t="s">
        <v>395</v>
      </c>
      <c r="J136" s="123" t="s">
        <v>845</v>
      </c>
      <c r="K136" s="159">
        <v>12482</v>
      </c>
    </row>
    <row r="137" spans="1:11" s="123" customFormat="1">
      <c r="A137" s="42" t="s">
        <v>629</v>
      </c>
      <c r="B137" s="42">
        <v>2254899</v>
      </c>
      <c r="C137" s="151" t="s">
        <v>103</v>
      </c>
      <c r="D137" s="42"/>
      <c r="E137" s="181">
        <v>12769</v>
      </c>
      <c r="F137" s="42"/>
      <c r="G137" s="200">
        <v>13759</v>
      </c>
      <c r="H137" s="123" t="s">
        <v>495</v>
      </c>
      <c r="I137" s="123" t="s">
        <v>128</v>
      </c>
      <c r="J137" s="123" t="s">
        <v>845</v>
      </c>
      <c r="K137" s="159">
        <v>12410</v>
      </c>
    </row>
    <row r="138" spans="1:11" s="123" customFormat="1">
      <c r="A138" s="42" t="s">
        <v>629</v>
      </c>
      <c r="B138" s="42">
        <v>2261686</v>
      </c>
      <c r="C138" s="151" t="s">
        <v>103</v>
      </c>
      <c r="D138" s="42"/>
      <c r="E138" s="181">
        <v>12769</v>
      </c>
      <c r="F138" s="42"/>
      <c r="G138" s="159">
        <v>13822</v>
      </c>
      <c r="H138" s="123" t="s">
        <v>495</v>
      </c>
      <c r="I138" s="123" t="s">
        <v>319</v>
      </c>
      <c r="J138" s="123" t="s">
        <v>845</v>
      </c>
      <c r="K138" s="159">
        <v>12418</v>
      </c>
    </row>
    <row r="139" spans="1:11" s="123" customFormat="1">
      <c r="A139" s="42" t="s">
        <v>629</v>
      </c>
      <c r="B139" s="42">
        <v>2235074</v>
      </c>
      <c r="C139" s="151" t="s">
        <v>103</v>
      </c>
      <c r="D139" s="42"/>
      <c r="E139" s="181">
        <v>12787</v>
      </c>
      <c r="F139" s="42"/>
      <c r="G139" s="159">
        <v>13591</v>
      </c>
      <c r="H139" s="123" t="s">
        <v>495</v>
      </c>
      <c r="I139" s="123" t="s">
        <v>319</v>
      </c>
      <c r="J139" s="123" t="s">
        <v>845</v>
      </c>
      <c r="K139" s="159">
        <v>12423</v>
      </c>
    </row>
    <row r="140" spans="1:11" s="123" customFormat="1">
      <c r="A140" s="42" t="s">
        <v>629</v>
      </c>
      <c r="B140" s="42">
        <v>2254903</v>
      </c>
      <c r="C140" s="151" t="s">
        <v>103</v>
      </c>
      <c r="D140" s="42"/>
      <c r="E140" s="181">
        <v>12787</v>
      </c>
      <c r="F140" s="42"/>
      <c r="G140" s="159">
        <v>13759</v>
      </c>
      <c r="H140" s="123" t="s">
        <v>495</v>
      </c>
      <c r="I140" s="123" t="s">
        <v>300</v>
      </c>
      <c r="J140" s="123" t="s">
        <v>845</v>
      </c>
      <c r="K140" s="159">
        <v>12433</v>
      </c>
    </row>
    <row r="141" spans="1:11" s="123" customFormat="1">
      <c r="A141" s="42" t="s">
        <v>629</v>
      </c>
      <c r="B141" s="42">
        <v>2230869</v>
      </c>
      <c r="C141" s="151" t="s">
        <v>103</v>
      </c>
      <c r="D141" s="42"/>
      <c r="E141" s="181">
        <v>12795</v>
      </c>
      <c r="F141" s="42"/>
      <c r="G141" s="159">
        <v>13549</v>
      </c>
      <c r="H141" s="123" t="s">
        <v>495</v>
      </c>
      <c r="I141" s="123" t="s">
        <v>232</v>
      </c>
      <c r="J141" s="123" t="s">
        <v>845</v>
      </c>
      <c r="K141" s="159">
        <v>12426</v>
      </c>
    </row>
    <row r="142" spans="1:11" s="123" customFormat="1">
      <c r="A142" s="42" t="s">
        <v>629</v>
      </c>
      <c r="B142" s="42">
        <v>2292187</v>
      </c>
      <c r="C142" s="151" t="s">
        <v>103</v>
      </c>
      <c r="D142" s="42"/>
      <c r="E142" s="181">
        <v>12795</v>
      </c>
      <c r="F142" s="42"/>
      <c r="G142" s="159">
        <v>14095</v>
      </c>
      <c r="H142" s="123" t="s">
        <v>495</v>
      </c>
      <c r="I142" s="123" t="s">
        <v>120</v>
      </c>
      <c r="J142" s="123" t="s">
        <v>845</v>
      </c>
      <c r="K142" s="159">
        <v>12430</v>
      </c>
    </row>
    <row r="143" spans="1:11" s="123" customFormat="1">
      <c r="A143" s="42" t="s">
        <v>629</v>
      </c>
      <c r="B143" s="42">
        <v>2198491</v>
      </c>
      <c r="C143" s="151" t="s">
        <v>103</v>
      </c>
      <c r="D143" s="42"/>
      <c r="E143" s="181">
        <v>12801</v>
      </c>
      <c r="F143" s="42"/>
      <c r="G143" s="202">
        <v>13262</v>
      </c>
      <c r="H143" s="123" t="s">
        <v>495</v>
      </c>
      <c r="I143" s="123" t="s">
        <v>324</v>
      </c>
      <c r="J143" s="123" t="s">
        <v>845</v>
      </c>
      <c r="K143" s="159">
        <v>12447</v>
      </c>
    </row>
    <row r="144" spans="1:11" s="123" customFormat="1">
      <c r="A144" s="42" t="s">
        <v>629</v>
      </c>
      <c r="B144" s="42">
        <v>2231723</v>
      </c>
      <c r="C144" s="151" t="s">
        <v>103</v>
      </c>
      <c r="D144" s="42"/>
      <c r="E144" s="181">
        <v>12808</v>
      </c>
      <c r="F144" s="42"/>
      <c r="G144" s="159">
        <v>13556</v>
      </c>
      <c r="H144" s="123" t="s">
        <v>495</v>
      </c>
      <c r="I144" s="123" t="s">
        <v>234</v>
      </c>
      <c r="J144" s="123" t="s">
        <v>845</v>
      </c>
      <c r="K144" s="159">
        <v>12443</v>
      </c>
    </row>
    <row r="145" spans="1:11" s="123" customFormat="1">
      <c r="A145" s="42" t="s">
        <v>629</v>
      </c>
      <c r="B145" s="42">
        <v>2249006</v>
      </c>
      <c r="C145" s="151" t="s">
        <v>103</v>
      </c>
      <c r="D145" s="42"/>
      <c r="E145" s="181">
        <v>12818</v>
      </c>
      <c r="F145" s="42"/>
      <c r="G145" s="159">
        <v>13710</v>
      </c>
      <c r="H145" s="123" t="s">
        <v>495</v>
      </c>
      <c r="I145" s="123" t="s">
        <v>394</v>
      </c>
      <c r="J145" s="123" t="s">
        <v>845</v>
      </c>
      <c r="K145" s="159">
        <v>12460</v>
      </c>
    </row>
    <row r="146" spans="1:11" s="123" customFormat="1">
      <c r="A146" s="42" t="s">
        <v>629</v>
      </c>
      <c r="B146" s="42">
        <v>2255926</v>
      </c>
      <c r="C146" s="151" t="s">
        <v>103</v>
      </c>
      <c r="D146" s="42"/>
      <c r="E146" s="181">
        <v>12832</v>
      </c>
      <c r="F146" s="42"/>
      <c r="G146" s="159">
        <v>13773</v>
      </c>
      <c r="H146" s="123" t="s">
        <v>495</v>
      </c>
      <c r="I146" s="123" t="s">
        <v>129</v>
      </c>
      <c r="J146" s="123" t="s">
        <v>845</v>
      </c>
      <c r="K146" s="159">
        <v>12468</v>
      </c>
    </row>
    <row r="147" spans="1:11" s="123" customFormat="1">
      <c r="A147" s="42" t="s">
        <v>629</v>
      </c>
      <c r="B147" s="42">
        <v>2261675</v>
      </c>
      <c r="C147" s="151" t="s">
        <v>103</v>
      </c>
      <c r="D147" s="42"/>
      <c r="E147" s="181">
        <v>12832</v>
      </c>
      <c r="F147" s="42"/>
      <c r="G147" s="159">
        <v>13822</v>
      </c>
      <c r="H147" s="123" t="s">
        <v>495</v>
      </c>
      <c r="I147" s="123" t="s">
        <v>144</v>
      </c>
      <c r="J147" s="123" t="s">
        <v>845</v>
      </c>
      <c r="K147" s="159">
        <v>12541</v>
      </c>
    </row>
    <row r="148" spans="1:11" s="123" customFormat="1">
      <c r="A148" s="42" t="s">
        <v>629</v>
      </c>
      <c r="B148" s="42">
        <v>2235474</v>
      </c>
      <c r="C148" s="151" t="s">
        <v>103</v>
      </c>
      <c r="D148" s="42"/>
      <c r="E148" s="181">
        <v>12842</v>
      </c>
      <c r="F148" s="42"/>
      <c r="G148" s="159">
        <v>13591</v>
      </c>
      <c r="H148" s="123" t="s">
        <v>495</v>
      </c>
      <c r="I148" s="123" t="s">
        <v>316</v>
      </c>
      <c r="J148" s="123" t="s">
        <v>845</v>
      </c>
      <c r="K148" s="159">
        <v>12478</v>
      </c>
    </row>
    <row r="149" spans="1:11" s="123" customFormat="1">
      <c r="A149" s="42" t="s">
        <v>629</v>
      </c>
      <c r="B149" s="42">
        <v>2205208</v>
      </c>
      <c r="C149" s="151" t="s">
        <v>103</v>
      </c>
      <c r="D149" s="42"/>
      <c r="E149" s="181">
        <v>12863</v>
      </c>
      <c r="F149" s="42"/>
      <c r="G149" s="159">
        <v>13318</v>
      </c>
      <c r="H149" s="123" t="s">
        <v>495</v>
      </c>
      <c r="I149" s="123" t="s">
        <v>444</v>
      </c>
      <c r="J149" s="123" t="s">
        <v>845</v>
      </c>
      <c r="K149" s="159">
        <v>12499</v>
      </c>
    </row>
    <row r="150" spans="1:11" s="123" customFormat="1">
      <c r="A150" s="42" t="s">
        <v>629</v>
      </c>
      <c r="B150" s="42">
        <v>2235388</v>
      </c>
      <c r="C150" s="151" t="s">
        <v>103</v>
      </c>
      <c r="D150" s="42"/>
      <c r="E150" s="181">
        <v>12874</v>
      </c>
      <c r="F150" s="42"/>
      <c r="G150" s="159">
        <v>13591</v>
      </c>
      <c r="H150" s="123" t="s">
        <v>495</v>
      </c>
      <c r="I150" s="123" t="s">
        <v>368</v>
      </c>
      <c r="J150" s="123" t="s">
        <v>845</v>
      </c>
      <c r="K150" s="159">
        <v>12509</v>
      </c>
    </row>
    <row r="151" spans="1:11" s="123" customFormat="1">
      <c r="A151" s="42" t="s">
        <v>629</v>
      </c>
      <c r="B151" s="42">
        <v>2242946</v>
      </c>
      <c r="C151" s="151" t="s">
        <v>103</v>
      </c>
      <c r="D151" s="42"/>
      <c r="E151" s="181">
        <v>12886</v>
      </c>
      <c r="F151" s="42"/>
      <c r="G151" s="159">
        <v>13654</v>
      </c>
      <c r="H151" s="123" t="s">
        <v>495</v>
      </c>
      <c r="I151" s="123" t="s">
        <v>372</v>
      </c>
      <c r="J151" s="123" t="s">
        <v>845</v>
      </c>
      <c r="K151" s="159">
        <v>12571</v>
      </c>
    </row>
    <row r="152" spans="1:11" s="123" customFormat="1">
      <c r="A152" s="42" t="s">
        <v>629</v>
      </c>
      <c r="B152" s="42">
        <v>2253390</v>
      </c>
      <c r="C152" s="151" t="s">
        <v>103</v>
      </c>
      <c r="D152" s="42"/>
      <c r="E152" s="181">
        <v>12899</v>
      </c>
      <c r="F152" s="42"/>
      <c r="G152" s="159">
        <v>13745</v>
      </c>
      <c r="H152" s="123" t="s">
        <v>495</v>
      </c>
      <c r="I152" s="123" t="s">
        <v>396</v>
      </c>
      <c r="J152" s="123" t="s">
        <v>845</v>
      </c>
      <c r="K152" s="159">
        <v>12534</v>
      </c>
    </row>
    <row r="153" spans="1:11" s="123" customFormat="1">
      <c r="A153" s="42" t="s">
        <v>629</v>
      </c>
      <c r="B153" s="42">
        <v>2208342</v>
      </c>
      <c r="C153" s="151" t="s">
        <v>103</v>
      </c>
      <c r="D153" s="42"/>
      <c r="E153" s="181">
        <v>12919</v>
      </c>
      <c r="F153" s="42"/>
      <c r="G153" s="159">
        <v>13346</v>
      </c>
      <c r="H153" s="123" t="s">
        <v>495</v>
      </c>
      <c r="I153" s="123" t="s">
        <v>328</v>
      </c>
      <c r="J153" s="123" t="s">
        <v>845</v>
      </c>
      <c r="K153" s="159">
        <v>12544</v>
      </c>
    </row>
    <row r="154" spans="1:11" s="123" customFormat="1">
      <c r="A154" s="42" t="s">
        <v>629</v>
      </c>
      <c r="B154" s="42">
        <v>2288050</v>
      </c>
      <c r="C154" s="151" t="s">
        <v>103</v>
      </c>
      <c r="D154" s="42"/>
      <c r="E154" s="181">
        <v>12920</v>
      </c>
      <c r="F154" s="42"/>
      <c r="G154" s="159">
        <v>14060</v>
      </c>
      <c r="H154" s="123" t="s">
        <v>495</v>
      </c>
      <c r="I154" s="123" t="s">
        <v>275</v>
      </c>
      <c r="J154" s="123" t="s">
        <v>845</v>
      </c>
      <c r="K154" s="159">
        <v>12557</v>
      </c>
    </row>
    <row r="155" spans="1:11" s="123" customFormat="1">
      <c r="A155" s="42" t="s">
        <v>629</v>
      </c>
      <c r="B155" s="42">
        <v>2303505</v>
      </c>
      <c r="C155" s="151" t="s">
        <v>103</v>
      </c>
      <c r="D155" s="42"/>
      <c r="E155" s="181">
        <v>12920</v>
      </c>
      <c r="F155" s="42"/>
      <c r="G155" s="159">
        <v>14214</v>
      </c>
      <c r="H155" s="123" t="s">
        <v>495</v>
      </c>
      <c r="I155" s="123" t="s">
        <v>363</v>
      </c>
      <c r="J155" s="123" t="s">
        <v>845</v>
      </c>
      <c r="K155" s="159">
        <v>12531</v>
      </c>
    </row>
    <row r="156" spans="1:11" s="123" customFormat="1">
      <c r="A156" s="42" t="s">
        <v>629</v>
      </c>
      <c r="B156" s="42">
        <v>2224755</v>
      </c>
      <c r="C156" s="151" t="s">
        <v>103</v>
      </c>
      <c r="D156" s="42"/>
      <c r="E156" s="181">
        <v>12926</v>
      </c>
      <c r="F156" s="42"/>
      <c r="G156" s="159">
        <v>13493</v>
      </c>
      <c r="H156" s="123" t="s">
        <v>495</v>
      </c>
      <c r="I156" s="123" t="s">
        <v>506</v>
      </c>
      <c r="J156" s="123" t="s">
        <v>845</v>
      </c>
      <c r="K156" s="159">
        <v>12654</v>
      </c>
    </row>
    <row r="157" spans="1:11" s="123" customFormat="1">
      <c r="A157" s="42" t="s">
        <v>629</v>
      </c>
      <c r="B157" s="42">
        <v>2261695</v>
      </c>
      <c r="C157" s="151" t="s">
        <v>103</v>
      </c>
      <c r="D157" s="42"/>
      <c r="E157" s="181">
        <v>12926</v>
      </c>
      <c r="F157" s="42"/>
      <c r="G157" s="159">
        <v>13822</v>
      </c>
      <c r="H157" s="123" t="s">
        <v>495</v>
      </c>
      <c r="I157" s="123" t="s">
        <v>135</v>
      </c>
      <c r="J157" s="123" t="s">
        <v>845</v>
      </c>
      <c r="K157" s="159">
        <v>12625</v>
      </c>
    </row>
    <row r="158" spans="1:11" s="123" customFormat="1">
      <c r="A158" s="42" t="s">
        <v>629</v>
      </c>
      <c r="B158" s="42">
        <v>2273712</v>
      </c>
      <c r="C158" s="151" t="s">
        <v>103</v>
      </c>
      <c r="D158" s="42"/>
      <c r="E158" s="181">
        <v>12934</v>
      </c>
      <c r="F158" s="42"/>
      <c r="G158" s="159">
        <v>13927</v>
      </c>
      <c r="H158" s="123" t="s">
        <v>495</v>
      </c>
      <c r="I158" s="123" t="s">
        <v>379</v>
      </c>
      <c r="J158" s="123" t="s">
        <v>845</v>
      </c>
      <c r="K158" s="159">
        <v>12568</v>
      </c>
    </row>
    <row r="159" spans="1:11" s="123" customFormat="1">
      <c r="A159" s="42" t="s">
        <v>629</v>
      </c>
      <c r="B159" s="42">
        <v>2255927</v>
      </c>
      <c r="C159" s="151" t="s">
        <v>103</v>
      </c>
      <c r="D159" s="42"/>
      <c r="E159" s="181">
        <v>12936</v>
      </c>
      <c r="F159" s="42"/>
      <c r="G159" s="159">
        <v>13773</v>
      </c>
      <c r="H159" s="123" t="s">
        <v>495</v>
      </c>
      <c r="I159" s="123" t="s">
        <v>130</v>
      </c>
      <c r="J159" s="123" t="s">
        <v>845</v>
      </c>
      <c r="K159" s="159">
        <v>12571</v>
      </c>
    </row>
    <row r="160" spans="1:11" s="123" customFormat="1">
      <c r="A160" s="42" t="s">
        <v>629</v>
      </c>
      <c r="B160" s="42">
        <v>2258136</v>
      </c>
      <c r="C160" s="151" t="s">
        <v>103</v>
      </c>
      <c r="D160" s="42"/>
      <c r="E160" s="181">
        <v>12939</v>
      </c>
      <c r="F160" s="42"/>
      <c r="G160" s="159">
        <v>13794</v>
      </c>
      <c r="H160" s="123" t="s">
        <v>495</v>
      </c>
      <c r="I160" s="123" t="s">
        <v>143</v>
      </c>
      <c r="J160" s="123" t="s">
        <v>845</v>
      </c>
      <c r="K160" s="159">
        <v>12573</v>
      </c>
    </row>
    <row r="161" spans="1:11" s="123" customFormat="1">
      <c r="A161" s="42" t="s">
        <v>629</v>
      </c>
      <c r="B161" s="42">
        <v>2210688</v>
      </c>
      <c r="C161" s="151" t="s">
        <v>103</v>
      </c>
      <c r="D161" s="42"/>
      <c r="E161" s="181">
        <v>12942</v>
      </c>
      <c r="F161" s="42"/>
      <c r="G161" s="159">
        <v>13367</v>
      </c>
      <c r="H161" s="123" t="s">
        <v>495</v>
      </c>
      <c r="I161" s="123" t="s">
        <v>452</v>
      </c>
      <c r="J161" s="123" t="s">
        <v>845</v>
      </c>
      <c r="K161" s="159">
        <v>12577</v>
      </c>
    </row>
    <row r="162" spans="1:11" s="123" customFormat="1">
      <c r="A162" s="42" t="s">
        <v>629</v>
      </c>
      <c r="B162" s="42">
        <v>2261725</v>
      </c>
      <c r="C162" s="151" t="s">
        <v>103</v>
      </c>
      <c r="D162" s="42"/>
      <c r="E162" s="181">
        <v>12947</v>
      </c>
      <c r="F162" s="42"/>
      <c r="G162" s="159">
        <v>13822</v>
      </c>
      <c r="H162" s="123" t="s">
        <v>495</v>
      </c>
      <c r="I162" s="123" t="s">
        <v>360</v>
      </c>
      <c r="J162" s="123" t="s">
        <v>845</v>
      </c>
      <c r="K162" s="159">
        <v>12556</v>
      </c>
    </row>
    <row r="163" spans="1:11" s="123" customFormat="1">
      <c r="A163" s="42" t="s">
        <v>629</v>
      </c>
      <c r="B163" s="42">
        <v>2261733</v>
      </c>
      <c r="C163" s="151" t="s">
        <v>103</v>
      </c>
      <c r="D163" s="42"/>
      <c r="E163" s="181">
        <v>12956</v>
      </c>
      <c r="F163" s="42"/>
      <c r="G163" s="159">
        <v>13822</v>
      </c>
      <c r="H163" s="123" t="s">
        <v>495</v>
      </c>
      <c r="I163" s="123" t="s">
        <v>361</v>
      </c>
      <c r="J163" s="123" t="s">
        <v>845</v>
      </c>
      <c r="K163" s="159">
        <v>12591</v>
      </c>
    </row>
    <row r="164" spans="1:11" s="123" customFormat="1">
      <c r="A164" s="42" t="s">
        <v>629</v>
      </c>
      <c r="B164" s="42">
        <v>2300868</v>
      </c>
      <c r="C164" s="151" t="s">
        <v>103</v>
      </c>
      <c r="D164" s="42"/>
      <c r="E164" s="181">
        <v>12956</v>
      </c>
      <c r="F164" s="42"/>
      <c r="G164" s="159">
        <v>14186</v>
      </c>
      <c r="H164" s="123" t="s">
        <v>495</v>
      </c>
      <c r="I164" s="123" t="s">
        <v>487</v>
      </c>
      <c r="J164" s="123" t="s">
        <v>845</v>
      </c>
      <c r="K164" s="159">
        <v>12675</v>
      </c>
    </row>
    <row r="165" spans="1:11" s="123" customFormat="1">
      <c r="A165" s="42" t="s">
        <v>629</v>
      </c>
      <c r="B165" s="42">
        <v>2259321</v>
      </c>
      <c r="C165" s="151" t="s">
        <v>103</v>
      </c>
      <c r="D165" s="42"/>
      <c r="E165" s="181">
        <v>12956</v>
      </c>
      <c r="F165" s="42"/>
      <c r="G165" s="159">
        <v>13801</v>
      </c>
      <c r="H165" s="123" t="s">
        <v>495</v>
      </c>
      <c r="I165" s="123" t="s">
        <v>361</v>
      </c>
      <c r="J165" s="123" t="s">
        <v>845</v>
      </c>
      <c r="K165" s="159">
        <v>12593</v>
      </c>
    </row>
    <row r="166" spans="1:11" s="123" customFormat="1">
      <c r="A166" s="42" t="s">
        <v>629</v>
      </c>
      <c r="B166" s="42">
        <v>2290683</v>
      </c>
      <c r="C166" s="151" t="s">
        <v>103</v>
      </c>
      <c r="D166" s="42"/>
      <c r="E166" s="181">
        <v>12962</v>
      </c>
      <c r="F166" s="42"/>
      <c r="G166" s="159">
        <v>14081</v>
      </c>
      <c r="H166" s="123" t="s">
        <v>495</v>
      </c>
      <c r="I166" s="123" t="s">
        <v>277</v>
      </c>
      <c r="J166" s="123" t="s">
        <v>845</v>
      </c>
      <c r="K166" s="159">
        <v>12597</v>
      </c>
    </row>
    <row r="167" spans="1:11" s="123" customFormat="1">
      <c r="A167" s="42" t="s">
        <v>629</v>
      </c>
      <c r="B167" s="42">
        <v>2280973</v>
      </c>
      <c r="C167" s="151" t="s">
        <v>103</v>
      </c>
      <c r="D167" s="42"/>
      <c r="E167" s="181">
        <v>12964</v>
      </c>
      <c r="F167" s="42"/>
      <c r="G167" s="159">
        <v>13997</v>
      </c>
      <c r="H167" s="207" t="s">
        <v>495</v>
      </c>
      <c r="I167" s="123" t="s">
        <v>380</v>
      </c>
      <c r="J167" s="123" t="s">
        <v>845</v>
      </c>
      <c r="K167" s="159">
        <v>12643</v>
      </c>
    </row>
    <row r="168" spans="1:11" s="123" customFormat="1">
      <c r="A168" s="42" t="s">
        <v>629</v>
      </c>
      <c r="B168" s="42">
        <v>2224664</v>
      </c>
      <c r="C168" s="151" t="s">
        <v>103</v>
      </c>
      <c r="D168" s="42"/>
      <c r="E168" s="181">
        <v>12988</v>
      </c>
      <c r="F168" s="42"/>
      <c r="G168" s="159">
        <v>13493</v>
      </c>
      <c r="H168" s="123" t="s">
        <v>495</v>
      </c>
      <c r="I168" s="123" t="s">
        <v>212</v>
      </c>
      <c r="J168" s="123" t="s">
        <v>845</v>
      </c>
      <c r="K168" s="159">
        <v>12824</v>
      </c>
    </row>
    <row r="169" spans="1:11" s="123" customFormat="1">
      <c r="A169" s="42" t="s">
        <v>629</v>
      </c>
      <c r="B169" s="42">
        <v>2239641</v>
      </c>
      <c r="C169" s="151" t="s">
        <v>103</v>
      </c>
      <c r="D169" s="42"/>
      <c r="E169" s="181">
        <v>12988</v>
      </c>
      <c r="F169" s="42"/>
      <c r="G169" s="159">
        <v>13626</v>
      </c>
      <c r="H169" s="123" t="s">
        <v>495</v>
      </c>
      <c r="I169" s="123" t="s">
        <v>212</v>
      </c>
      <c r="J169" s="123" t="s">
        <v>845</v>
      </c>
      <c r="K169" s="159">
        <v>12624</v>
      </c>
    </row>
    <row r="170" spans="1:11" s="123" customFormat="1">
      <c r="A170" s="42" t="s">
        <v>629</v>
      </c>
      <c r="B170" s="42">
        <v>2252488</v>
      </c>
      <c r="C170" s="151" t="s">
        <v>103</v>
      </c>
      <c r="D170" s="42"/>
      <c r="E170" s="181">
        <v>12988</v>
      </c>
      <c r="F170" s="42"/>
      <c r="G170" s="159">
        <v>13738</v>
      </c>
      <c r="H170" s="123" t="s">
        <v>495</v>
      </c>
      <c r="I170" s="123" t="s">
        <v>212</v>
      </c>
      <c r="J170" s="123" t="s">
        <v>845</v>
      </c>
      <c r="K170" s="159">
        <v>12824</v>
      </c>
    </row>
    <row r="171" spans="1:11" s="123" customFormat="1">
      <c r="A171" s="42" t="s">
        <v>629</v>
      </c>
      <c r="B171" s="42">
        <v>2261697</v>
      </c>
      <c r="C171" s="151" t="s">
        <v>103</v>
      </c>
      <c r="D171" s="42"/>
      <c r="E171" s="181">
        <v>12998</v>
      </c>
      <c r="F171" s="42"/>
      <c r="G171" s="159">
        <v>13822</v>
      </c>
      <c r="H171" s="123" t="s">
        <v>495</v>
      </c>
      <c r="I171" s="123" t="s">
        <v>101</v>
      </c>
      <c r="J171" s="123" t="s">
        <v>845</v>
      </c>
      <c r="K171" s="159">
        <v>12633</v>
      </c>
    </row>
    <row r="172" spans="1:11" s="123" customFormat="1">
      <c r="A172" s="42" t="s">
        <v>629</v>
      </c>
      <c r="B172" s="42">
        <v>2238608</v>
      </c>
      <c r="C172" s="151" t="s">
        <v>103</v>
      </c>
      <c r="D172" s="42"/>
      <c r="E172" s="181">
        <v>13006</v>
      </c>
      <c r="F172" s="42"/>
      <c r="G172" s="159">
        <v>13619</v>
      </c>
      <c r="H172" s="123" t="s">
        <v>495</v>
      </c>
      <c r="I172" s="123" t="s">
        <v>148</v>
      </c>
      <c r="J172" s="123" t="s">
        <v>845</v>
      </c>
      <c r="K172" s="159">
        <v>12456</v>
      </c>
    </row>
    <row r="173" spans="1:11" s="123" customFormat="1">
      <c r="A173" s="42" t="s">
        <v>629</v>
      </c>
      <c r="B173" s="42">
        <v>2221614</v>
      </c>
      <c r="C173" s="151" t="s">
        <v>103</v>
      </c>
      <c r="D173" s="42"/>
      <c r="E173" s="181">
        <v>13007</v>
      </c>
      <c r="F173" s="42"/>
      <c r="G173" s="159">
        <v>13465</v>
      </c>
      <c r="H173" s="123" t="s">
        <v>495</v>
      </c>
      <c r="I173" s="123" t="s">
        <v>148</v>
      </c>
      <c r="J173" s="123" t="s">
        <v>845</v>
      </c>
      <c r="K173" s="159">
        <v>12645</v>
      </c>
    </row>
    <row r="174" spans="1:11" s="123" customFormat="1">
      <c r="A174" s="42" t="s">
        <v>629</v>
      </c>
      <c r="B174" s="42">
        <v>2246308</v>
      </c>
      <c r="C174" s="151" t="s">
        <v>103</v>
      </c>
      <c r="D174" s="42"/>
      <c r="E174" s="181">
        <v>13011</v>
      </c>
      <c r="F174" s="42"/>
      <c r="G174" s="159">
        <v>13682</v>
      </c>
      <c r="H174" s="123" t="s">
        <v>495</v>
      </c>
      <c r="I174" s="123" t="s">
        <v>444</v>
      </c>
      <c r="J174" s="123" t="s">
        <v>845</v>
      </c>
      <c r="K174" s="159">
        <v>12646</v>
      </c>
    </row>
    <row r="175" spans="1:11" s="123" customFormat="1">
      <c r="A175" s="42" t="s">
        <v>629</v>
      </c>
      <c r="B175" s="42">
        <v>2259313</v>
      </c>
      <c r="C175" s="151" t="s">
        <v>103</v>
      </c>
      <c r="D175" s="42"/>
      <c r="E175" s="181">
        <v>13011</v>
      </c>
      <c r="F175" s="42"/>
      <c r="G175" s="159">
        <v>13801</v>
      </c>
      <c r="H175" s="123" t="s">
        <v>495</v>
      </c>
      <c r="I175" s="123" t="s">
        <v>146</v>
      </c>
      <c r="J175" s="123" t="s">
        <v>845</v>
      </c>
      <c r="K175" s="159">
        <v>12648</v>
      </c>
    </row>
    <row r="176" spans="1:11" s="123" customFormat="1">
      <c r="A176" s="42" t="s">
        <v>629</v>
      </c>
      <c r="B176" s="42">
        <v>2221573</v>
      </c>
      <c r="C176" s="151" t="s">
        <v>103</v>
      </c>
      <c r="D176" s="42"/>
      <c r="E176" s="181">
        <v>13013</v>
      </c>
      <c r="F176" s="42"/>
      <c r="G176" s="159">
        <v>13465</v>
      </c>
      <c r="H176" s="123" t="s">
        <v>495</v>
      </c>
      <c r="I176" s="123" t="s">
        <v>147</v>
      </c>
      <c r="J176" s="123" t="s">
        <v>845</v>
      </c>
      <c r="K176" s="159">
        <v>12662</v>
      </c>
    </row>
    <row r="177" spans="1:11" s="123" customFormat="1">
      <c r="A177" s="42" t="s">
        <v>629</v>
      </c>
      <c r="B177" s="42">
        <v>2231708</v>
      </c>
      <c r="C177" s="151" t="s">
        <v>103</v>
      </c>
      <c r="D177" s="42"/>
      <c r="E177" s="181">
        <v>13017</v>
      </c>
      <c r="F177" s="42"/>
      <c r="G177" s="159">
        <v>13556</v>
      </c>
      <c r="H177" s="123" t="s">
        <v>495</v>
      </c>
      <c r="I177" s="123" t="s">
        <v>233</v>
      </c>
      <c r="J177" s="123" t="s">
        <v>845</v>
      </c>
      <c r="K177" s="159">
        <v>13017</v>
      </c>
    </row>
    <row r="178" spans="1:11" s="123" customFormat="1">
      <c r="A178" s="42" t="s">
        <v>629</v>
      </c>
      <c r="B178" s="42">
        <v>2246324</v>
      </c>
      <c r="C178" s="151" t="s">
        <v>103</v>
      </c>
      <c r="D178" s="42"/>
      <c r="E178" s="181">
        <v>13033</v>
      </c>
      <c r="F178" s="42"/>
      <c r="G178" s="159">
        <v>13682</v>
      </c>
      <c r="H178" s="123" t="s">
        <v>495</v>
      </c>
      <c r="I178" s="123" t="s">
        <v>374</v>
      </c>
      <c r="J178" s="123" t="s">
        <v>845</v>
      </c>
      <c r="K178" s="159">
        <v>12751</v>
      </c>
    </row>
    <row r="179" spans="1:11" s="123" customFormat="1">
      <c r="A179" s="42" t="s">
        <v>629</v>
      </c>
      <c r="B179" s="42">
        <v>2228077</v>
      </c>
      <c r="C179" s="151" t="s">
        <v>103</v>
      </c>
      <c r="D179" s="112"/>
      <c r="E179" s="181">
        <v>13063</v>
      </c>
      <c r="F179" s="42"/>
      <c r="G179" s="159">
        <v>13521</v>
      </c>
      <c r="H179" s="123" t="s">
        <v>495</v>
      </c>
      <c r="I179" s="123" t="s">
        <v>106</v>
      </c>
      <c r="J179" s="173" t="s">
        <v>230</v>
      </c>
      <c r="K179" s="159">
        <v>12683</v>
      </c>
    </row>
    <row r="180" spans="1:11" s="123" customFormat="1">
      <c r="A180" s="42" t="s">
        <v>629</v>
      </c>
      <c r="B180" s="42">
        <v>2240598</v>
      </c>
      <c r="C180" s="151" t="s">
        <v>103</v>
      </c>
      <c r="D180" s="42"/>
      <c r="E180" s="181">
        <v>13063</v>
      </c>
      <c r="F180" s="42"/>
      <c r="G180" s="159">
        <v>13640</v>
      </c>
      <c r="H180" s="123" t="s">
        <v>495</v>
      </c>
      <c r="I180" s="123" t="s">
        <v>383</v>
      </c>
      <c r="J180" s="123" t="s">
        <v>845</v>
      </c>
      <c r="K180" s="159">
        <v>12814</v>
      </c>
    </row>
    <row r="181" spans="1:11" s="123" customFormat="1">
      <c r="A181" s="42" t="s">
        <v>629</v>
      </c>
      <c r="B181" s="42">
        <v>2261711</v>
      </c>
      <c r="C181" s="151" t="s">
        <v>103</v>
      </c>
      <c r="D181" s="42"/>
      <c r="E181" s="181">
        <v>13094</v>
      </c>
      <c r="F181" s="42"/>
      <c r="G181" s="159">
        <v>13822</v>
      </c>
      <c r="H181" s="123" t="s">
        <v>495</v>
      </c>
      <c r="I181" s="123" t="s">
        <v>358</v>
      </c>
      <c r="J181" s="123" t="s">
        <v>845</v>
      </c>
      <c r="K181" s="159">
        <v>12729</v>
      </c>
    </row>
    <row r="182" spans="1:11" s="123" customFormat="1">
      <c r="A182" s="42" t="s">
        <v>629</v>
      </c>
      <c r="B182" s="42">
        <v>2229460</v>
      </c>
      <c r="C182" s="151" t="s">
        <v>103</v>
      </c>
      <c r="D182" s="112"/>
      <c r="E182" s="181">
        <v>13116</v>
      </c>
      <c r="F182" s="42"/>
      <c r="G182" s="159">
        <v>13535</v>
      </c>
      <c r="H182" s="123" t="s">
        <v>495</v>
      </c>
      <c r="I182" s="123" t="s">
        <v>231</v>
      </c>
      <c r="J182" s="123" t="s">
        <v>845</v>
      </c>
      <c r="K182" s="159">
        <v>12646</v>
      </c>
    </row>
    <row r="183" spans="1:11" s="123" customFormat="1">
      <c r="A183" s="42" t="s">
        <v>629</v>
      </c>
      <c r="B183" s="42">
        <v>2261720</v>
      </c>
      <c r="C183" s="151" t="s">
        <v>103</v>
      </c>
      <c r="D183" s="42"/>
      <c r="E183" s="181">
        <v>13136</v>
      </c>
      <c r="F183" s="42"/>
      <c r="G183" s="159">
        <v>13822</v>
      </c>
      <c r="H183" s="123" t="s">
        <v>495</v>
      </c>
      <c r="I183" s="123" t="s">
        <v>359</v>
      </c>
      <c r="J183" s="123" t="s">
        <v>845</v>
      </c>
      <c r="K183" s="159">
        <v>12761</v>
      </c>
    </row>
    <row r="184" spans="1:11" s="123" customFormat="1">
      <c r="A184" s="42" t="s">
        <v>629</v>
      </c>
      <c r="B184" s="42">
        <v>2261721</v>
      </c>
      <c r="C184" s="151" t="s">
        <v>103</v>
      </c>
      <c r="D184" s="42"/>
      <c r="E184" s="181">
        <v>13136</v>
      </c>
      <c r="F184" s="42"/>
      <c r="G184" s="159">
        <v>13822</v>
      </c>
      <c r="H184" s="123" t="s">
        <v>495</v>
      </c>
      <c r="I184" s="123" t="s">
        <v>233</v>
      </c>
      <c r="J184" s="123" t="s">
        <v>845</v>
      </c>
      <c r="K184" s="159">
        <v>12750</v>
      </c>
    </row>
    <row r="185" spans="1:11" s="123" customFormat="1">
      <c r="A185" s="42" t="s">
        <v>629</v>
      </c>
      <c r="B185" s="42">
        <v>2285634</v>
      </c>
      <c r="C185" s="151" t="s">
        <v>103</v>
      </c>
      <c r="D185" s="42"/>
      <c r="E185" s="181">
        <v>13136</v>
      </c>
      <c r="F185" s="42"/>
      <c r="G185" s="159">
        <v>14039</v>
      </c>
      <c r="H185" s="123" t="s">
        <v>495</v>
      </c>
      <c r="I185" s="123" t="s">
        <v>382</v>
      </c>
      <c r="J185" s="123" t="s">
        <v>845</v>
      </c>
      <c r="K185" s="159">
        <v>12762</v>
      </c>
    </row>
    <row r="186" spans="1:11" s="123" customFormat="1">
      <c r="A186" s="42" t="s">
        <v>629</v>
      </c>
      <c r="B186" s="42">
        <v>2261667</v>
      </c>
      <c r="C186" s="151" t="s">
        <v>103</v>
      </c>
      <c r="D186" s="42"/>
      <c r="E186" s="181">
        <v>13145</v>
      </c>
      <c r="F186" s="42"/>
      <c r="G186" s="159">
        <v>13822</v>
      </c>
      <c r="H186" s="123" t="s">
        <v>495</v>
      </c>
      <c r="I186" s="123" t="s">
        <v>132</v>
      </c>
      <c r="J186" s="123" t="s">
        <v>845</v>
      </c>
      <c r="K186" s="159">
        <v>12836</v>
      </c>
    </row>
    <row r="187" spans="1:11" s="123" customFormat="1">
      <c r="A187" s="42" t="s">
        <v>629</v>
      </c>
      <c r="B187" s="42">
        <v>2261727</v>
      </c>
      <c r="C187" s="151" t="s">
        <v>103</v>
      </c>
      <c r="D187" s="42"/>
      <c r="E187" s="181">
        <v>13194</v>
      </c>
      <c r="F187" s="42"/>
      <c r="G187" s="159">
        <v>13822</v>
      </c>
      <c r="H187" s="123" t="s">
        <v>495</v>
      </c>
      <c r="I187" s="123" t="s">
        <v>444</v>
      </c>
      <c r="J187" s="123" t="s">
        <v>845</v>
      </c>
      <c r="K187" s="159">
        <v>12725</v>
      </c>
    </row>
    <row r="188" spans="1:11" s="123" customFormat="1">
      <c r="A188" s="42" t="s">
        <v>629</v>
      </c>
      <c r="B188" s="42">
        <v>2229950</v>
      </c>
      <c r="C188" s="151" t="s">
        <v>103</v>
      </c>
      <c r="D188" s="42"/>
      <c r="E188" s="181">
        <v>13215</v>
      </c>
      <c r="F188" s="42"/>
      <c r="G188" s="159">
        <v>13542</v>
      </c>
      <c r="H188" s="123" t="s">
        <v>495</v>
      </c>
      <c r="I188" s="123" t="s">
        <v>506</v>
      </c>
      <c r="J188" s="123" t="s">
        <v>845</v>
      </c>
      <c r="K188" s="159">
        <v>12828</v>
      </c>
    </row>
    <row r="189" spans="1:11" s="123" customFormat="1">
      <c r="A189" s="42" t="s">
        <v>629</v>
      </c>
      <c r="B189" s="42">
        <v>2254896</v>
      </c>
      <c r="C189" s="151" t="s">
        <v>103</v>
      </c>
      <c r="D189" s="42"/>
      <c r="E189" s="181">
        <v>13215</v>
      </c>
      <c r="F189" s="42"/>
      <c r="G189" s="159">
        <v>13759</v>
      </c>
      <c r="H189" s="123" t="s">
        <v>495</v>
      </c>
      <c r="I189" s="123" t="s">
        <v>127</v>
      </c>
      <c r="J189" s="123" t="s">
        <v>845</v>
      </c>
      <c r="K189" s="159">
        <v>12492</v>
      </c>
    </row>
    <row r="190" spans="1:11" s="123" customFormat="1">
      <c r="A190" s="42" t="s">
        <v>629</v>
      </c>
      <c r="B190" s="42">
        <v>2235903</v>
      </c>
      <c r="C190" s="151" t="s">
        <v>103</v>
      </c>
      <c r="D190" s="42"/>
      <c r="E190" s="181">
        <v>13222</v>
      </c>
      <c r="F190" s="42"/>
      <c r="G190" s="159">
        <v>13598</v>
      </c>
      <c r="H190" s="123" t="s">
        <v>495</v>
      </c>
      <c r="I190" s="123" t="s">
        <v>369</v>
      </c>
      <c r="J190" s="123" t="s">
        <v>845</v>
      </c>
      <c r="K190" s="159">
        <v>12776</v>
      </c>
    </row>
    <row r="191" spans="1:11" s="123" customFormat="1">
      <c r="A191" s="42" t="s">
        <v>629</v>
      </c>
      <c r="B191" s="42">
        <v>2261702</v>
      </c>
      <c r="C191" s="151" t="s">
        <v>103</v>
      </c>
      <c r="D191" s="42"/>
      <c r="E191" s="181">
        <v>13269</v>
      </c>
      <c r="F191" s="42"/>
      <c r="G191" s="159">
        <v>13822</v>
      </c>
      <c r="H191" s="123" t="s">
        <v>495</v>
      </c>
      <c r="I191" s="123" t="s">
        <v>357</v>
      </c>
      <c r="J191" s="123" t="s">
        <v>845</v>
      </c>
      <c r="K191" s="159">
        <v>12823</v>
      </c>
    </row>
    <row r="192" spans="1:11" s="123" customFormat="1">
      <c r="A192" s="42" t="s">
        <v>629</v>
      </c>
      <c r="B192" s="42">
        <v>2280977</v>
      </c>
      <c r="C192" s="151" t="s">
        <v>103</v>
      </c>
      <c r="D192" s="42"/>
      <c r="E192" s="181">
        <v>13269</v>
      </c>
      <c r="F192" s="42"/>
      <c r="G192" s="159">
        <v>13997</v>
      </c>
      <c r="H192" s="123" t="s">
        <v>495</v>
      </c>
      <c r="I192" s="123" t="s">
        <v>328</v>
      </c>
      <c r="J192" s="123" t="s">
        <v>845</v>
      </c>
      <c r="K192" s="159">
        <v>12824</v>
      </c>
    </row>
    <row r="193" spans="1:11" s="123" customFormat="1">
      <c r="A193" s="42" t="s">
        <v>629</v>
      </c>
      <c r="B193" s="42">
        <v>2271890</v>
      </c>
      <c r="C193" s="151" t="s">
        <v>103</v>
      </c>
      <c r="D193" s="42"/>
      <c r="E193" s="181">
        <v>13301</v>
      </c>
      <c r="F193" s="42"/>
      <c r="G193" s="159">
        <v>13913</v>
      </c>
      <c r="H193" s="123" t="s">
        <v>495</v>
      </c>
      <c r="I193" s="123" t="s">
        <v>236</v>
      </c>
      <c r="J193" s="123" t="s">
        <v>845</v>
      </c>
      <c r="K193" s="159">
        <v>12906</v>
      </c>
    </row>
    <row r="194" spans="1:11" s="123" customFormat="1">
      <c r="A194" s="42" t="s">
        <v>629</v>
      </c>
      <c r="B194" s="42">
        <v>2238611</v>
      </c>
      <c r="C194" s="151" t="s">
        <v>103</v>
      </c>
      <c r="D194" s="42"/>
      <c r="E194" s="181">
        <v>13308</v>
      </c>
      <c r="F194" s="42"/>
      <c r="G194" s="159">
        <v>13619</v>
      </c>
      <c r="H194" s="123" t="s">
        <v>495</v>
      </c>
      <c r="I194" s="123" t="s">
        <v>370</v>
      </c>
      <c r="J194" s="123" t="s">
        <v>845</v>
      </c>
      <c r="K194" s="159">
        <v>12846</v>
      </c>
    </row>
    <row r="195" spans="1:11" s="123" customFormat="1">
      <c r="A195" s="42" t="s">
        <v>629</v>
      </c>
      <c r="B195" s="42">
        <v>2234275</v>
      </c>
      <c r="C195" s="151" t="s">
        <v>103</v>
      </c>
      <c r="D195" s="42"/>
      <c r="E195" s="181">
        <v>13321</v>
      </c>
      <c r="F195" s="42"/>
      <c r="G195" s="159">
        <v>13584</v>
      </c>
      <c r="H195" s="123" t="s">
        <v>495</v>
      </c>
      <c r="I195" s="123" t="s">
        <v>236</v>
      </c>
      <c r="J195" s="123" t="s">
        <v>845</v>
      </c>
      <c r="K195" s="159">
        <v>12850</v>
      </c>
    </row>
    <row r="196" spans="1:11" s="123" customFormat="1">
      <c r="A196" s="42" t="s">
        <v>629</v>
      </c>
      <c r="B196" s="42">
        <v>2246904</v>
      </c>
      <c r="C196" s="151" t="s">
        <v>103</v>
      </c>
      <c r="D196" s="42"/>
      <c r="E196" s="181">
        <v>13328</v>
      </c>
      <c r="F196" s="42"/>
      <c r="G196" s="159">
        <v>13689</v>
      </c>
      <c r="H196" s="123" t="s">
        <v>495</v>
      </c>
      <c r="I196" s="123" t="s">
        <v>389</v>
      </c>
      <c r="J196" s="123" t="s">
        <v>845</v>
      </c>
      <c r="K196" s="159">
        <v>12928</v>
      </c>
    </row>
    <row r="197" spans="1:11" s="123" customFormat="1">
      <c r="A197" s="42" t="s">
        <v>629</v>
      </c>
      <c r="B197" s="42">
        <v>2254917</v>
      </c>
      <c r="C197" s="151" t="s">
        <v>103</v>
      </c>
      <c r="D197" s="42"/>
      <c r="E197" s="181">
        <v>13328</v>
      </c>
      <c r="F197" s="42"/>
      <c r="G197" s="159">
        <v>13759</v>
      </c>
      <c r="H197" s="123" t="s">
        <v>495</v>
      </c>
      <c r="I197" s="123" t="s">
        <v>374</v>
      </c>
      <c r="J197" s="123" t="s">
        <v>845</v>
      </c>
      <c r="K197" s="159">
        <v>13018</v>
      </c>
    </row>
    <row r="198" spans="1:11" s="123" customFormat="1">
      <c r="A198" s="42" t="s">
        <v>629</v>
      </c>
      <c r="B198" s="42">
        <v>2261699</v>
      </c>
      <c r="C198" s="151" t="s">
        <v>103</v>
      </c>
      <c r="D198" s="42"/>
      <c r="E198" s="181">
        <v>13357</v>
      </c>
      <c r="F198" s="42"/>
      <c r="G198" s="159">
        <v>13822</v>
      </c>
      <c r="H198" s="123" t="s">
        <v>495</v>
      </c>
      <c r="I198" s="123" t="s">
        <v>140</v>
      </c>
      <c r="J198" s="123" t="s">
        <v>845</v>
      </c>
      <c r="K198" s="159">
        <v>12963</v>
      </c>
    </row>
    <row r="199" spans="1:11" s="123" customFormat="1">
      <c r="A199" s="42" t="s">
        <v>629</v>
      </c>
      <c r="B199" s="42">
        <v>2261694</v>
      </c>
      <c r="C199" s="151" t="s">
        <v>103</v>
      </c>
      <c r="D199" s="42"/>
      <c r="E199" s="181">
        <v>13363</v>
      </c>
      <c r="F199" s="42"/>
      <c r="G199" s="159">
        <v>13822</v>
      </c>
      <c r="H199" s="123" t="s">
        <v>495</v>
      </c>
      <c r="I199" s="123" t="s">
        <v>134</v>
      </c>
      <c r="J199" s="123" t="s">
        <v>845</v>
      </c>
      <c r="K199" s="159">
        <v>12955</v>
      </c>
    </row>
    <row r="200" spans="1:11" s="123" customFormat="1">
      <c r="A200" s="42" t="s">
        <v>629</v>
      </c>
      <c r="B200" s="42">
        <v>2298114</v>
      </c>
      <c r="C200" s="151" t="s">
        <v>103</v>
      </c>
      <c r="D200" s="42"/>
      <c r="E200" s="181">
        <v>13364</v>
      </c>
      <c r="F200" s="42"/>
      <c r="G200" s="159">
        <v>14158</v>
      </c>
      <c r="H200" s="123" t="s">
        <v>495</v>
      </c>
      <c r="I200" s="123" t="s">
        <v>125</v>
      </c>
      <c r="J200" s="123" t="s">
        <v>845</v>
      </c>
      <c r="K200" s="159">
        <v>12967</v>
      </c>
    </row>
    <row r="201" spans="1:11" s="123" customFormat="1">
      <c r="A201" s="42" t="s">
        <v>629</v>
      </c>
      <c r="B201" s="42">
        <v>2301752</v>
      </c>
      <c r="C201" s="151" t="s">
        <v>103</v>
      </c>
      <c r="D201" s="42"/>
      <c r="E201" s="181">
        <v>13402</v>
      </c>
      <c r="F201" s="42"/>
      <c r="G201" s="159">
        <v>14193</v>
      </c>
      <c r="H201" s="123" t="s">
        <v>495</v>
      </c>
      <c r="I201" s="123" t="s">
        <v>215</v>
      </c>
      <c r="J201" s="123" t="s">
        <v>845</v>
      </c>
      <c r="K201" s="159">
        <v>12971</v>
      </c>
    </row>
    <row r="202" spans="1:11" s="123" customFormat="1">
      <c r="A202" s="42" t="s">
        <v>629</v>
      </c>
      <c r="B202" s="42">
        <v>2310131</v>
      </c>
      <c r="C202" s="151" t="s">
        <v>103</v>
      </c>
      <c r="D202" s="42"/>
      <c r="E202" s="181">
        <v>13438</v>
      </c>
      <c r="F202" s="42"/>
      <c r="G202" s="159">
        <v>14277</v>
      </c>
      <c r="H202" s="123" t="s">
        <v>495</v>
      </c>
      <c r="I202" s="123" t="s">
        <v>493</v>
      </c>
      <c r="J202" s="123" t="s">
        <v>845</v>
      </c>
      <c r="K202" s="159">
        <v>12989</v>
      </c>
    </row>
    <row r="203" spans="1:11" s="123" customFormat="1">
      <c r="A203" s="42" t="s">
        <v>629</v>
      </c>
      <c r="B203" s="42">
        <v>2293407</v>
      </c>
      <c r="C203" s="151" t="s">
        <v>103</v>
      </c>
      <c r="D203" s="42"/>
      <c r="E203" s="181">
        <v>13447</v>
      </c>
      <c r="F203" s="42"/>
      <c r="G203" s="159">
        <v>14109</v>
      </c>
      <c r="H203" s="123" t="s">
        <v>495</v>
      </c>
      <c r="I203" s="123" t="s">
        <v>121</v>
      </c>
      <c r="J203" s="123" t="s">
        <v>845</v>
      </c>
      <c r="K203" s="159">
        <v>13023</v>
      </c>
    </row>
    <row r="204" spans="1:11" s="123" customFormat="1">
      <c r="A204" s="42" t="s">
        <v>629</v>
      </c>
      <c r="B204" s="42">
        <v>2310145</v>
      </c>
      <c r="C204" s="151" t="s">
        <v>103</v>
      </c>
      <c r="D204" s="42"/>
      <c r="E204" s="181">
        <v>13448</v>
      </c>
      <c r="F204" s="42"/>
      <c r="G204" s="159">
        <v>14277</v>
      </c>
      <c r="H204" s="123" t="s">
        <v>495</v>
      </c>
      <c r="I204" s="123" t="s">
        <v>494</v>
      </c>
      <c r="J204" s="123" t="s">
        <v>845</v>
      </c>
      <c r="K204" s="159">
        <v>13115</v>
      </c>
    </row>
    <row r="205" spans="1:11" s="123" customFormat="1">
      <c r="A205" s="42" t="s">
        <v>629</v>
      </c>
      <c r="B205" s="42">
        <v>2307500</v>
      </c>
      <c r="C205" s="151" t="s">
        <v>103</v>
      </c>
      <c r="D205" s="42"/>
      <c r="E205" s="181">
        <v>13452</v>
      </c>
      <c r="F205" s="42"/>
      <c r="G205" s="159">
        <v>14249</v>
      </c>
      <c r="H205" s="123" t="s">
        <v>495</v>
      </c>
      <c r="I205" s="123" t="s">
        <v>492</v>
      </c>
      <c r="J205" s="123" t="s">
        <v>845</v>
      </c>
      <c r="K205" s="159">
        <v>12944</v>
      </c>
    </row>
    <row r="206" spans="1:11" s="123" customFormat="1">
      <c r="A206" s="42" t="s">
        <v>629</v>
      </c>
      <c r="B206" s="42">
        <v>2290367</v>
      </c>
      <c r="C206" s="151" t="s">
        <v>103</v>
      </c>
      <c r="D206" s="42"/>
      <c r="E206" s="181">
        <v>13453</v>
      </c>
      <c r="F206" s="42"/>
      <c r="G206" s="159">
        <v>14081</v>
      </c>
      <c r="H206" s="123" t="s">
        <v>495</v>
      </c>
      <c r="I206" s="123" t="s">
        <v>276</v>
      </c>
      <c r="J206" s="123" t="s">
        <v>845</v>
      </c>
      <c r="K206" s="159">
        <v>12998</v>
      </c>
    </row>
    <row r="207" spans="1:11" s="123" customFormat="1">
      <c r="A207" s="42" t="s">
        <v>629</v>
      </c>
      <c r="B207" s="42">
        <v>2261712</v>
      </c>
      <c r="C207" s="151" t="s">
        <v>103</v>
      </c>
      <c r="D207" s="42"/>
      <c r="E207" s="181">
        <v>13468</v>
      </c>
      <c r="F207" s="42"/>
      <c r="G207" s="159">
        <v>13822</v>
      </c>
      <c r="H207" s="123" t="s">
        <v>495</v>
      </c>
      <c r="I207" s="123" t="s">
        <v>358</v>
      </c>
      <c r="J207" s="123" t="s">
        <v>845</v>
      </c>
      <c r="K207" s="159">
        <v>13112</v>
      </c>
    </row>
    <row r="208" spans="1:11" s="123" customFormat="1">
      <c r="A208" s="42" t="s">
        <v>629</v>
      </c>
      <c r="B208" s="42">
        <v>2280987</v>
      </c>
      <c r="C208" s="151" t="s">
        <v>103</v>
      </c>
      <c r="D208" s="42"/>
      <c r="E208" s="181">
        <v>13468</v>
      </c>
      <c r="F208" s="42"/>
      <c r="G208" s="159">
        <v>13997</v>
      </c>
      <c r="H208" s="123" t="s">
        <v>495</v>
      </c>
      <c r="I208" s="123" t="s">
        <v>145</v>
      </c>
      <c r="J208" s="123" t="s">
        <v>845</v>
      </c>
      <c r="K208" s="159">
        <v>13087</v>
      </c>
    </row>
    <row r="209" spans="1:11" s="123" customFormat="1">
      <c r="A209" s="42" t="s">
        <v>629</v>
      </c>
      <c r="B209" s="42">
        <v>2285691</v>
      </c>
      <c r="C209" s="151" t="s">
        <v>103</v>
      </c>
      <c r="D209" s="42"/>
      <c r="E209" s="181">
        <v>13478</v>
      </c>
      <c r="F209" s="42"/>
      <c r="G209" s="159">
        <v>14039</v>
      </c>
      <c r="H209" s="123" t="s">
        <v>495</v>
      </c>
      <c r="I209" s="123" t="s">
        <v>273</v>
      </c>
      <c r="J209" s="123" t="s">
        <v>845</v>
      </c>
      <c r="K209" s="159">
        <v>13112</v>
      </c>
    </row>
    <row r="210" spans="1:11" s="123" customFormat="1">
      <c r="A210" s="42" t="s">
        <v>629</v>
      </c>
      <c r="B210" s="42">
        <v>2301698</v>
      </c>
      <c r="C210" s="151" t="s">
        <v>103</v>
      </c>
      <c r="D210" s="42"/>
      <c r="E210" s="181">
        <v>13480</v>
      </c>
      <c r="F210" s="42"/>
      <c r="G210" s="159">
        <v>14193</v>
      </c>
      <c r="H210" s="123" t="s">
        <v>495</v>
      </c>
      <c r="I210" s="123" t="s">
        <v>488</v>
      </c>
      <c r="J210" s="123" t="s">
        <v>845</v>
      </c>
      <c r="K210" s="159">
        <v>13007</v>
      </c>
    </row>
    <row r="211" spans="1:11" s="123" customFormat="1">
      <c r="A211" s="42" t="s">
        <v>629</v>
      </c>
      <c r="B211" s="42">
        <v>2285643</v>
      </c>
      <c r="C211" s="151" t="s">
        <v>103</v>
      </c>
      <c r="D211" s="42"/>
      <c r="E211" s="181">
        <v>13543</v>
      </c>
      <c r="F211" s="42"/>
      <c r="G211" s="159">
        <v>14039</v>
      </c>
      <c r="H211" s="123" t="s">
        <v>495</v>
      </c>
      <c r="I211" s="123" t="s">
        <v>138</v>
      </c>
      <c r="J211" s="123" t="s">
        <v>845</v>
      </c>
      <c r="K211" s="159">
        <v>13023</v>
      </c>
    </row>
    <row r="212" spans="1:11" s="123" customFormat="1">
      <c r="A212" s="42" t="s">
        <v>629</v>
      </c>
      <c r="B212" s="42">
        <v>2306263</v>
      </c>
      <c r="C212" s="151" t="s">
        <v>103</v>
      </c>
      <c r="D212" s="42"/>
      <c r="E212" s="181">
        <v>13572</v>
      </c>
      <c r="F212" s="42"/>
      <c r="G212" s="159">
        <v>14235</v>
      </c>
      <c r="H212" s="123" t="s">
        <v>495</v>
      </c>
      <c r="I212" s="123" t="s">
        <v>365</v>
      </c>
      <c r="J212" s="123" t="s">
        <v>845</v>
      </c>
      <c r="K212" s="159">
        <v>13009</v>
      </c>
    </row>
    <row r="213" spans="1:11" s="123" customFormat="1">
      <c r="A213" s="42" t="s">
        <v>629</v>
      </c>
      <c r="B213" s="42">
        <v>2287875</v>
      </c>
      <c r="C213" s="151" t="s">
        <v>103</v>
      </c>
      <c r="D213" s="42"/>
      <c r="E213" s="181">
        <v>13623</v>
      </c>
      <c r="F213" s="42"/>
      <c r="G213" s="159">
        <v>14060</v>
      </c>
      <c r="H213" s="123" t="s">
        <v>495</v>
      </c>
      <c r="I213" s="123" t="s">
        <v>274</v>
      </c>
      <c r="J213" s="123" t="s">
        <v>845</v>
      </c>
      <c r="K213" s="159">
        <v>13081</v>
      </c>
    </row>
    <row r="214" spans="1:11" s="123" customFormat="1">
      <c r="A214" s="42" t="s">
        <v>629</v>
      </c>
      <c r="B214" s="42">
        <v>2307205</v>
      </c>
      <c r="C214" s="151" t="s">
        <v>103</v>
      </c>
      <c r="D214" s="42"/>
      <c r="E214" s="181">
        <v>13623</v>
      </c>
      <c r="F214" s="42"/>
      <c r="G214" s="159">
        <v>14249</v>
      </c>
      <c r="H214" s="123" t="s">
        <v>495</v>
      </c>
      <c r="I214" s="123" t="s">
        <v>166</v>
      </c>
      <c r="J214" s="123" t="s">
        <v>845</v>
      </c>
      <c r="K214" s="159">
        <v>13103</v>
      </c>
    </row>
    <row r="215" spans="1:11" s="123" customFormat="1">
      <c r="A215" s="42" t="s">
        <v>629</v>
      </c>
      <c r="B215" s="42">
        <v>2270404</v>
      </c>
      <c r="C215" s="151" t="s">
        <v>103</v>
      </c>
      <c r="D215" s="42"/>
      <c r="E215" s="181">
        <v>13635</v>
      </c>
      <c r="F215" s="42"/>
      <c r="G215" s="159">
        <v>13899</v>
      </c>
      <c r="H215" s="123" t="s">
        <v>495</v>
      </c>
      <c r="I215" s="123" t="s">
        <v>167</v>
      </c>
      <c r="J215" s="123" t="s">
        <v>845</v>
      </c>
      <c r="K215" s="159">
        <v>13206</v>
      </c>
    </row>
    <row r="216" spans="1:11" s="123" customFormat="1">
      <c r="A216" s="42" t="s">
        <v>629</v>
      </c>
      <c r="B216" s="42">
        <v>2282219</v>
      </c>
      <c r="C216" s="151" t="s">
        <v>103</v>
      </c>
      <c r="D216" s="42"/>
      <c r="E216" s="181">
        <v>13635</v>
      </c>
      <c r="F216" s="42"/>
      <c r="G216" s="159">
        <v>14004</v>
      </c>
      <c r="H216" s="123" t="s">
        <v>495</v>
      </c>
      <c r="I216" s="123" t="s">
        <v>381</v>
      </c>
      <c r="J216" s="123" t="s">
        <v>845</v>
      </c>
      <c r="K216" s="159">
        <v>13173</v>
      </c>
    </row>
    <row r="217" spans="1:11" s="123" customFormat="1">
      <c r="A217" s="42" t="s">
        <v>629</v>
      </c>
      <c r="B217" s="42">
        <v>2290516</v>
      </c>
      <c r="C217" s="151" t="s">
        <v>103</v>
      </c>
      <c r="D217" s="42"/>
      <c r="E217" s="181">
        <v>13635</v>
      </c>
      <c r="F217" s="42"/>
      <c r="G217" s="159">
        <v>14081</v>
      </c>
      <c r="H217" s="123" t="s">
        <v>495</v>
      </c>
      <c r="I217" s="123" t="s">
        <v>323</v>
      </c>
      <c r="J217" s="123" t="s">
        <v>845</v>
      </c>
      <c r="K217" s="159">
        <v>13214</v>
      </c>
    </row>
    <row r="218" spans="1:11" s="123" customFormat="1">
      <c r="A218" s="42" t="s">
        <v>629</v>
      </c>
      <c r="B218" s="42">
        <v>2295286</v>
      </c>
      <c r="C218" s="151" t="s">
        <v>103</v>
      </c>
      <c r="D218" s="42"/>
      <c r="E218" s="181">
        <v>13635</v>
      </c>
      <c r="F218" s="42"/>
      <c r="G218" s="159">
        <v>14130</v>
      </c>
      <c r="H218" s="123" t="s">
        <v>495</v>
      </c>
      <c r="I218" s="123" t="s">
        <v>122</v>
      </c>
      <c r="J218" s="123" t="s">
        <v>845</v>
      </c>
      <c r="K218" s="159">
        <v>13147</v>
      </c>
    </row>
    <row r="219" spans="1:11" s="123" customFormat="1">
      <c r="A219" s="42" t="s">
        <v>629</v>
      </c>
      <c r="B219" s="42">
        <v>2298130</v>
      </c>
      <c r="C219" s="151" t="s">
        <v>103</v>
      </c>
      <c r="D219" s="42"/>
      <c r="E219" s="181">
        <v>13635</v>
      </c>
      <c r="F219" s="42"/>
      <c r="G219" s="159">
        <v>14158</v>
      </c>
      <c r="H219" s="123" t="s">
        <v>495</v>
      </c>
      <c r="I219" s="123" t="s">
        <v>507</v>
      </c>
      <c r="J219" s="123" t="s">
        <v>845</v>
      </c>
      <c r="K219" s="159">
        <v>13171</v>
      </c>
    </row>
    <row r="220" spans="1:11" s="123" customFormat="1">
      <c r="A220" s="42" t="s">
        <v>629</v>
      </c>
      <c r="B220" s="42">
        <v>2300515</v>
      </c>
      <c r="C220" s="151" t="s">
        <v>103</v>
      </c>
      <c r="D220" s="42"/>
      <c r="E220" s="181">
        <v>13635</v>
      </c>
      <c r="F220" s="42"/>
      <c r="G220" s="159">
        <v>14186</v>
      </c>
      <c r="H220" s="123" t="s">
        <v>495</v>
      </c>
      <c r="I220" s="123" t="s">
        <v>126</v>
      </c>
      <c r="J220" s="123" t="s">
        <v>845</v>
      </c>
      <c r="K220" s="159">
        <v>12963</v>
      </c>
    </row>
    <row r="221" spans="1:11" s="123" customFormat="1">
      <c r="A221" s="42" t="s">
        <v>629</v>
      </c>
      <c r="B221" s="42">
        <v>2261685</v>
      </c>
      <c r="C221" s="151" t="s">
        <v>103</v>
      </c>
      <c r="D221" s="42"/>
      <c r="E221" s="181">
        <v>13635</v>
      </c>
      <c r="F221" s="42"/>
      <c r="G221" s="159">
        <v>13822</v>
      </c>
      <c r="H221" s="123" t="s">
        <v>495</v>
      </c>
      <c r="I221" s="123" t="s">
        <v>133</v>
      </c>
      <c r="J221" s="123" t="s">
        <v>845</v>
      </c>
      <c r="K221" s="159">
        <v>13196</v>
      </c>
    </row>
    <row r="222" spans="1:11" s="123" customFormat="1">
      <c r="A222" s="42" t="s">
        <v>629</v>
      </c>
      <c r="B222" s="42">
        <v>2291781</v>
      </c>
      <c r="C222" s="151" t="s">
        <v>103</v>
      </c>
      <c r="D222" s="42"/>
      <c r="E222" s="181">
        <v>13654</v>
      </c>
      <c r="F222" s="42"/>
      <c r="G222" s="159">
        <v>14095</v>
      </c>
      <c r="H222" s="123" t="s">
        <v>495</v>
      </c>
      <c r="I222" s="123" t="s">
        <v>119</v>
      </c>
      <c r="J222" s="123" t="s">
        <v>845</v>
      </c>
      <c r="K222" s="159">
        <v>13129</v>
      </c>
    </row>
    <row r="223" spans="1:11" s="123" customFormat="1">
      <c r="A223" s="42" t="s">
        <v>629</v>
      </c>
      <c r="B223" s="42">
        <v>2297472</v>
      </c>
      <c r="C223" s="151" t="s">
        <v>103</v>
      </c>
      <c r="D223" s="42"/>
      <c r="E223" s="181">
        <v>13857</v>
      </c>
      <c r="F223" s="42"/>
      <c r="G223" s="159">
        <v>14151</v>
      </c>
      <c r="H223" s="42" t="s">
        <v>123</v>
      </c>
      <c r="I223" s="123" t="s">
        <v>124</v>
      </c>
      <c r="J223" s="123" t="s">
        <v>845</v>
      </c>
      <c r="K223" s="159">
        <v>12930</v>
      </c>
    </row>
    <row r="224" spans="1:11" s="123" customFormat="1">
      <c r="A224" s="42" t="s">
        <v>629</v>
      </c>
      <c r="B224" s="42">
        <v>2303443</v>
      </c>
      <c r="C224" s="151" t="s">
        <v>103</v>
      </c>
      <c r="D224" s="42"/>
      <c r="E224" s="181">
        <v>14000</v>
      </c>
      <c r="F224" s="42"/>
      <c r="G224" s="159">
        <v>14214</v>
      </c>
      <c r="H224" s="123" t="s">
        <v>495</v>
      </c>
      <c r="I224" s="123" t="s">
        <v>362</v>
      </c>
      <c r="J224" s="123" t="s">
        <v>845</v>
      </c>
      <c r="K224" s="159">
        <v>13156</v>
      </c>
    </row>
    <row r="227" spans="1:1">
      <c r="A227" s="126" t="s">
        <v>1977</v>
      </c>
    </row>
    <row r="228" spans="1:1">
      <c r="A228" s="127" t="s">
        <v>802</v>
      </c>
    </row>
    <row r="230" spans="1:1">
      <c r="A230" s="42" t="s">
        <v>3964</v>
      </c>
    </row>
    <row r="231" spans="1:1">
      <c r="A231" s="42" t="s">
        <v>901</v>
      </c>
    </row>
    <row r="232" spans="1:1">
      <c r="A232" s="42" t="s">
        <v>1409</v>
      </c>
    </row>
    <row r="233" spans="1:1">
      <c r="A233" s="42" t="s">
        <v>903</v>
      </c>
    </row>
    <row r="234" spans="1:1">
      <c r="A234" s="42" t="s">
        <v>3965</v>
      </c>
    </row>
    <row r="235" spans="1:1">
      <c r="A235" s="42" t="s">
        <v>891</v>
      </c>
    </row>
    <row r="236" spans="1:1">
      <c r="A236" s="42" t="s">
        <v>893</v>
      </c>
    </row>
    <row r="237" spans="1:1">
      <c r="A237" s="42" t="s">
        <v>892</v>
      </c>
    </row>
    <row r="238" spans="1:1">
      <c r="A238" s="42" t="s">
        <v>894</v>
      </c>
    </row>
    <row r="239" spans="1:1">
      <c r="A239" s="42" t="s">
        <v>886</v>
      </c>
    </row>
    <row r="240" spans="1:1">
      <c r="A240" s="42" t="s">
        <v>68</v>
      </c>
    </row>
    <row r="241" spans="1:2">
      <c r="A241" s="42"/>
    </row>
    <row r="242" spans="1:2">
      <c r="A242" s="126" t="s">
        <v>1407</v>
      </c>
    </row>
    <row r="243" spans="1:2">
      <c r="A243" s="42"/>
    </row>
    <row r="244" spans="1:2">
      <c r="A244" s="42"/>
    </row>
    <row r="245" spans="1:2">
      <c r="A245" s="42"/>
    </row>
    <row r="246" spans="1:2">
      <c r="A246" s="126" t="s">
        <v>1411</v>
      </c>
    </row>
    <row r="247" spans="1:2">
      <c r="A247" s="42" t="s">
        <v>3963</v>
      </c>
      <c r="B247" s="127">
        <v>1934</v>
      </c>
    </row>
    <row r="248" spans="1:2">
      <c r="A248" s="42" t="s">
        <v>803</v>
      </c>
      <c r="B248" s="127">
        <v>1934</v>
      </c>
    </row>
    <row r="249" spans="1:2">
      <c r="A249" s="189"/>
    </row>
  </sheetData>
  <sheetCalcPr fullCalcOnLoad="1"/>
  <sortState ref="A3:XFD224">
    <sortCondition ref="E3:E224"/>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W177"/>
  <sheetViews>
    <sheetView topLeftCell="A75" workbookViewId="0">
      <selection activeCell="B100" sqref="B100"/>
    </sheetView>
  </sheetViews>
  <sheetFormatPr baseColWidth="10" defaultRowHeight="13"/>
  <cols>
    <col min="1" max="2" width="10.7109375" style="42"/>
    <col min="3" max="3" width="10.7109375" style="151"/>
    <col min="4" max="4" width="10.7109375" style="42"/>
  </cols>
  <sheetData>
    <row r="1" spans="1:49" s="87" customFormat="1" ht="39">
      <c r="A1" s="100" t="s">
        <v>1869</v>
      </c>
      <c r="B1" s="100" t="s">
        <v>2173</v>
      </c>
      <c r="C1" s="100" t="s">
        <v>1175</v>
      </c>
      <c r="D1" s="100" t="s">
        <v>2174</v>
      </c>
      <c r="E1" s="82" t="s">
        <v>2022</v>
      </c>
      <c r="F1" s="82" t="s">
        <v>2023</v>
      </c>
      <c r="G1" s="90" t="s">
        <v>1631</v>
      </c>
      <c r="H1" s="91" t="s">
        <v>1632</v>
      </c>
      <c r="I1" s="92" t="s">
        <v>1797</v>
      </c>
      <c r="J1" s="92" t="s">
        <v>1689</v>
      </c>
      <c r="K1" s="92" t="s">
        <v>1633</v>
      </c>
      <c r="L1" s="92" t="s">
        <v>1827</v>
      </c>
      <c r="M1" s="92" t="s">
        <v>1828</v>
      </c>
      <c r="N1" s="92" t="s">
        <v>1692</v>
      </c>
      <c r="O1" s="92" t="s">
        <v>1793</v>
      </c>
      <c r="P1" s="92" t="s">
        <v>1638</v>
      </c>
      <c r="Q1" s="92" t="s">
        <v>1801</v>
      </c>
      <c r="R1" s="92" t="s">
        <v>1700</v>
      </c>
      <c r="S1" s="93" t="s">
        <v>1683</v>
      </c>
      <c r="T1" s="94" t="s">
        <v>1684</v>
      </c>
      <c r="U1" s="94" t="s">
        <v>1900</v>
      </c>
      <c r="V1" s="94" t="s">
        <v>1901</v>
      </c>
      <c r="W1" s="94" t="s">
        <v>1685</v>
      </c>
      <c r="X1" s="94" t="s">
        <v>1686</v>
      </c>
      <c r="Y1" s="95" t="s">
        <v>1687</v>
      </c>
      <c r="Z1" s="96" t="s">
        <v>1688</v>
      </c>
      <c r="AA1" s="97" t="s">
        <v>1810</v>
      </c>
      <c r="AB1" s="97" t="s">
        <v>1728</v>
      </c>
      <c r="AC1" s="97" t="s">
        <v>1763</v>
      </c>
      <c r="AD1" s="97" t="s">
        <v>1764</v>
      </c>
      <c r="AE1" s="97" t="s">
        <v>1860</v>
      </c>
      <c r="AF1" s="97" t="s">
        <v>1861</v>
      </c>
      <c r="AG1" s="97" t="s">
        <v>1693</v>
      </c>
      <c r="AH1" s="93" t="s">
        <v>1694</v>
      </c>
      <c r="AI1" s="94" t="s">
        <v>1862</v>
      </c>
      <c r="AJ1" s="94" t="s">
        <v>1744</v>
      </c>
      <c r="AK1" s="95" t="s">
        <v>1758</v>
      </c>
      <c r="AL1" s="95" t="s">
        <v>1921</v>
      </c>
      <c r="AM1" s="95" t="s">
        <v>1835</v>
      </c>
      <c r="AN1" s="95" t="s">
        <v>1836</v>
      </c>
      <c r="AO1" s="95" t="s">
        <v>1893</v>
      </c>
      <c r="AP1" s="95" t="s">
        <v>1894</v>
      </c>
      <c r="AQ1" s="98" t="s">
        <v>1895</v>
      </c>
      <c r="AR1" s="98" t="s">
        <v>1745</v>
      </c>
      <c r="AS1" s="98" t="s">
        <v>2193</v>
      </c>
      <c r="AT1" s="99" t="s">
        <v>1746</v>
      </c>
      <c r="AU1" s="82" t="s">
        <v>1899</v>
      </c>
      <c r="AV1" s="82" t="s">
        <v>2194</v>
      </c>
      <c r="AW1" s="82" t="s">
        <v>2195</v>
      </c>
    </row>
    <row r="2" spans="1:49">
      <c r="A2" s="42" t="s">
        <v>1328</v>
      </c>
    </row>
    <row r="3" spans="1:49">
      <c r="A3" s="42" t="s">
        <v>1380</v>
      </c>
      <c r="B3" s="42">
        <v>1776720</v>
      </c>
      <c r="C3" s="151" t="s">
        <v>1176</v>
      </c>
      <c r="D3" s="112">
        <v>8282</v>
      </c>
      <c r="E3" s="46">
        <v>9762</v>
      </c>
      <c r="F3" s="371" t="s">
        <v>4140</v>
      </c>
    </row>
    <row r="4" spans="1:49">
      <c r="A4" s="42" t="s">
        <v>1380</v>
      </c>
      <c r="B4" s="42">
        <v>1917734</v>
      </c>
      <c r="C4" s="151" t="s">
        <v>1176</v>
      </c>
      <c r="D4" s="112">
        <v>9428</v>
      </c>
      <c r="E4" s="46">
        <v>10784</v>
      </c>
      <c r="F4" s="371" t="s">
        <v>4139</v>
      </c>
    </row>
    <row r="5" spans="1:49">
      <c r="A5" s="42" t="s">
        <v>1380</v>
      </c>
      <c r="B5" s="42">
        <v>1893393</v>
      </c>
      <c r="C5" s="151" t="s">
        <v>1176</v>
      </c>
      <c r="D5" s="112">
        <v>9762</v>
      </c>
      <c r="E5" s="46">
        <v>10595</v>
      </c>
      <c r="F5" s="109" t="s">
        <v>4142</v>
      </c>
    </row>
    <row r="6" spans="1:49">
      <c r="A6" s="42" t="s">
        <v>1380</v>
      </c>
      <c r="B6" s="42">
        <v>1895424</v>
      </c>
      <c r="C6" s="151" t="s">
        <v>1176</v>
      </c>
      <c r="D6" s="112">
        <v>9987</v>
      </c>
      <c r="E6" s="46">
        <v>10616</v>
      </c>
      <c r="F6" s="109" t="s">
        <v>4139</v>
      </c>
    </row>
    <row r="7" spans="1:49">
      <c r="A7" s="42" t="s">
        <v>1380</v>
      </c>
      <c r="B7" s="42">
        <v>1892588</v>
      </c>
      <c r="C7" s="151" t="s">
        <v>1176</v>
      </c>
      <c r="D7" s="112">
        <v>10178</v>
      </c>
      <c r="E7" s="46">
        <v>10588</v>
      </c>
      <c r="F7" s="109" t="s">
        <v>4141</v>
      </c>
    </row>
    <row r="8" spans="1:49">
      <c r="A8" s="42" t="s">
        <v>1380</v>
      </c>
      <c r="B8" s="42">
        <v>2057695</v>
      </c>
      <c r="C8" s="151" t="s">
        <v>1176</v>
      </c>
      <c r="D8" s="268">
        <v>11136</v>
      </c>
      <c r="E8" s="46">
        <v>11136</v>
      </c>
      <c r="F8" s="109" t="s">
        <v>4115</v>
      </c>
    </row>
    <row r="9" spans="1:49">
      <c r="A9" s="42" t="s">
        <v>1380</v>
      </c>
      <c r="B9" s="42">
        <v>2020662</v>
      </c>
      <c r="C9" s="151" t="s">
        <v>1176</v>
      </c>
      <c r="D9" s="112">
        <v>11192</v>
      </c>
      <c r="E9" s="46">
        <v>11638</v>
      </c>
      <c r="F9" s="109" t="s">
        <v>4115</v>
      </c>
    </row>
    <row r="10" spans="1:49">
      <c r="A10" s="42" t="s">
        <v>1380</v>
      </c>
      <c r="B10" s="42">
        <v>2024398</v>
      </c>
      <c r="C10" s="151" t="s">
        <v>1176</v>
      </c>
      <c r="D10" s="112">
        <v>11295</v>
      </c>
      <c r="E10" s="46">
        <v>11673</v>
      </c>
      <c r="F10" s="109" t="s">
        <v>4143</v>
      </c>
    </row>
    <row r="11" spans="1:49">
      <c r="A11" s="42" t="s">
        <v>1380</v>
      </c>
      <c r="B11" s="42">
        <v>2194842</v>
      </c>
      <c r="C11" s="151" t="s">
        <v>1176</v>
      </c>
      <c r="D11" s="112">
        <v>11743</v>
      </c>
      <c r="E11" s="46">
        <v>13234</v>
      </c>
    </row>
    <row r="12" spans="1:49">
      <c r="A12" s="42" t="s">
        <v>1380</v>
      </c>
      <c r="B12" s="42">
        <v>2249002</v>
      </c>
      <c r="C12" s="151" t="s">
        <v>1176</v>
      </c>
      <c r="D12" s="112">
        <v>12577</v>
      </c>
      <c r="E12" s="46">
        <v>13710</v>
      </c>
    </row>
    <row r="13" spans="1:49">
      <c r="A13" s="42" t="s">
        <v>1380</v>
      </c>
      <c r="B13" s="42">
        <v>2287838</v>
      </c>
      <c r="C13" s="151" t="s">
        <v>1176</v>
      </c>
      <c r="D13" s="112">
        <v>12708</v>
      </c>
      <c r="E13" s="46">
        <v>14060</v>
      </c>
      <c r="F13" s="73" t="s">
        <v>1617</v>
      </c>
    </row>
    <row r="14" spans="1:49">
      <c r="A14" s="42" t="s">
        <v>1380</v>
      </c>
      <c r="B14" s="42">
        <v>2355081</v>
      </c>
      <c r="C14" s="151" t="s">
        <v>1176</v>
      </c>
      <c r="D14" s="112">
        <v>13720</v>
      </c>
      <c r="E14" s="46">
        <v>14830</v>
      </c>
      <c r="F14" s="73" t="s">
        <v>1458</v>
      </c>
    </row>
    <row r="15" spans="1:49">
      <c r="A15" s="42" t="s">
        <v>1380</v>
      </c>
      <c r="B15" s="42">
        <v>2374681</v>
      </c>
      <c r="C15" s="151" t="s">
        <v>1176</v>
      </c>
      <c r="D15" s="112">
        <v>13720</v>
      </c>
      <c r="E15" s="46">
        <v>15096</v>
      </c>
    </row>
    <row r="16" spans="1:49">
      <c r="A16" s="42" t="s">
        <v>1380</v>
      </c>
      <c r="B16" s="42">
        <v>2391462</v>
      </c>
      <c r="C16" s="151" t="s">
        <v>1176</v>
      </c>
      <c r="D16" s="112">
        <v>13720</v>
      </c>
      <c r="E16" s="46">
        <v>15334</v>
      </c>
    </row>
    <row r="17" spans="1:7">
      <c r="A17" s="42" t="s">
        <v>1380</v>
      </c>
      <c r="B17" s="42">
        <v>2400120</v>
      </c>
      <c r="C17" s="151" t="s">
        <v>1176</v>
      </c>
      <c r="D17" s="112">
        <v>13720</v>
      </c>
      <c r="E17" s="46">
        <v>15474</v>
      </c>
    </row>
    <row r="18" spans="1:7">
      <c r="A18" s="42" t="s">
        <v>1380</v>
      </c>
      <c r="B18" s="42">
        <v>2373686</v>
      </c>
      <c r="C18" s="151" t="s">
        <v>1176</v>
      </c>
      <c r="D18" s="112">
        <v>14085</v>
      </c>
      <c r="E18" s="46">
        <v>15082</v>
      </c>
    </row>
    <row r="19" spans="1:7" s="207" customFormat="1">
      <c r="A19" s="42" t="s">
        <v>1380</v>
      </c>
      <c r="B19" s="42">
        <v>2403284</v>
      </c>
      <c r="C19" s="151" t="s">
        <v>1176</v>
      </c>
      <c r="D19" s="112">
        <v>14490</v>
      </c>
      <c r="E19" s="46">
        <v>15523</v>
      </c>
    </row>
    <row r="20" spans="1:7" s="42" customFormat="1">
      <c r="A20" s="42" t="s">
        <v>1380</v>
      </c>
      <c r="B20" s="42">
        <v>2431652</v>
      </c>
      <c r="C20" s="151" t="s">
        <v>1176</v>
      </c>
      <c r="D20" s="112">
        <v>14490</v>
      </c>
      <c r="E20" s="112">
        <v>16034</v>
      </c>
      <c r="G20" s="42" t="s">
        <v>867</v>
      </c>
    </row>
    <row r="21" spans="1:7" s="42" customFormat="1">
      <c r="A21" s="42" t="s">
        <v>1380</v>
      </c>
      <c r="B21" s="42">
        <v>2422321</v>
      </c>
      <c r="C21" s="151" t="s">
        <v>1176</v>
      </c>
      <c r="D21" s="112">
        <v>14582</v>
      </c>
      <c r="E21" s="112">
        <v>15873</v>
      </c>
      <c r="G21" s="42" t="s">
        <v>868</v>
      </c>
    </row>
    <row r="22" spans="1:7" s="42" customFormat="1">
      <c r="C22" s="151"/>
    </row>
    <row r="23" spans="1:7" s="42" customFormat="1">
      <c r="A23" s="42" t="s">
        <v>1380</v>
      </c>
      <c r="B23" s="42" t="s">
        <v>869</v>
      </c>
      <c r="C23" s="151" t="s">
        <v>1176</v>
      </c>
    </row>
    <row r="24" spans="1:7" s="42" customFormat="1">
      <c r="A24" s="42" t="s">
        <v>1380</v>
      </c>
      <c r="B24" s="42" t="s">
        <v>870</v>
      </c>
      <c r="C24" s="151" t="s">
        <v>1176</v>
      </c>
    </row>
    <row r="26" spans="1:7">
      <c r="A26" s="42" t="s">
        <v>1325</v>
      </c>
    </row>
    <row r="27" spans="1:7">
      <c r="A27" s="42" t="s">
        <v>1380</v>
      </c>
      <c r="B27" s="42">
        <v>1779012</v>
      </c>
      <c r="C27" s="151" t="s">
        <v>1170</v>
      </c>
      <c r="D27" s="112">
        <v>8777</v>
      </c>
      <c r="E27" s="46">
        <v>9790</v>
      </c>
      <c r="F27" s="371" t="s">
        <v>4144</v>
      </c>
    </row>
    <row r="28" spans="1:7">
      <c r="A28" s="42" t="s">
        <v>1380</v>
      </c>
      <c r="B28" s="42">
        <v>1843051</v>
      </c>
      <c r="C28" s="151" t="s">
        <v>1170</v>
      </c>
      <c r="D28" s="112">
        <v>9010</v>
      </c>
      <c r="E28" s="46">
        <v>10252</v>
      </c>
      <c r="F28" s="371" t="s">
        <v>4145</v>
      </c>
    </row>
    <row r="29" spans="1:7">
      <c r="A29" s="42" t="s">
        <v>1380</v>
      </c>
      <c r="B29" s="42">
        <v>1762077</v>
      </c>
      <c r="C29" s="151" t="s">
        <v>1170</v>
      </c>
      <c r="D29" s="112">
        <v>9202</v>
      </c>
      <c r="E29" s="46">
        <v>9650</v>
      </c>
      <c r="F29" s="371" t="s">
        <v>4144</v>
      </c>
    </row>
    <row r="30" spans="1:7">
      <c r="A30" s="42" t="s">
        <v>1380</v>
      </c>
      <c r="B30" s="42">
        <v>1776721</v>
      </c>
      <c r="C30" s="151" t="s">
        <v>1170</v>
      </c>
      <c r="D30" s="112">
        <v>9272</v>
      </c>
      <c r="E30" s="46">
        <v>9762</v>
      </c>
      <c r="F30" s="371" t="s">
        <v>4146</v>
      </c>
    </row>
    <row r="31" spans="1:7">
      <c r="A31" s="42" t="s">
        <v>1380</v>
      </c>
      <c r="B31" s="42">
        <v>1938864</v>
      </c>
      <c r="C31" s="151" t="s">
        <v>1170</v>
      </c>
      <c r="D31" s="112">
        <v>9425</v>
      </c>
      <c r="E31" s="46">
        <v>10938</v>
      </c>
      <c r="F31" s="371" t="s">
        <v>4147</v>
      </c>
    </row>
    <row r="32" spans="1:7">
      <c r="A32" s="42" t="s">
        <v>1380</v>
      </c>
      <c r="B32" s="42">
        <v>1946332</v>
      </c>
      <c r="C32" s="151" t="s">
        <v>1170</v>
      </c>
      <c r="D32" s="112">
        <v>9603</v>
      </c>
      <c r="E32" s="46">
        <v>10994</v>
      </c>
      <c r="F32" s="371" t="s">
        <v>4147</v>
      </c>
    </row>
    <row r="33" spans="1:6">
      <c r="A33" s="42" t="s">
        <v>1380</v>
      </c>
      <c r="B33" s="42">
        <v>1986360</v>
      </c>
      <c r="C33" s="151" t="s">
        <v>1170</v>
      </c>
      <c r="D33" s="112">
        <v>9603</v>
      </c>
      <c r="E33" s="46">
        <v>11323</v>
      </c>
      <c r="F33" s="371" t="s">
        <v>4147</v>
      </c>
    </row>
    <row r="34" spans="1:6">
      <c r="A34" s="42" t="s">
        <v>1380</v>
      </c>
      <c r="B34" s="42">
        <v>1831728</v>
      </c>
      <c r="C34" s="151" t="s">
        <v>1170</v>
      </c>
      <c r="D34" s="112">
        <v>9693</v>
      </c>
      <c r="E34" s="46">
        <v>10175</v>
      </c>
      <c r="F34" s="371" t="s">
        <v>4148</v>
      </c>
    </row>
    <row r="35" spans="1:6">
      <c r="A35" s="42" t="s">
        <v>1380</v>
      </c>
      <c r="B35" s="42">
        <v>1965490</v>
      </c>
      <c r="C35" s="151" t="s">
        <v>1170</v>
      </c>
      <c r="D35" s="112">
        <v>9791</v>
      </c>
      <c r="E35" s="46">
        <v>11141</v>
      </c>
      <c r="F35" s="371" t="s">
        <v>4149</v>
      </c>
    </row>
    <row r="36" spans="1:6">
      <c r="A36" s="42" t="s">
        <v>1380</v>
      </c>
      <c r="B36" s="42">
        <v>1934005</v>
      </c>
      <c r="C36" s="151" t="s">
        <v>1170</v>
      </c>
      <c r="D36" s="112">
        <v>9889</v>
      </c>
      <c r="E36" s="46">
        <v>10903</v>
      </c>
      <c r="F36" s="371" t="s">
        <v>4147</v>
      </c>
    </row>
    <row r="37" spans="1:6">
      <c r="A37" s="42" t="s">
        <v>1380</v>
      </c>
      <c r="B37" s="42">
        <v>1903397</v>
      </c>
      <c r="C37" s="151" t="s">
        <v>1170</v>
      </c>
      <c r="D37" s="112">
        <v>9975</v>
      </c>
      <c r="E37" s="46">
        <v>10686</v>
      </c>
      <c r="F37" s="371" t="s">
        <v>4144</v>
      </c>
    </row>
    <row r="38" spans="1:6">
      <c r="A38" s="42" t="s">
        <v>1380</v>
      </c>
      <c r="B38" s="42">
        <v>1982186</v>
      </c>
      <c r="C38" s="151" t="s">
        <v>1170</v>
      </c>
      <c r="D38" s="112">
        <v>10021</v>
      </c>
      <c r="E38" s="46">
        <v>11288</v>
      </c>
      <c r="F38" s="371" t="s">
        <v>4150</v>
      </c>
    </row>
    <row r="39" spans="1:6">
      <c r="A39" s="42" t="s">
        <v>1380</v>
      </c>
      <c r="B39" s="42">
        <v>1859240</v>
      </c>
      <c r="C39" s="151" t="s">
        <v>1170</v>
      </c>
      <c r="D39" s="112">
        <v>10218</v>
      </c>
      <c r="E39" s="46">
        <v>10364</v>
      </c>
      <c r="F39" s="371" t="s">
        <v>4151</v>
      </c>
    </row>
    <row r="40" spans="1:6">
      <c r="A40" s="42" t="s">
        <v>1380</v>
      </c>
      <c r="B40" s="42">
        <v>1936718</v>
      </c>
      <c r="C40" s="151" t="s">
        <v>1170</v>
      </c>
      <c r="D40" s="112">
        <v>10226</v>
      </c>
      <c r="E40" s="46">
        <v>10924</v>
      </c>
      <c r="F40" s="371" t="s">
        <v>4151</v>
      </c>
    </row>
    <row r="41" spans="1:6">
      <c r="A41" s="42" t="s">
        <v>1380</v>
      </c>
      <c r="B41" s="42">
        <v>2020496</v>
      </c>
      <c r="C41" s="151" t="s">
        <v>1170</v>
      </c>
      <c r="D41" s="112">
        <v>10363</v>
      </c>
      <c r="E41" s="46">
        <v>11638</v>
      </c>
      <c r="F41" s="371" t="s">
        <v>4198</v>
      </c>
    </row>
    <row r="42" spans="1:6">
      <c r="A42" s="42" t="s">
        <v>1380</v>
      </c>
      <c r="B42" s="42">
        <v>2019494</v>
      </c>
      <c r="C42" s="151" t="s">
        <v>1170</v>
      </c>
      <c r="D42" s="112">
        <v>10468</v>
      </c>
      <c r="E42" s="46">
        <v>11631</v>
      </c>
      <c r="F42" s="371" t="s">
        <v>4199</v>
      </c>
    </row>
    <row r="43" spans="1:6">
      <c r="A43" s="42" t="s">
        <v>1380</v>
      </c>
      <c r="B43" s="42">
        <v>2020517</v>
      </c>
      <c r="C43" s="151" t="s">
        <v>1170</v>
      </c>
      <c r="D43" s="112">
        <v>10505</v>
      </c>
      <c r="E43" s="46">
        <v>11638</v>
      </c>
      <c r="F43" s="371" t="s">
        <v>4113</v>
      </c>
    </row>
    <row r="44" spans="1:6">
      <c r="A44" s="42" t="s">
        <v>1380</v>
      </c>
      <c r="B44" s="42">
        <v>2039739</v>
      </c>
      <c r="C44" s="151" t="s">
        <v>1170</v>
      </c>
      <c r="D44" s="112">
        <v>10890</v>
      </c>
      <c r="E44" s="46">
        <v>11813</v>
      </c>
      <c r="F44" s="371" t="s">
        <v>4113</v>
      </c>
    </row>
    <row r="45" spans="1:6">
      <c r="A45" s="42" t="s">
        <v>1380</v>
      </c>
      <c r="B45" s="42">
        <v>2181129</v>
      </c>
      <c r="C45" s="151" t="s">
        <v>1170</v>
      </c>
      <c r="D45" s="112">
        <v>11708</v>
      </c>
      <c r="E45" s="46">
        <v>13115</v>
      </c>
    </row>
    <row r="46" spans="1:6">
      <c r="A46" s="42" t="s">
        <v>1380</v>
      </c>
      <c r="B46" s="42">
        <v>2115088</v>
      </c>
      <c r="C46" s="151" t="s">
        <v>1170</v>
      </c>
      <c r="D46" s="112">
        <v>11947</v>
      </c>
      <c r="E46" s="46">
        <v>12534</v>
      </c>
    </row>
    <row r="47" spans="1:6">
      <c r="A47" s="42" t="s">
        <v>1380</v>
      </c>
      <c r="B47" s="42">
        <v>2287838</v>
      </c>
      <c r="C47" s="151" t="s">
        <v>1170</v>
      </c>
      <c r="D47" s="112">
        <v>12708</v>
      </c>
      <c r="E47" s="46">
        <v>14060</v>
      </c>
    </row>
    <row r="48" spans="1:6">
      <c r="A48" s="42" t="s">
        <v>1380</v>
      </c>
      <c r="B48" s="42">
        <v>2402690</v>
      </c>
      <c r="C48" s="151" t="s">
        <v>1170</v>
      </c>
      <c r="D48" s="112">
        <v>13824</v>
      </c>
      <c r="E48" s="46">
        <v>15516</v>
      </c>
    </row>
    <row r="49" spans="1:6">
      <c r="A49" s="42" t="s">
        <v>1380</v>
      </c>
      <c r="B49" s="42">
        <v>2355061</v>
      </c>
      <c r="C49" s="151" t="s">
        <v>1170</v>
      </c>
      <c r="D49" s="112">
        <v>14066</v>
      </c>
      <c r="E49" s="46">
        <v>14830</v>
      </c>
    </row>
    <row r="50" spans="1:6">
      <c r="A50" s="42" t="s">
        <v>1380</v>
      </c>
      <c r="B50" s="42">
        <v>2373687</v>
      </c>
      <c r="C50" s="151" t="s">
        <v>1170</v>
      </c>
      <c r="D50" s="112">
        <v>14075</v>
      </c>
      <c r="E50" s="46">
        <v>15082</v>
      </c>
    </row>
    <row r="51" spans="1:6" s="207" customFormat="1">
      <c r="A51" s="42"/>
      <c r="B51" s="42"/>
      <c r="C51" s="151"/>
      <c r="D51" s="112"/>
      <c r="E51" s="46"/>
    </row>
    <row r="52" spans="1:6" s="42" customFormat="1">
      <c r="A52" s="42" t="s">
        <v>1380</v>
      </c>
      <c r="B52" s="42" t="s">
        <v>865</v>
      </c>
      <c r="C52" s="151"/>
    </row>
    <row r="53" spans="1:6" s="42" customFormat="1">
      <c r="A53" s="42" t="s">
        <v>1380</v>
      </c>
      <c r="B53" s="42" t="s">
        <v>866</v>
      </c>
      <c r="C53" s="151"/>
    </row>
    <row r="55" spans="1:6">
      <c r="A55" s="42" t="s">
        <v>1327</v>
      </c>
    </row>
    <row r="56" spans="1:6">
      <c r="A56" s="42" t="s">
        <v>1380</v>
      </c>
      <c r="B56" s="42">
        <v>1884899</v>
      </c>
      <c r="C56" s="151" t="s">
        <v>223</v>
      </c>
      <c r="D56" s="112">
        <v>10163</v>
      </c>
      <c r="E56" s="46">
        <v>10525</v>
      </c>
      <c r="F56" s="371" t="s">
        <v>4114</v>
      </c>
    </row>
    <row r="57" spans="1:6">
      <c r="A57" s="42" t="s">
        <v>1380</v>
      </c>
      <c r="B57" s="42">
        <v>2165651</v>
      </c>
      <c r="C57" s="151" t="s">
        <v>223</v>
      </c>
      <c r="D57" s="112">
        <v>11242</v>
      </c>
      <c r="E57" s="46">
        <v>12975</v>
      </c>
      <c r="F57" s="73" t="s">
        <v>1464</v>
      </c>
    </row>
    <row r="58" spans="1:6">
      <c r="A58" s="42" t="s">
        <v>1380</v>
      </c>
      <c r="B58" s="42">
        <v>2285854</v>
      </c>
      <c r="C58" s="151" t="s">
        <v>223</v>
      </c>
      <c r="D58" s="112">
        <v>11277</v>
      </c>
      <c r="E58" s="46">
        <v>14039</v>
      </c>
      <c r="F58" s="73" t="s">
        <v>1467</v>
      </c>
    </row>
    <row r="59" spans="1:6">
      <c r="A59" s="42" t="s">
        <v>1380</v>
      </c>
      <c r="B59" s="42">
        <v>2155678</v>
      </c>
      <c r="C59" s="151" t="s">
        <v>223</v>
      </c>
      <c r="D59" s="112">
        <v>11347</v>
      </c>
      <c r="E59" s="46">
        <v>12898</v>
      </c>
      <c r="F59" s="73" t="s">
        <v>1459</v>
      </c>
    </row>
    <row r="60" spans="1:6">
      <c r="A60" s="42" t="s">
        <v>1380</v>
      </c>
      <c r="B60" s="42">
        <v>2212020</v>
      </c>
      <c r="C60" s="151" t="s">
        <v>223</v>
      </c>
      <c r="D60" s="112">
        <v>12144</v>
      </c>
      <c r="E60" s="46">
        <v>13381</v>
      </c>
    </row>
    <row r="61" spans="1:6">
      <c r="A61" s="42" t="s">
        <v>1380</v>
      </c>
      <c r="B61" s="42">
        <v>2212021</v>
      </c>
      <c r="C61" s="151" t="s">
        <v>223</v>
      </c>
      <c r="D61" s="112">
        <v>12144</v>
      </c>
      <c r="E61" s="46">
        <v>13381</v>
      </c>
    </row>
    <row r="62" spans="1:6">
      <c r="A62" s="42" t="s">
        <v>1380</v>
      </c>
      <c r="B62" s="42">
        <v>2151300</v>
      </c>
      <c r="C62" s="151" t="s">
        <v>223</v>
      </c>
      <c r="D62" s="112">
        <v>12277</v>
      </c>
      <c r="E62" s="46">
        <v>12863</v>
      </c>
      <c r="F62" t="s">
        <v>1666</v>
      </c>
    </row>
    <row r="63" spans="1:6">
      <c r="A63" s="42" t="s">
        <v>1380</v>
      </c>
      <c r="B63" s="42">
        <v>2208105</v>
      </c>
      <c r="C63" s="151" t="s">
        <v>223</v>
      </c>
      <c r="D63" s="112">
        <v>12293</v>
      </c>
      <c r="E63" s="46">
        <v>13346</v>
      </c>
      <c r="F63" t="s">
        <v>1464</v>
      </c>
    </row>
    <row r="64" spans="1:6">
      <c r="A64" s="42" t="s">
        <v>1380</v>
      </c>
      <c r="B64" s="42">
        <v>2221162</v>
      </c>
      <c r="C64" s="151" t="s">
        <v>223</v>
      </c>
      <c r="D64" s="112">
        <v>12636</v>
      </c>
      <c r="E64" s="46">
        <v>13465</v>
      </c>
    </row>
    <row r="65" spans="1:6">
      <c r="A65" s="42" t="s">
        <v>1380</v>
      </c>
      <c r="B65" s="42">
        <v>2257601</v>
      </c>
      <c r="C65" s="151" t="s">
        <v>223</v>
      </c>
      <c r="D65" s="112">
        <v>12636</v>
      </c>
      <c r="E65" s="46">
        <v>13787</v>
      </c>
    </row>
    <row r="66" spans="1:6">
      <c r="A66" s="42" t="s">
        <v>1380</v>
      </c>
      <c r="B66" s="42">
        <v>2244416</v>
      </c>
      <c r="C66" s="151" t="s">
        <v>223</v>
      </c>
      <c r="D66" s="112">
        <v>12759</v>
      </c>
      <c r="E66" s="46">
        <v>13668</v>
      </c>
      <c r="F66" s="73"/>
    </row>
    <row r="67" spans="1:6">
      <c r="A67" s="42" t="s">
        <v>1380</v>
      </c>
      <c r="B67" s="42">
        <v>2374682</v>
      </c>
      <c r="C67" s="151" t="s">
        <v>223</v>
      </c>
      <c r="D67" s="112">
        <v>13720</v>
      </c>
      <c r="E67" s="46">
        <v>15096</v>
      </c>
      <c r="F67" s="73"/>
    </row>
    <row r="68" spans="1:6">
      <c r="A68" s="42" t="s">
        <v>1380</v>
      </c>
      <c r="B68" s="42">
        <v>2403284</v>
      </c>
      <c r="C68" s="151" t="s">
        <v>223</v>
      </c>
      <c r="D68" s="112">
        <v>14490</v>
      </c>
      <c r="E68" s="46">
        <v>15523</v>
      </c>
      <c r="F68" s="73" t="s">
        <v>1466</v>
      </c>
    </row>
    <row r="70" spans="1:6">
      <c r="A70" s="126" t="s">
        <v>2271</v>
      </c>
    </row>
    <row r="71" spans="1:6">
      <c r="A71" s="125" t="s">
        <v>24</v>
      </c>
    </row>
    <row r="73" spans="1:6">
      <c r="A73" s="42" t="s">
        <v>1333</v>
      </c>
    </row>
    <row r="74" spans="1:6">
      <c r="A74" s="42" t="s">
        <v>1362</v>
      </c>
    </row>
    <row r="75" spans="1:6">
      <c r="A75" s="42" t="s">
        <v>1363</v>
      </c>
    </row>
    <row r="76" spans="1:6">
      <c r="A76" s="42" t="s">
        <v>1364</v>
      </c>
    </row>
    <row r="77" spans="1:6">
      <c r="A77" s="42" t="s">
        <v>1360</v>
      </c>
    </row>
    <row r="78" spans="1:6">
      <c r="A78" s="42" t="s">
        <v>1369</v>
      </c>
    </row>
    <row r="79" spans="1:6">
      <c r="A79" s="42" t="s">
        <v>1350</v>
      </c>
    </row>
    <row r="80" spans="1:6">
      <c r="A80" s="42" t="s">
        <v>1349</v>
      </c>
    </row>
    <row r="81" spans="1:4">
      <c r="A81" s="42" t="s">
        <v>1326</v>
      </c>
    </row>
    <row r="82" spans="1:4">
      <c r="A82" s="42" t="s">
        <v>1379</v>
      </c>
    </row>
    <row r="83" spans="1:4">
      <c r="A83" s="42" t="s">
        <v>36</v>
      </c>
    </row>
    <row r="84" spans="1:4" s="203" customFormat="1">
      <c r="A84" s="42" t="s">
        <v>367</v>
      </c>
      <c r="B84" s="42"/>
      <c r="C84" s="151"/>
      <c r="D84" s="42"/>
    </row>
    <row r="86" spans="1:4">
      <c r="A86" s="126" t="s">
        <v>1407</v>
      </c>
    </row>
    <row r="87" spans="1:4">
      <c r="A87" s="42" t="s">
        <v>1361</v>
      </c>
    </row>
    <row r="88" spans="1:4">
      <c r="A88" s="42" t="s">
        <v>1343</v>
      </c>
    </row>
    <row r="89" spans="1:4" s="204" customFormat="1">
      <c r="A89" s="42" t="s">
        <v>2891</v>
      </c>
      <c r="B89" s="42"/>
      <c r="C89" s="151"/>
      <c r="D89" s="42"/>
    </row>
    <row r="91" spans="1:4">
      <c r="A91" s="126" t="s">
        <v>1411</v>
      </c>
    </row>
    <row r="92" spans="1:4">
      <c r="A92" s="42" t="s">
        <v>1345</v>
      </c>
      <c r="B92" s="42">
        <v>1934</v>
      </c>
    </row>
    <row r="93" spans="1:4">
      <c r="A93" s="42" t="s">
        <v>1347</v>
      </c>
      <c r="B93" s="42">
        <v>1934</v>
      </c>
    </row>
    <row r="94" spans="1:4">
      <c r="A94" s="42" t="s">
        <v>2</v>
      </c>
      <c r="B94" s="42">
        <v>1934</v>
      </c>
    </row>
    <row r="95" spans="1:4">
      <c r="A95" s="42" t="s">
        <v>3</v>
      </c>
      <c r="B95" s="42">
        <v>1934</v>
      </c>
    </row>
    <row r="96" spans="1:4">
      <c r="A96" s="42" t="s">
        <v>1336</v>
      </c>
      <c r="B96" s="42">
        <v>1934</v>
      </c>
    </row>
    <row r="98" spans="1:7">
      <c r="A98" s="126" t="s">
        <v>1337</v>
      </c>
    </row>
    <row r="99" spans="1:7">
      <c r="A99" s="42" t="s">
        <v>1342</v>
      </c>
      <c r="B99" s="42">
        <v>1944</v>
      </c>
    </row>
    <row r="102" spans="1:7">
      <c r="A102" s="126" t="s">
        <v>4126</v>
      </c>
    </row>
    <row r="103" spans="1:7" s="371" customFormat="1">
      <c r="A103" s="42"/>
      <c r="B103" s="42"/>
      <c r="C103" s="151"/>
      <c r="D103" s="42"/>
    </row>
    <row r="104" spans="1:7" s="371" customFormat="1">
      <c r="A104" s="42" t="s">
        <v>4127</v>
      </c>
      <c r="B104" s="42"/>
      <c r="C104" s="151"/>
      <c r="D104" s="42"/>
    </row>
    <row r="105" spans="1:7">
      <c r="G105" s="371" t="s">
        <v>4130</v>
      </c>
    </row>
    <row r="106" spans="1:7">
      <c r="A106" s="220" t="s">
        <v>1380</v>
      </c>
      <c r="B106" s="220">
        <v>1464557</v>
      </c>
      <c r="C106" s="221"/>
      <c r="F106" s="42" t="s">
        <v>4117</v>
      </c>
      <c r="G106">
        <v>1</v>
      </c>
    </row>
    <row r="107" spans="1:7">
      <c r="A107" s="220" t="s">
        <v>1380</v>
      </c>
      <c r="B107" s="220">
        <v>1575529</v>
      </c>
      <c r="C107" s="221"/>
      <c r="F107" s="42" t="s">
        <v>4117</v>
      </c>
      <c r="G107" s="371">
        <v>1</v>
      </c>
    </row>
    <row r="108" spans="1:7">
      <c r="A108" s="220" t="s">
        <v>1380</v>
      </c>
      <c r="B108" s="220">
        <v>1606052</v>
      </c>
      <c r="C108" s="221"/>
      <c r="F108" s="42" t="s">
        <v>4117</v>
      </c>
      <c r="G108" s="371">
        <v>1</v>
      </c>
    </row>
    <row r="109" spans="1:7">
      <c r="A109" s="220" t="s">
        <v>1380</v>
      </c>
      <c r="B109" s="220">
        <v>1660541</v>
      </c>
      <c r="C109" s="221"/>
      <c r="F109" s="42" t="s">
        <v>4117</v>
      </c>
      <c r="G109" s="371">
        <v>1</v>
      </c>
    </row>
    <row r="110" spans="1:7">
      <c r="A110" s="220" t="s">
        <v>1380</v>
      </c>
      <c r="B110" s="220">
        <v>1667767</v>
      </c>
      <c r="C110" s="221"/>
      <c r="F110" s="42" t="s">
        <v>4117</v>
      </c>
      <c r="G110" s="371">
        <v>1</v>
      </c>
    </row>
    <row r="111" spans="1:7">
      <c r="A111" s="220" t="s">
        <v>1380</v>
      </c>
      <c r="B111" s="220">
        <v>1673615</v>
      </c>
      <c r="C111" s="221"/>
      <c r="F111" s="42" t="s">
        <v>4117</v>
      </c>
      <c r="G111" s="371">
        <v>1</v>
      </c>
    </row>
    <row r="112" spans="1:7">
      <c r="A112" s="220" t="s">
        <v>1380</v>
      </c>
      <c r="B112" s="220">
        <v>1762077</v>
      </c>
      <c r="C112" s="221" t="s">
        <v>586</v>
      </c>
      <c r="F112" s="42" t="s">
        <v>4117</v>
      </c>
      <c r="G112" s="371">
        <v>1</v>
      </c>
    </row>
    <row r="113" spans="1:9">
      <c r="A113" s="220" t="s">
        <v>1380</v>
      </c>
      <c r="B113" s="220">
        <v>1776720</v>
      </c>
      <c r="C113" s="221" t="s">
        <v>50</v>
      </c>
      <c r="F113" s="42" t="s">
        <v>4117</v>
      </c>
      <c r="G113" s="371">
        <v>1</v>
      </c>
    </row>
    <row r="114" spans="1:9">
      <c r="A114" s="220" t="s">
        <v>1380</v>
      </c>
      <c r="B114" s="220">
        <v>1776721</v>
      </c>
      <c r="C114" s="221" t="s">
        <v>586</v>
      </c>
      <c r="F114" s="42" t="s">
        <v>4117</v>
      </c>
      <c r="G114" s="371">
        <v>1</v>
      </c>
    </row>
    <row r="115" spans="1:9">
      <c r="A115" s="220" t="s">
        <v>1380</v>
      </c>
      <c r="B115" s="220">
        <v>1779012</v>
      </c>
      <c r="C115" s="221" t="s">
        <v>586</v>
      </c>
      <c r="F115" s="42" t="s">
        <v>4117</v>
      </c>
      <c r="G115" s="371">
        <v>1</v>
      </c>
    </row>
    <row r="116" spans="1:9">
      <c r="A116" s="220" t="s">
        <v>1380</v>
      </c>
      <c r="B116" s="220">
        <v>1843051</v>
      </c>
      <c r="C116" s="221" t="s">
        <v>586</v>
      </c>
      <c r="F116" s="42" t="s">
        <v>4117</v>
      </c>
      <c r="G116" s="371">
        <v>1</v>
      </c>
    </row>
    <row r="117" spans="1:9">
      <c r="A117" s="220" t="s">
        <v>1380</v>
      </c>
      <c r="B117" s="220">
        <v>1892588</v>
      </c>
      <c r="C117" s="221" t="s">
        <v>50</v>
      </c>
      <c r="F117" s="42" t="s">
        <v>4117</v>
      </c>
      <c r="G117" s="371">
        <v>1</v>
      </c>
    </row>
    <row r="118" spans="1:9">
      <c r="A118" s="220" t="s">
        <v>1380</v>
      </c>
      <c r="B118" s="220">
        <v>1893393</v>
      </c>
      <c r="C118" s="221" t="s">
        <v>50</v>
      </c>
      <c r="F118" s="42" t="s">
        <v>4117</v>
      </c>
      <c r="G118" s="371">
        <v>1</v>
      </c>
    </row>
    <row r="119" spans="1:9">
      <c r="A119" s="220" t="s">
        <v>1380</v>
      </c>
      <c r="B119" s="220">
        <v>1895424</v>
      </c>
      <c r="C119" s="221" t="s">
        <v>50</v>
      </c>
      <c r="F119" s="42" t="s">
        <v>4117</v>
      </c>
      <c r="G119" s="371">
        <v>1</v>
      </c>
    </row>
    <row r="120" spans="1:9">
      <c r="A120" s="220" t="s">
        <v>1380</v>
      </c>
      <c r="B120" s="220">
        <v>1903397</v>
      </c>
      <c r="C120" s="221" t="s">
        <v>586</v>
      </c>
      <c r="F120" s="42" t="s">
        <v>4117</v>
      </c>
      <c r="G120" s="371">
        <v>1</v>
      </c>
    </row>
    <row r="121" spans="1:9">
      <c r="A121" s="220" t="s">
        <v>1380</v>
      </c>
      <c r="B121" s="220">
        <v>1917734</v>
      </c>
      <c r="C121" s="221" t="s">
        <v>50</v>
      </c>
      <c r="F121" s="42" t="s">
        <v>4117</v>
      </c>
      <c r="G121" s="371">
        <v>1</v>
      </c>
    </row>
    <row r="122" spans="1:9">
      <c r="A122" s="220" t="s">
        <v>1380</v>
      </c>
      <c r="B122" s="220">
        <v>1934005</v>
      </c>
      <c r="C122" s="221" t="s">
        <v>586</v>
      </c>
      <c r="F122" s="42" t="s">
        <v>4117</v>
      </c>
      <c r="G122" s="371">
        <v>1</v>
      </c>
      <c r="H122" s="42"/>
      <c r="I122" s="151"/>
    </row>
    <row r="123" spans="1:9">
      <c r="A123" s="220" t="s">
        <v>1380</v>
      </c>
      <c r="B123" s="220">
        <v>1938864</v>
      </c>
      <c r="C123" s="221" t="s">
        <v>586</v>
      </c>
      <c r="F123" s="42" t="s">
        <v>4117</v>
      </c>
      <c r="G123" s="371">
        <v>1</v>
      </c>
      <c r="H123" s="42"/>
      <c r="I123" s="151"/>
    </row>
    <row r="124" spans="1:9">
      <c r="A124" s="220" t="s">
        <v>4116</v>
      </c>
      <c r="B124" s="220">
        <v>1946332</v>
      </c>
      <c r="C124" s="221" t="s">
        <v>586</v>
      </c>
      <c r="F124" s="42" t="s">
        <v>4117</v>
      </c>
      <c r="G124" s="371">
        <v>1</v>
      </c>
      <c r="H124" s="42"/>
      <c r="I124" s="151"/>
    </row>
    <row r="125" spans="1:9">
      <c r="A125" s="220" t="s">
        <v>4118</v>
      </c>
      <c r="B125" s="220">
        <v>1946333</v>
      </c>
      <c r="C125" s="221"/>
      <c r="F125" s="42" t="s">
        <v>4117</v>
      </c>
      <c r="G125" s="371">
        <v>1</v>
      </c>
      <c r="H125" s="42"/>
      <c r="I125" s="151"/>
    </row>
    <row r="126" spans="1:9">
      <c r="A126" s="220" t="s">
        <v>4116</v>
      </c>
      <c r="B126" s="220">
        <v>1977940</v>
      </c>
      <c r="C126" s="221"/>
      <c r="F126" s="42" t="s">
        <v>4117</v>
      </c>
      <c r="G126" s="371">
        <v>1</v>
      </c>
      <c r="H126" s="42"/>
      <c r="I126" s="151"/>
    </row>
    <row r="127" spans="1:9">
      <c r="A127" s="220" t="s">
        <v>1380</v>
      </c>
      <c r="B127" s="220">
        <v>1986360</v>
      </c>
      <c r="C127" s="221" t="s">
        <v>586</v>
      </c>
      <c r="F127" s="371" t="s">
        <v>4117</v>
      </c>
      <c r="G127" s="371">
        <v>1</v>
      </c>
      <c r="H127" s="42"/>
      <c r="I127" s="151"/>
    </row>
    <row r="128" spans="1:9">
      <c r="A128" s="220" t="s">
        <v>1380</v>
      </c>
      <c r="B128" s="220">
        <v>2020496</v>
      </c>
      <c r="C128" s="221" t="s">
        <v>586</v>
      </c>
      <c r="F128" s="371" t="s">
        <v>4117</v>
      </c>
      <c r="G128" s="371">
        <v>1</v>
      </c>
      <c r="H128" s="42"/>
      <c r="I128" s="151"/>
    </row>
    <row r="129" spans="1:9">
      <c r="A129" s="220" t="s">
        <v>1380</v>
      </c>
      <c r="B129" s="220">
        <v>2020517</v>
      </c>
      <c r="C129" s="221" t="s">
        <v>586</v>
      </c>
      <c r="F129" s="371" t="s">
        <v>4117</v>
      </c>
      <c r="G129" s="371">
        <v>1</v>
      </c>
      <c r="H129" s="42"/>
      <c r="I129" s="151"/>
    </row>
    <row r="130" spans="1:9">
      <c r="A130" s="220" t="s">
        <v>1380</v>
      </c>
      <c r="B130" s="220">
        <v>2020662</v>
      </c>
      <c r="C130" s="221" t="s">
        <v>50</v>
      </c>
      <c r="F130" s="371" t="s">
        <v>4117</v>
      </c>
      <c r="G130" s="371">
        <v>1</v>
      </c>
      <c r="H130" s="42"/>
      <c r="I130" s="151"/>
    </row>
    <row r="131" spans="1:9">
      <c r="A131" s="220" t="s">
        <v>1380</v>
      </c>
      <c r="B131" s="220">
        <v>2039739</v>
      </c>
      <c r="C131" s="221" t="s">
        <v>586</v>
      </c>
      <c r="F131" s="371" t="s">
        <v>4117</v>
      </c>
      <c r="G131" s="371">
        <v>1</v>
      </c>
      <c r="H131" s="42"/>
      <c r="I131" s="151"/>
    </row>
    <row r="132" spans="1:9">
      <c r="A132" s="220" t="s">
        <v>1380</v>
      </c>
      <c r="B132" s="220">
        <v>2057695</v>
      </c>
      <c r="C132" s="221" t="s">
        <v>50</v>
      </c>
      <c r="F132" s="371" t="s">
        <v>4117</v>
      </c>
      <c r="G132" s="371">
        <v>1</v>
      </c>
      <c r="H132" s="42"/>
      <c r="I132" s="151"/>
    </row>
    <row r="133" spans="1:9" s="194" customFormat="1">
      <c r="C133" s="373"/>
      <c r="I133" s="373"/>
    </row>
    <row r="134" spans="1:9">
      <c r="A134" s="220" t="s">
        <v>4116</v>
      </c>
      <c r="B134" s="220">
        <v>1781672</v>
      </c>
      <c r="C134" s="221"/>
      <c r="F134" s="371" t="s">
        <v>4119</v>
      </c>
      <c r="G134" s="42">
        <v>2</v>
      </c>
      <c r="H134" s="42"/>
      <c r="I134" s="151"/>
    </row>
    <row r="135" spans="1:9">
      <c r="A135" s="220" t="s">
        <v>1380</v>
      </c>
      <c r="B135" s="220">
        <v>1831728</v>
      </c>
      <c r="C135" s="221" t="s">
        <v>586</v>
      </c>
      <c r="F135" s="371" t="s">
        <v>4119</v>
      </c>
      <c r="G135" s="42">
        <v>2</v>
      </c>
      <c r="H135" s="42"/>
      <c r="I135" s="151"/>
    </row>
    <row r="136" spans="1:9">
      <c r="A136" s="220" t="s">
        <v>1380</v>
      </c>
      <c r="B136" s="220">
        <v>1859240</v>
      </c>
      <c r="C136" s="221" t="s">
        <v>586</v>
      </c>
      <c r="F136" s="371" t="s">
        <v>4120</v>
      </c>
      <c r="G136" s="42">
        <v>2</v>
      </c>
      <c r="H136" s="42"/>
      <c r="I136" s="42"/>
    </row>
    <row r="137" spans="1:9">
      <c r="A137" s="220" t="s">
        <v>1380</v>
      </c>
      <c r="B137" s="220">
        <v>1884899</v>
      </c>
      <c r="C137" s="221" t="s">
        <v>50</v>
      </c>
      <c r="F137" s="371" t="s">
        <v>4121</v>
      </c>
      <c r="G137" s="42">
        <v>2</v>
      </c>
      <c r="H137" s="42"/>
      <c r="I137" s="42"/>
    </row>
    <row r="138" spans="1:9">
      <c r="A138" s="220" t="s">
        <v>1380</v>
      </c>
      <c r="B138" s="220">
        <v>1936718</v>
      </c>
      <c r="C138" s="221" t="s">
        <v>586</v>
      </c>
      <c r="F138" s="371" t="s">
        <v>4120</v>
      </c>
      <c r="G138" s="42">
        <v>2</v>
      </c>
    </row>
    <row r="139" spans="1:9">
      <c r="A139" s="220" t="s">
        <v>1380</v>
      </c>
      <c r="B139" s="220">
        <v>1965490</v>
      </c>
      <c r="C139" s="221" t="s">
        <v>586</v>
      </c>
      <c r="F139" s="371" t="s">
        <v>4122</v>
      </c>
      <c r="G139" s="42">
        <v>2</v>
      </c>
    </row>
    <row r="140" spans="1:9">
      <c r="A140" s="220" t="s">
        <v>1380</v>
      </c>
      <c r="B140" s="220">
        <v>1982186</v>
      </c>
      <c r="C140" s="221" t="s">
        <v>586</v>
      </c>
      <c r="F140" s="371" t="s">
        <v>4119</v>
      </c>
      <c r="G140" s="42">
        <v>2</v>
      </c>
    </row>
    <row r="141" spans="1:9">
      <c r="A141" s="220" t="s">
        <v>1380</v>
      </c>
      <c r="B141" s="220">
        <v>2019494</v>
      </c>
      <c r="C141" s="221" t="s">
        <v>586</v>
      </c>
      <c r="F141" s="371" t="s">
        <v>4123</v>
      </c>
      <c r="G141" s="42">
        <v>2</v>
      </c>
    </row>
    <row r="142" spans="1:9">
      <c r="A142" s="220" t="s">
        <v>1380</v>
      </c>
      <c r="B142" s="220">
        <v>2024398</v>
      </c>
      <c r="C142" s="221" t="s">
        <v>50</v>
      </c>
      <c r="F142" s="371" t="s">
        <v>4124</v>
      </c>
      <c r="G142" s="42">
        <v>2</v>
      </c>
    </row>
    <row r="143" spans="1:9">
      <c r="F143" s="371" t="s">
        <v>4125</v>
      </c>
    </row>
    <row r="154" spans="7:9">
      <c r="G154" s="42"/>
      <c r="H154" s="42"/>
      <c r="I154" s="151"/>
    </row>
    <row r="155" spans="7:9">
      <c r="G155" s="42"/>
      <c r="H155" s="42"/>
      <c r="I155" s="151"/>
    </row>
    <row r="156" spans="7:9">
      <c r="G156" s="42"/>
      <c r="H156" s="42"/>
      <c r="I156" s="151"/>
    </row>
    <row r="157" spans="7:9">
      <c r="G157" s="42"/>
      <c r="H157" s="42"/>
      <c r="I157" s="151"/>
    </row>
    <row r="158" spans="7:9">
      <c r="G158" s="42"/>
      <c r="H158" s="42"/>
      <c r="I158" s="151"/>
    </row>
    <row r="159" spans="7:9">
      <c r="G159" s="42"/>
      <c r="H159" s="42"/>
      <c r="I159" s="151"/>
    </row>
    <row r="160" spans="7:9">
      <c r="G160" s="42"/>
      <c r="H160" s="42"/>
      <c r="I160" s="151"/>
    </row>
    <row r="161" spans="7:9">
      <c r="G161" s="42"/>
      <c r="H161" s="42"/>
      <c r="I161" s="42"/>
    </row>
    <row r="162" spans="7:9">
      <c r="G162" s="42"/>
      <c r="H162" s="42"/>
      <c r="I162" s="42"/>
    </row>
    <row r="163" spans="7:9">
      <c r="G163" s="42"/>
      <c r="H163" s="42"/>
      <c r="I163" s="42"/>
    </row>
    <row r="164" spans="7:9">
      <c r="G164" s="42"/>
      <c r="H164" s="42"/>
      <c r="I164" s="42"/>
    </row>
    <row r="168" spans="7:9">
      <c r="G168" s="42"/>
      <c r="H168" s="42"/>
      <c r="I168" s="42"/>
    </row>
    <row r="169" spans="7:9">
      <c r="G169" s="42"/>
      <c r="H169" s="42"/>
      <c r="I169" s="42"/>
    </row>
    <row r="170" spans="7:9">
      <c r="G170" s="42"/>
      <c r="H170" s="42"/>
      <c r="I170" s="42"/>
    </row>
    <row r="171" spans="7:9">
      <c r="G171" s="42"/>
      <c r="H171" s="42"/>
      <c r="I171" s="42"/>
    </row>
    <row r="172" spans="7:9">
      <c r="G172" s="42"/>
      <c r="H172" s="42"/>
      <c r="I172" s="42"/>
    </row>
    <row r="173" spans="7:9">
      <c r="G173" s="42"/>
      <c r="H173" s="42"/>
      <c r="I173" s="42"/>
    </row>
    <row r="174" spans="7:9">
      <c r="G174" s="42"/>
      <c r="H174" s="42"/>
      <c r="I174" s="42"/>
    </row>
    <row r="175" spans="7:9">
      <c r="G175" s="42"/>
      <c r="H175" s="42"/>
      <c r="I175" s="42"/>
    </row>
    <row r="176" spans="7:9">
      <c r="G176" s="42"/>
      <c r="H176" s="42"/>
      <c r="I176" s="42"/>
    </row>
    <row r="177" spans="7:9">
      <c r="G177" s="42"/>
      <c r="H177" s="42"/>
      <c r="I177" s="42"/>
    </row>
  </sheetData>
  <sheetCalcPr fullCalcOnLoad="1"/>
  <sortState ref="A3:XFD21">
    <sortCondition ref="D3:D21"/>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W117"/>
  <sheetViews>
    <sheetView topLeftCell="R45" workbookViewId="0">
      <selection activeCell="G85" sqref="G85"/>
    </sheetView>
  </sheetViews>
  <sheetFormatPr baseColWidth="10" defaultColWidth="11" defaultRowHeight="13"/>
  <cols>
    <col min="1" max="1" width="11" style="42"/>
    <col min="2" max="2" width="11" style="143"/>
    <col min="3" max="4" width="11" style="42"/>
    <col min="6" max="6" width="17.28515625" customWidth="1"/>
  </cols>
  <sheetData>
    <row r="1" spans="1:49" s="12" customFormat="1" ht="36">
      <c r="A1" s="52" t="s">
        <v>1869</v>
      </c>
      <c r="B1" s="52" t="s">
        <v>2823</v>
      </c>
      <c r="C1" s="52" t="s">
        <v>2613</v>
      </c>
      <c r="D1" s="52" t="s">
        <v>1774</v>
      </c>
      <c r="E1" s="1" t="s">
        <v>1777</v>
      </c>
      <c r="F1" s="1" t="s">
        <v>1787</v>
      </c>
      <c r="G1" s="2" t="s">
        <v>1631</v>
      </c>
      <c r="H1" s="3" t="s">
        <v>1632</v>
      </c>
      <c r="I1" s="4" t="s">
        <v>1797</v>
      </c>
      <c r="J1" s="4" t="s">
        <v>1689</v>
      </c>
      <c r="K1" s="4" t="s">
        <v>1633</v>
      </c>
      <c r="L1" s="4" t="s">
        <v>1827</v>
      </c>
      <c r="M1" s="4" t="s">
        <v>1828</v>
      </c>
      <c r="N1" s="4" t="s">
        <v>1692</v>
      </c>
      <c r="O1" s="4" t="s">
        <v>1793</v>
      </c>
      <c r="P1" s="4" t="s">
        <v>1638</v>
      </c>
      <c r="Q1" s="4" t="s">
        <v>1801</v>
      </c>
      <c r="R1" s="4" t="s">
        <v>1700</v>
      </c>
      <c r="S1" s="5" t="s">
        <v>1683</v>
      </c>
      <c r="T1" s="6" t="s">
        <v>1684</v>
      </c>
      <c r="U1" s="6" t="s">
        <v>1900</v>
      </c>
      <c r="V1" s="6" t="s">
        <v>1901</v>
      </c>
      <c r="W1" s="6" t="s">
        <v>1685</v>
      </c>
      <c r="X1" s="6" t="s">
        <v>1686</v>
      </c>
      <c r="Y1" s="7" t="s">
        <v>1687</v>
      </c>
      <c r="Z1" s="8" t="s">
        <v>1688</v>
      </c>
      <c r="AA1" s="9" t="s">
        <v>1810</v>
      </c>
      <c r="AB1" s="9" t="s">
        <v>1728</v>
      </c>
      <c r="AC1" s="9" t="s">
        <v>1763</v>
      </c>
      <c r="AD1" s="9" t="s">
        <v>1764</v>
      </c>
      <c r="AE1" s="9" t="s">
        <v>1860</v>
      </c>
      <c r="AF1" s="9" t="s">
        <v>1861</v>
      </c>
      <c r="AG1" s="9" t="s">
        <v>1693</v>
      </c>
      <c r="AH1" s="5" t="s">
        <v>1694</v>
      </c>
      <c r="AI1" s="6" t="s">
        <v>1862</v>
      </c>
      <c r="AJ1" s="6" t="s">
        <v>1744</v>
      </c>
      <c r="AK1" s="7" t="s">
        <v>1758</v>
      </c>
      <c r="AL1" s="7" t="s">
        <v>1921</v>
      </c>
      <c r="AM1" s="7" t="s">
        <v>1835</v>
      </c>
      <c r="AN1" s="7" t="s">
        <v>1836</v>
      </c>
      <c r="AO1" s="7" t="s">
        <v>1893</v>
      </c>
      <c r="AP1" s="7" t="s">
        <v>1894</v>
      </c>
      <c r="AQ1" s="10" t="s">
        <v>1895</v>
      </c>
      <c r="AR1" s="10" t="s">
        <v>1745</v>
      </c>
      <c r="AS1" s="10" t="s">
        <v>1751</v>
      </c>
      <c r="AT1" s="11" t="s">
        <v>1746</v>
      </c>
      <c r="AU1" s="1" t="s">
        <v>1899</v>
      </c>
      <c r="AV1" s="1" t="s">
        <v>1680</v>
      </c>
      <c r="AW1" s="1" t="s">
        <v>1681</v>
      </c>
    </row>
    <row r="2" spans="1:49" s="123" customFormat="1">
      <c r="A2" s="247" t="s">
        <v>1654</v>
      </c>
      <c r="B2" s="143"/>
      <c r="C2" s="42"/>
      <c r="D2" s="42"/>
    </row>
    <row r="3" spans="1:49" s="123" customFormat="1">
      <c r="A3" s="143" t="s">
        <v>1826</v>
      </c>
      <c r="B3" s="143">
        <v>2187017</v>
      </c>
      <c r="C3" s="151" t="s">
        <v>2588</v>
      </c>
      <c r="D3" s="43">
        <v>12398</v>
      </c>
      <c r="E3" s="40">
        <v>13164</v>
      </c>
      <c r="F3" s="64" t="s">
        <v>1655</v>
      </c>
    </row>
    <row r="4" spans="1:49" s="123" customFormat="1">
      <c r="A4" s="143" t="s">
        <v>1826</v>
      </c>
      <c r="B4" s="143">
        <v>2273499</v>
      </c>
      <c r="C4" s="151" t="s">
        <v>2588</v>
      </c>
      <c r="D4" s="43">
        <v>12453</v>
      </c>
      <c r="E4" s="40">
        <v>13927</v>
      </c>
      <c r="F4" s="64" t="s">
        <v>1672</v>
      </c>
    </row>
    <row r="5" spans="1:49" s="123" customFormat="1">
      <c r="A5" s="143" t="s">
        <v>1826</v>
      </c>
      <c r="B5" s="143">
        <v>2242287</v>
      </c>
      <c r="C5" s="151" t="s">
        <v>2588</v>
      </c>
      <c r="D5" s="43">
        <v>12481</v>
      </c>
      <c r="E5" s="40">
        <v>13654</v>
      </c>
      <c r="F5" s="64" t="s">
        <v>1676</v>
      </c>
    </row>
    <row r="6" spans="1:49" s="123" customFormat="1">
      <c r="A6" s="143" t="s">
        <v>1826</v>
      </c>
      <c r="B6" s="143">
        <v>2207239</v>
      </c>
      <c r="C6" s="151" t="s">
        <v>2588</v>
      </c>
      <c r="D6" s="43">
        <v>12489</v>
      </c>
      <c r="E6" s="40">
        <v>13339</v>
      </c>
      <c r="F6" s="64" t="s">
        <v>1655</v>
      </c>
    </row>
    <row r="7" spans="1:49" s="26" customFormat="1">
      <c r="A7" s="143" t="s">
        <v>1826</v>
      </c>
      <c r="B7" s="143">
        <v>2386598</v>
      </c>
      <c r="C7" s="151" t="s">
        <v>2588</v>
      </c>
      <c r="D7" s="43">
        <v>12489</v>
      </c>
      <c r="E7" s="40">
        <v>15257</v>
      </c>
      <c r="F7" s="33" t="s">
        <v>2596</v>
      </c>
      <c r="G7" s="27"/>
      <c r="H7" s="27"/>
      <c r="I7" s="27"/>
      <c r="J7" s="27"/>
      <c r="K7" s="27"/>
      <c r="L7" s="27"/>
      <c r="M7" s="27"/>
      <c r="N7" s="27"/>
      <c r="O7" s="27"/>
      <c r="P7" s="27"/>
      <c r="Q7" s="27"/>
      <c r="R7" s="27"/>
    </row>
    <row r="8" spans="1:49" s="123" customFormat="1">
      <c r="A8" s="143" t="s">
        <v>1826</v>
      </c>
      <c r="B8" s="143">
        <v>2272627</v>
      </c>
      <c r="C8" s="151" t="s">
        <v>2588</v>
      </c>
      <c r="D8" s="43">
        <v>12501</v>
      </c>
      <c r="E8" s="40">
        <v>13920</v>
      </c>
      <c r="F8" s="64" t="s">
        <v>1704</v>
      </c>
    </row>
    <row r="9" spans="1:49" s="123" customFormat="1">
      <c r="A9" s="143" t="s">
        <v>1826</v>
      </c>
      <c r="B9" s="143">
        <v>2213852</v>
      </c>
      <c r="C9" s="151" t="s">
        <v>2588</v>
      </c>
      <c r="D9" s="43">
        <v>12502</v>
      </c>
      <c r="E9" s="40">
        <v>13395</v>
      </c>
      <c r="F9" s="64" t="s">
        <v>1672</v>
      </c>
    </row>
    <row r="10" spans="1:49" s="123" customFormat="1">
      <c r="A10" s="143" t="s">
        <v>1826</v>
      </c>
      <c r="B10" s="143">
        <v>2259719</v>
      </c>
      <c r="C10" s="151" t="s">
        <v>2588</v>
      </c>
      <c r="D10" s="43">
        <v>12558</v>
      </c>
      <c r="E10" s="40">
        <v>13808</v>
      </c>
      <c r="F10" s="64" t="s">
        <v>1704</v>
      </c>
    </row>
    <row r="11" spans="1:49" s="123" customFormat="1">
      <c r="A11" s="143" t="s">
        <v>1826</v>
      </c>
      <c r="B11" s="143">
        <v>2235180</v>
      </c>
      <c r="C11" s="151" t="s">
        <v>2588</v>
      </c>
      <c r="D11" s="43">
        <v>12697</v>
      </c>
      <c r="E11" s="40">
        <v>13591</v>
      </c>
      <c r="F11" s="64" t="s">
        <v>1672</v>
      </c>
    </row>
    <row r="12" spans="1:49" s="123" customFormat="1">
      <c r="A12" s="143" t="s">
        <v>1826</v>
      </c>
      <c r="B12" s="143">
        <v>2230852</v>
      </c>
      <c r="C12" s="151" t="s">
        <v>2588</v>
      </c>
      <c r="D12" s="43">
        <v>12727</v>
      </c>
      <c r="E12" s="40">
        <v>13549</v>
      </c>
      <c r="F12" s="64" t="s">
        <v>1672</v>
      </c>
    </row>
    <row r="13" spans="1:49" s="123" customFormat="1">
      <c r="A13" s="143" t="s">
        <v>1826</v>
      </c>
      <c r="B13" s="143">
        <v>2307673</v>
      </c>
      <c r="C13" s="151" t="s">
        <v>2588</v>
      </c>
      <c r="D13" s="43">
        <v>12730</v>
      </c>
      <c r="E13" s="40">
        <v>14249</v>
      </c>
      <c r="F13" s="64" t="s">
        <v>1705</v>
      </c>
    </row>
    <row r="14" spans="1:49" s="123" customFormat="1">
      <c r="A14" s="143" t="s">
        <v>1826</v>
      </c>
      <c r="B14" s="143">
        <v>2211444</v>
      </c>
      <c r="C14" s="151" t="s">
        <v>2588</v>
      </c>
      <c r="D14" s="253">
        <v>12892</v>
      </c>
      <c r="E14" s="40">
        <v>13374</v>
      </c>
      <c r="F14" s="64" t="s">
        <v>1672</v>
      </c>
    </row>
    <row r="15" spans="1:49" s="123" customFormat="1">
      <c r="A15" s="143" t="s">
        <v>1826</v>
      </c>
      <c r="B15" s="143">
        <v>2233651</v>
      </c>
      <c r="C15" s="151" t="s">
        <v>2588</v>
      </c>
      <c r="D15" s="43">
        <v>12900</v>
      </c>
      <c r="E15" s="40">
        <v>13577</v>
      </c>
      <c r="F15" s="64" t="s">
        <v>1671</v>
      </c>
    </row>
    <row r="16" spans="1:49" s="207" customFormat="1">
      <c r="A16" s="143" t="s">
        <v>1826</v>
      </c>
      <c r="B16" s="143">
        <v>2373859</v>
      </c>
      <c r="C16" s="151" t="s">
        <v>2588</v>
      </c>
      <c r="D16" s="43">
        <v>14410</v>
      </c>
      <c r="E16" s="40">
        <v>15082</v>
      </c>
      <c r="F16" s="64" t="s">
        <v>1672</v>
      </c>
    </row>
    <row r="17" spans="1:7" s="123" customFormat="1">
      <c r="A17" s="145"/>
      <c r="B17" s="143"/>
      <c r="C17" s="42"/>
      <c r="D17" s="42"/>
      <c r="G17" s="26"/>
    </row>
    <row r="18" spans="1:7" s="123" customFormat="1">
      <c r="A18" s="125" t="s">
        <v>2694</v>
      </c>
      <c r="B18" s="143"/>
      <c r="C18" s="42"/>
      <c r="D18" s="42"/>
      <c r="G18" s="26"/>
    </row>
    <row r="19" spans="1:7">
      <c r="G19" s="26"/>
    </row>
    <row r="20" spans="1:7">
      <c r="A20" s="42" t="s">
        <v>2642</v>
      </c>
    </row>
    <row r="21" spans="1:7">
      <c r="A21" s="42" t="s">
        <v>2534</v>
      </c>
    </row>
    <row r="22" spans="1:7">
      <c r="A22" s="42" t="s">
        <v>2661</v>
      </c>
    </row>
    <row r="23" spans="1:7">
      <c r="A23" s="42" t="s">
        <v>2662</v>
      </c>
    </row>
    <row r="24" spans="1:7">
      <c r="A24" s="42" t="s">
        <v>4032</v>
      </c>
    </row>
    <row r="25" spans="1:7">
      <c r="A25" s="42" t="s">
        <v>1369</v>
      </c>
    </row>
    <row r="26" spans="1:7">
      <c r="A26" s="42" t="s">
        <v>2551</v>
      </c>
    </row>
    <row r="27" spans="1:7">
      <c r="A27" s="42" t="s">
        <v>2663</v>
      </c>
    </row>
    <row r="28" spans="1:7">
      <c r="A28" s="42" t="s">
        <v>2566</v>
      </c>
    </row>
    <row r="29" spans="1:7">
      <c r="A29" s="42" t="s">
        <v>2646</v>
      </c>
    </row>
    <row r="30" spans="1:7">
      <c r="A30" s="42" t="s">
        <v>37</v>
      </c>
    </row>
    <row r="31" spans="1:7" s="203" customFormat="1">
      <c r="A31" s="42" t="s">
        <v>366</v>
      </c>
      <c r="B31" s="143"/>
      <c r="C31" s="42"/>
      <c r="D31" s="42"/>
    </row>
    <row r="33" spans="1:49">
      <c r="A33" s="126" t="s">
        <v>1411</v>
      </c>
    </row>
    <row r="34" spans="1:49">
      <c r="A34" s="42" t="s">
        <v>2567</v>
      </c>
      <c r="B34" s="143">
        <v>1934</v>
      </c>
    </row>
    <row r="35" spans="1:49">
      <c r="A35" s="42" t="s">
        <v>2568</v>
      </c>
      <c r="B35" s="143">
        <v>1934</v>
      </c>
    </row>
    <row r="36" spans="1:49">
      <c r="A36" s="42" t="s">
        <v>2569</v>
      </c>
      <c r="B36" s="143">
        <v>1934</v>
      </c>
    </row>
    <row r="38" spans="1:49">
      <c r="A38" s="254" t="s">
        <v>2570</v>
      </c>
    </row>
    <row r="39" spans="1:49">
      <c r="A39" s="145" t="s">
        <v>1597</v>
      </c>
      <c r="B39" s="144">
        <v>11427</v>
      </c>
      <c r="C39" s="43"/>
    </row>
    <row r="40" spans="1:49">
      <c r="A40" s="145" t="s">
        <v>1948</v>
      </c>
      <c r="B40" s="144">
        <v>12192</v>
      </c>
      <c r="C40" s="43"/>
    </row>
    <row r="41" spans="1:49">
      <c r="A41" s="145" t="s">
        <v>1598</v>
      </c>
      <c r="B41" s="144">
        <v>12453</v>
      </c>
      <c r="C41" s="43"/>
    </row>
    <row r="42" spans="1:49">
      <c r="A42" s="145" t="s">
        <v>1949</v>
      </c>
    </row>
    <row r="45" spans="1:49" s="45" customFormat="1" ht="12">
      <c r="A45" s="58" t="s">
        <v>1932</v>
      </c>
      <c r="B45" s="52"/>
      <c r="C45" s="52"/>
      <c r="D45" s="52"/>
      <c r="E45" s="52"/>
      <c r="F45" s="52"/>
      <c r="G45" s="53"/>
      <c r="H45" s="53"/>
      <c r="I45" s="52"/>
      <c r="J45" s="52"/>
      <c r="K45" s="52"/>
      <c r="L45" s="52"/>
      <c r="M45" s="52"/>
      <c r="N45" s="52"/>
      <c r="O45" s="52"/>
      <c r="P45" s="52"/>
      <c r="Q45" s="52"/>
      <c r="R45" s="52"/>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2"/>
      <c r="AR45" s="52"/>
      <c r="AS45" s="52"/>
      <c r="AT45" s="53"/>
      <c r="AU45" s="52"/>
      <c r="AV45" s="52"/>
      <c r="AW45" s="52"/>
    </row>
    <row r="46" spans="1:49" s="26" customFormat="1">
      <c r="A46" s="231" t="s">
        <v>1848</v>
      </c>
      <c r="B46" s="231">
        <v>1525302</v>
      </c>
      <c r="C46" s="231"/>
      <c r="D46" s="43">
        <v>6744</v>
      </c>
      <c r="E46" s="40">
        <v>7704</v>
      </c>
      <c r="F46" s="33" t="s">
        <v>1667</v>
      </c>
      <c r="G46" s="27">
        <v>361</v>
      </c>
      <c r="H46" s="27">
        <v>290</v>
      </c>
      <c r="I46" s="27">
        <v>300</v>
      </c>
      <c r="J46" s="27"/>
      <c r="K46" s="27"/>
      <c r="L46" s="27"/>
      <c r="M46" s="27"/>
      <c r="N46" s="27"/>
      <c r="O46" s="27"/>
      <c r="P46" s="27"/>
      <c r="Q46" s="27"/>
      <c r="R46" s="27"/>
      <c r="S46" s="26">
        <v>116</v>
      </c>
      <c r="T46" s="26">
        <v>254</v>
      </c>
      <c r="Z46" s="26">
        <v>74</v>
      </c>
      <c r="AA46" s="26">
        <v>10.54</v>
      </c>
    </row>
    <row r="47" spans="1:49" s="26" customFormat="1">
      <c r="A47" s="231" t="s">
        <v>1848</v>
      </c>
      <c r="B47" s="231">
        <v>1620244</v>
      </c>
      <c r="C47" s="231"/>
      <c r="D47" s="43">
        <v>7077</v>
      </c>
      <c r="E47" s="40">
        <v>8467</v>
      </c>
      <c r="F47" s="33" t="s">
        <v>1767</v>
      </c>
      <c r="G47" s="27">
        <v>361</v>
      </c>
      <c r="H47" s="27">
        <v>298.5</v>
      </c>
      <c r="I47" s="27"/>
      <c r="J47" s="27"/>
      <c r="K47" s="27"/>
      <c r="L47" s="27"/>
      <c r="M47" s="27"/>
      <c r="N47" s="27"/>
      <c r="O47" s="27"/>
      <c r="P47" s="27"/>
      <c r="Q47" s="27"/>
      <c r="R47" s="27"/>
      <c r="S47" s="26">
        <v>403</v>
      </c>
      <c r="T47" s="26">
        <v>197</v>
      </c>
    </row>
    <row r="48" spans="1:49" s="26" customFormat="1">
      <c r="A48" s="231" t="s">
        <v>1848</v>
      </c>
      <c r="B48" s="231">
        <v>1600115</v>
      </c>
      <c r="C48" s="231"/>
      <c r="D48" s="43">
        <v>7085</v>
      </c>
      <c r="E48" s="40">
        <v>8292</v>
      </c>
      <c r="F48" s="33" t="s">
        <v>1766</v>
      </c>
      <c r="G48" s="27">
        <v>403</v>
      </c>
      <c r="H48" s="27">
        <v>247</v>
      </c>
      <c r="I48" s="27"/>
      <c r="J48" s="27"/>
      <c r="K48" s="27"/>
      <c r="L48" s="27"/>
      <c r="M48" s="27"/>
      <c r="N48" s="27"/>
      <c r="O48" s="27"/>
      <c r="P48" s="27"/>
      <c r="Q48" s="27"/>
      <c r="R48" s="27"/>
      <c r="S48" s="26">
        <v>29</v>
      </c>
      <c r="T48" s="26">
        <v>25.41</v>
      </c>
      <c r="Z48" s="26">
        <v>361</v>
      </c>
      <c r="AA48" s="26">
        <v>298.10000000000002</v>
      </c>
    </row>
    <row r="49" spans="1:27" s="26" customFormat="1">
      <c r="A49" s="231" t="s">
        <v>1848</v>
      </c>
      <c r="B49" s="231">
        <v>1592580</v>
      </c>
      <c r="C49" s="231"/>
      <c r="D49" s="43">
        <v>7133</v>
      </c>
      <c r="E49" s="40">
        <v>8229</v>
      </c>
      <c r="F49" s="33" t="s">
        <v>1669</v>
      </c>
      <c r="G49" s="27">
        <v>116</v>
      </c>
      <c r="H49" s="27">
        <v>249</v>
      </c>
      <c r="I49" s="27"/>
      <c r="J49" s="27"/>
      <c r="K49" s="27"/>
      <c r="L49" s="27"/>
      <c r="M49" s="27"/>
      <c r="N49" s="27"/>
      <c r="O49" s="27"/>
      <c r="P49" s="27"/>
      <c r="Q49" s="27"/>
      <c r="R49" s="27"/>
      <c r="S49" s="26">
        <v>361</v>
      </c>
      <c r="T49" s="26">
        <v>298.5</v>
      </c>
      <c r="Z49" s="26">
        <v>74</v>
      </c>
      <c r="AA49" s="26" t="s">
        <v>1708</v>
      </c>
    </row>
    <row r="50" spans="1:27" s="26" customFormat="1">
      <c r="A50" s="231" t="s">
        <v>1848</v>
      </c>
      <c r="B50" s="231">
        <v>1700222</v>
      </c>
      <c r="C50" s="231"/>
      <c r="D50" s="43">
        <v>7146</v>
      </c>
      <c r="E50" s="40">
        <v>9160</v>
      </c>
      <c r="F50" s="33" t="s">
        <v>1760</v>
      </c>
      <c r="G50" s="27">
        <v>361</v>
      </c>
      <c r="H50" s="27">
        <v>298.5</v>
      </c>
      <c r="I50" s="27"/>
      <c r="J50" s="27"/>
      <c r="K50" s="27"/>
      <c r="L50" s="27"/>
      <c r="M50" s="27"/>
      <c r="N50" s="27"/>
      <c r="O50" s="27"/>
      <c r="P50" s="27"/>
      <c r="Q50" s="27"/>
      <c r="R50" s="27"/>
      <c r="S50" s="26">
        <v>74</v>
      </c>
      <c r="T50" s="26">
        <v>10.54</v>
      </c>
    </row>
    <row r="51" spans="1:27" s="26" customFormat="1">
      <c r="A51" s="231" t="s">
        <v>1848</v>
      </c>
      <c r="B51" s="231">
        <v>1558473</v>
      </c>
      <c r="C51" s="231"/>
      <c r="D51" s="43">
        <v>7234</v>
      </c>
      <c r="E51" s="35">
        <v>7970</v>
      </c>
      <c r="F51" s="33" t="s">
        <v>1668</v>
      </c>
      <c r="G51" s="27">
        <v>336</v>
      </c>
      <c r="H51" s="27">
        <v>79</v>
      </c>
      <c r="I51" s="27"/>
      <c r="J51" s="27"/>
      <c r="K51" s="27"/>
      <c r="L51" s="27"/>
      <c r="M51" s="27"/>
      <c r="N51" s="27"/>
      <c r="O51" s="27"/>
      <c r="P51" s="27"/>
      <c r="Q51" s="27"/>
      <c r="R51" s="27"/>
    </row>
    <row r="52" spans="1:27" s="26" customFormat="1">
      <c r="A52" s="231" t="s">
        <v>1848</v>
      </c>
      <c r="B52" s="231">
        <v>1609931</v>
      </c>
      <c r="C52" s="231"/>
      <c r="D52" s="43">
        <v>7242</v>
      </c>
      <c r="E52" s="40">
        <v>8376</v>
      </c>
      <c r="F52" s="33" t="s">
        <v>1742</v>
      </c>
      <c r="G52" s="27">
        <v>361</v>
      </c>
      <c r="H52" s="27">
        <v>275.10000000000002</v>
      </c>
      <c r="I52" s="27">
        <v>322</v>
      </c>
      <c r="J52" s="27"/>
      <c r="K52" s="27"/>
      <c r="L52" s="27"/>
      <c r="M52" s="27"/>
      <c r="N52" s="27"/>
      <c r="O52" s="27"/>
      <c r="P52" s="27"/>
      <c r="Q52" s="27"/>
      <c r="R52" s="27"/>
    </row>
    <row r="53" spans="1:27" s="26" customFormat="1">
      <c r="A53" s="231" t="s">
        <v>1848</v>
      </c>
      <c r="B53" s="231">
        <v>1620020</v>
      </c>
      <c r="C53" s="231"/>
      <c r="D53" s="43">
        <v>7283</v>
      </c>
      <c r="E53" s="40">
        <v>8467</v>
      </c>
      <c r="F53" s="33" t="s">
        <v>1760</v>
      </c>
      <c r="G53" s="27">
        <v>361</v>
      </c>
      <c r="H53" s="27">
        <v>292</v>
      </c>
      <c r="I53" s="27">
        <v>275.10000000000002</v>
      </c>
      <c r="J53" s="27"/>
      <c r="K53" s="27"/>
      <c r="L53" s="27"/>
      <c r="M53" s="27"/>
      <c r="N53" s="27"/>
      <c r="O53" s="27"/>
      <c r="P53" s="27"/>
      <c r="Q53" s="27"/>
      <c r="R53" s="27"/>
      <c r="S53" s="26">
        <v>403</v>
      </c>
      <c r="T53" s="26">
        <v>362</v>
      </c>
    </row>
    <row r="54" spans="1:27" s="26" customFormat="1">
      <c r="A54" s="231" t="s">
        <v>1848</v>
      </c>
      <c r="B54" s="231">
        <v>1786134</v>
      </c>
      <c r="C54" s="231"/>
      <c r="D54" s="43">
        <v>7302</v>
      </c>
      <c r="E54" s="40">
        <v>9853</v>
      </c>
      <c r="F54" s="33" t="s">
        <v>1675</v>
      </c>
      <c r="G54" s="27">
        <v>361</v>
      </c>
      <c r="H54" s="27">
        <v>298.5</v>
      </c>
      <c r="I54" s="27"/>
      <c r="J54" s="27"/>
      <c r="K54" s="27"/>
      <c r="L54" s="27"/>
      <c r="M54" s="27"/>
      <c r="N54" s="27"/>
      <c r="O54" s="27"/>
      <c r="P54" s="27"/>
      <c r="Q54" s="27"/>
      <c r="R54" s="27"/>
    </row>
    <row r="55" spans="1:27" s="26" customFormat="1">
      <c r="A55" s="231" t="s">
        <v>1848</v>
      </c>
      <c r="B55" s="231">
        <v>1549882</v>
      </c>
      <c r="C55" s="231"/>
      <c r="D55" s="43">
        <v>7463</v>
      </c>
      <c r="E55" s="40">
        <v>7900</v>
      </c>
      <c r="F55" s="33" t="s">
        <v>1738</v>
      </c>
      <c r="G55" s="27">
        <v>361</v>
      </c>
      <c r="H55" s="27">
        <v>298.5</v>
      </c>
      <c r="I55" s="27"/>
      <c r="J55" s="27"/>
      <c r="K55" s="27"/>
      <c r="L55" s="27"/>
      <c r="M55" s="27"/>
      <c r="N55" s="27"/>
      <c r="O55" s="27"/>
      <c r="P55" s="27"/>
      <c r="Q55" s="27"/>
      <c r="R55" s="27"/>
      <c r="S55" s="26">
        <v>403</v>
      </c>
      <c r="T55" s="26">
        <v>104</v>
      </c>
      <c r="U55" s="26">
        <v>164</v>
      </c>
      <c r="V55" s="26">
        <v>197</v>
      </c>
    </row>
    <row r="56" spans="1:27" s="26" customFormat="1">
      <c r="A56" s="231" t="s">
        <v>1848</v>
      </c>
      <c r="B56" s="256">
        <v>1718538</v>
      </c>
      <c r="C56" s="231"/>
      <c r="D56" s="43">
        <v>7615</v>
      </c>
      <c r="E56" s="40">
        <v>10322</v>
      </c>
      <c r="F56" s="33" t="s">
        <v>1729</v>
      </c>
      <c r="G56" s="27">
        <v>361</v>
      </c>
      <c r="H56" s="27">
        <v>298.5</v>
      </c>
      <c r="I56" s="210" t="s">
        <v>1762</v>
      </c>
      <c r="J56" s="27"/>
      <c r="K56" s="27"/>
      <c r="L56" s="27"/>
      <c r="M56" s="27"/>
      <c r="N56" s="27"/>
      <c r="O56" s="27"/>
      <c r="P56" s="27"/>
      <c r="Q56" s="27"/>
      <c r="R56" s="27"/>
    </row>
    <row r="57" spans="1:27" s="26" customFormat="1">
      <c r="A57" s="231" t="s">
        <v>1848</v>
      </c>
      <c r="B57" s="231">
        <v>1700259</v>
      </c>
      <c r="C57" s="231"/>
      <c r="D57" s="43">
        <v>7706</v>
      </c>
      <c r="E57" s="40">
        <v>9160</v>
      </c>
      <c r="F57" s="33" t="s">
        <v>1760</v>
      </c>
      <c r="G57" s="27">
        <v>361</v>
      </c>
      <c r="H57" s="27">
        <v>299.5</v>
      </c>
      <c r="I57" s="27"/>
      <c r="J57" s="27"/>
      <c r="K57" s="27"/>
      <c r="L57" s="27"/>
      <c r="M57" s="27"/>
      <c r="N57" s="27"/>
      <c r="O57" s="27"/>
      <c r="P57" s="27"/>
      <c r="Q57" s="27"/>
      <c r="R57" s="27"/>
    </row>
    <row r="58" spans="1:27" s="26" customFormat="1">
      <c r="A58" s="231" t="s">
        <v>1848</v>
      </c>
      <c r="B58" s="231">
        <v>1534160</v>
      </c>
      <c r="C58" s="231"/>
      <c r="D58" s="43">
        <v>7718</v>
      </c>
      <c r="E58" s="40">
        <v>7781</v>
      </c>
      <c r="F58" s="33" t="s">
        <v>1742</v>
      </c>
      <c r="G58" s="27">
        <v>361</v>
      </c>
      <c r="H58" s="27">
        <v>298.3</v>
      </c>
      <c r="I58" s="27"/>
      <c r="J58" s="27"/>
      <c r="K58" s="27"/>
      <c r="L58" s="27"/>
      <c r="M58" s="27"/>
      <c r="N58" s="27"/>
      <c r="O58" s="27"/>
      <c r="P58" s="27"/>
      <c r="Q58" s="27"/>
      <c r="R58" s="27"/>
    </row>
    <row r="59" spans="1:27" s="26" customFormat="1">
      <c r="A59" s="231" t="s">
        <v>1848</v>
      </c>
      <c r="B59" s="231">
        <v>1655109</v>
      </c>
      <c r="C59" s="231"/>
      <c r="D59" s="43">
        <v>7724</v>
      </c>
      <c r="E59" s="40">
        <v>8768</v>
      </c>
      <c r="F59" s="33" t="s">
        <v>1709</v>
      </c>
      <c r="G59" s="27">
        <v>361</v>
      </c>
      <c r="H59" s="27">
        <v>298.5</v>
      </c>
      <c r="I59" s="27"/>
      <c r="J59" s="27"/>
      <c r="K59" s="27"/>
      <c r="L59" s="27"/>
      <c r="M59" s="27"/>
      <c r="N59" s="27"/>
      <c r="O59" s="27"/>
      <c r="P59" s="27"/>
      <c r="Q59" s="27"/>
      <c r="R59" s="27"/>
    </row>
    <row r="60" spans="1:27" s="26" customFormat="1">
      <c r="A60" s="231" t="s">
        <v>1848</v>
      </c>
      <c r="B60" s="231">
        <v>1618974</v>
      </c>
      <c r="C60" s="231"/>
      <c r="D60" s="43">
        <v>7776</v>
      </c>
      <c r="E60" s="35">
        <v>8460</v>
      </c>
      <c r="F60" s="33" t="s">
        <v>1761</v>
      </c>
      <c r="G60" s="27">
        <v>361</v>
      </c>
      <c r="H60" s="27">
        <v>298.3</v>
      </c>
      <c r="I60" s="27"/>
      <c r="J60" s="27"/>
      <c r="K60" s="27"/>
      <c r="L60" s="27"/>
      <c r="M60" s="27"/>
      <c r="N60" s="27"/>
      <c r="O60" s="27"/>
      <c r="P60" s="27"/>
      <c r="Q60" s="27"/>
      <c r="R60" s="27"/>
      <c r="S60" s="26">
        <v>403</v>
      </c>
      <c r="T60" s="26">
        <v>200</v>
      </c>
    </row>
    <row r="61" spans="1:27" s="26" customFormat="1">
      <c r="A61" s="231" t="s">
        <v>1848</v>
      </c>
      <c r="B61" s="231">
        <v>1706735</v>
      </c>
      <c r="C61" s="231"/>
      <c r="D61" s="43">
        <v>7923</v>
      </c>
      <c r="E61" s="35">
        <v>9216</v>
      </c>
      <c r="F61" s="33" t="s">
        <v>1710</v>
      </c>
      <c r="G61" s="27">
        <v>361</v>
      </c>
      <c r="H61" s="27">
        <v>299.5</v>
      </c>
      <c r="I61" s="27"/>
      <c r="J61" s="27"/>
      <c r="K61" s="27"/>
      <c r="L61" s="27"/>
      <c r="M61" s="27"/>
      <c r="N61" s="27"/>
      <c r="O61" s="27"/>
      <c r="P61" s="27"/>
      <c r="Q61" s="27"/>
      <c r="R61" s="27"/>
    </row>
    <row r="62" spans="1:27" s="26" customFormat="1">
      <c r="A62" s="231" t="s">
        <v>1848</v>
      </c>
      <c r="B62" s="231">
        <v>1609118</v>
      </c>
      <c r="C62" s="231"/>
      <c r="D62" s="43">
        <v>8014</v>
      </c>
      <c r="E62" s="35">
        <v>8369</v>
      </c>
      <c r="F62" s="33" t="s">
        <v>1760</v>
      </c>
      <c r="G62" s="27">
        <v>403</v>
      </c>
      <c r="H62" s="27">
        <v>168</v>
      </c>
      <c r="I62" s="27"/>
      <c r="J62" s="27"/>
      <c r="K62" s="27"/>
      <c r="L62" s="27"/>
      <c r="M62" s="27"/>
      <c r="N62" s="27"/>
      <c r="O62" s="27"/>
      <c r="P62" s="27"/>
      <c r="Q62" s="27"/>
      <c r="R62" s="27"/>
      <c r="S62" s="26">
        <v>29</v>
      </c>
      <c r="T62" s="26">
        <v>25.41</v>
      </c>
      <c r="U62" s="26">
        <v>457</v>
      </c>
      <c r="V62" s="26">
        <v>509</v>
      </c>
      <c r="Z62" s="26">
        <v>361</v>
      </c>
      <c r="AA62" s="26">
        <v>298.10000000000002</v>
      </c>
    </row>
    <row r="63" spans="1:27" s="26" customFormat="1">
      <c r="A63" s="231" t="s">
        <v>1848</v>
      </c>
      <c r="B63" s="231">
        <v>1657259</v>
      </c>
      <c r="C63" s="231"/>
      <c r="D63" s="43">
        <v>8014</v>
      </c>
      <c r="E63" s="40">
        <v>8789</v>
      </c>
      <c r="F63" s="33" t="s">
        <v>1760</v>
      </c>
      <c r="G63" s="27">
        <v>361</v>
      </c>
      <c r="H63" s="27">
        <v>299.5</v>
      </c>
      <c r="I63" s="27"/>
      <c r="J63" s="27"/>
      <c r="K63" s="27"/>
      <c r="L63" s="27"/>
      <c r="M63" s="27"/>
      <c r="N63" s="27"/>
      <c r="O63" s="27"/>
      <c r="P63" s="27"/>
      <c r="Q63" s="27"/>
      <c r="R63" s="27"/>
    </row>
    <row r="64" spans="1:27" s="26" customFormat="1">
      <c r="A64" s="231" t="s">
        <v>1848</v>
      </c>
      <c r="B64" s="231">
        <v>1818069</v>
      </c>
      <c r="C64" s="231"/>
      <c r="D64" s="43">
        <v>8172</v>
      </c>
      <c r="E64" s="40">
        <v>10084</v>
      </c>
      <c r="F64" s="33" t="s">
        <v>1741</v>
      </c>
      <c r="G64" s="27">
        <v>361</v>
      </c>
      <c r="H64" s="27">
        <v>298.5</v>
      </c>
      <c r="I64" s="27"/>
      <c r="J64" s="27"/>
      <c r="K64" s="27"/>
      <c r="L64" s="27"/>
      <c r="M64" s="27"/>
      <c r="N64" s="27"/>
      <c r="O64" s="27"/>
      <c r="P64" s="27"/>
      <c r="Q64" s="27"/>
      <c r="R64" s="27"/>
      <c r="S64" s="26">
        <v>74</v>
      </c>
      <c r="T64" s="26">
        <v>10.6</v>
      </c>
      <c r="U64" s="26" t="s">
        <v>1662</v>
      </c>
    </row>
    <row r="65" spans="1:27" s="26" customFormat="1">
      <c r="A65" s="231" t="s">
        <v>1848</v>
      </c>
      <c r="B65" s="231">
        <v>1757357</v>
      </c>
      <c r="C65" s="231"/>
      <c r="D65" s="43">
        <v>8375</v>
      </c>
      <c r="E65" s="40">
        <v>9622</v>
      </c>
      <c r="F65" s="33" t="s">
        <v>1736</v>
      </c>
      <c r="G65" s="27">
        <v>361</v>
      </c>
      <c r="H65" s="27">
        <v>298.2</v>
      </c>
      <c r="I65" s="27"/>
      <c r="J65" s="27"/>
      <c r="K65" s="27"/>
      <c r="L65" s="27"/>
      <c r="M65" s="27"/>
      <c r="N65" s="27"/>
      <c r="O65" s="27"/>
      <c r="P65" s="27"/>
      <c r="Q65" s="27"/>
      <c r="R65" s="27"/>
    </row>
    <row r="66" spans="1:27" s="26" customFormat="1">
      <c r="A66" s="231" t="s">
        <v>1848</v>
      </c>
      <c r="B66" s="231">
        <v>1860670</v>
      </c>
      <c r="C66" s="231"/>
      <c r="D66" s="43">
        <v>8431</v>
      </c>
      <c r="E66" s="40">
        <v>10378</v>
      </c>
      <c r="F66" s="33" t="s">
        <v>1660</v>
      </c>
      <c r="G66" s="27">
        <v>361</v>
      </c>
      <c r="H66" s="27">
        <v>299.10000000000002</v>
      </c>
      <c r="I66" s="27"/>
      <c r="J66" s="27"/>
      <c r="K66" s="27"/>
      <c r="L66" s="27"/>
      <c r="M66" s="27"/>
      <c r="N66" s="27"/>
      <c r="O66" s="27"/>
      <c r="P66" s="27"/>
      <c r="Q66" s="27"/>
      <c r="R66" s="27"/>
    </row>
    <row r="67" spans="1:27" s="26" customFormat="1">
      <c r="A67" s="231" t="s">
        <v>1848</v>
      </c>
      <c r="B67" s="231">
        <v>1934842</v>
      </c>
      <c r="C67" s="231"/>
      <c r="D67" s="43">
        <v>8762</v>
      </c>
      <c r="E67" s="40">
        <v>10910</v>
      </c>
      <c r="F67" s="33" t="s">
        <v>1739</v>
      </c>
      <c r="G67" s="27">
        <v>361</v>
      </c>
      <c r="H67" s="27">
        <v>299.39999999999998</v>
      </c>
      <c r="I67" s="27"/>
      <c r="J67" s="27"/>
      <c r="K67" s="27"/>
      <c r="L67" s="27"/>
      <c r="M67" s="27"/>
      <c r="N67" s="27"/>
      <c r="O67" s="27"/>
      <c r="P67" s="27"/>
      <c r="Q67" s="27"/>
      <c r="R67" s="27"/>
    </row>
    <row r="68" spans="1:27" s="26" customFormat="1">
      <c r="A68" s="231" t="s">
        <v>1848</v>
      </c>
      <c r="B68" s="231">
        <v>1827939</v>
      </c>
      <c r="C68" s="231"/>
      <c r="D68" s="43">
        <v>9139</v>
      </c>
      <c r="E68" s="40">
        <v>10154</v>
      </c>
      <c r="F68" s="33" t="s">
        <v>1749</v>
      </c>
      <c r="G68" s="27">
        <v>361</v>
      </c>
      <c r="H68" s="27">
        <v>299.10000000000002</v>
      </c>
      <c r="I68" s="27"/>
      <c r="J68" s="27"/>
      <c r="K68" s="27"/>
      <c r="L68" s="27"/>
      <c r="M68" s="27"/>
      <c r="N68" s="27"/>
      <c r="O68" s="27"/>
      <c r="P68" s="27"/>
      <c r="Q68" s="27"/>
      <c r="R68" s="27"/>
    </row>
    <row r="69" spans="1:27" s="26" customFormat="1">
      <c r="A69" s="231" t="s">
        <v>1848</v>
      </c>
      <c r="B69" s="231">
        <v>1742468</v>
      </c>
      <c r="C69" s="231"/>
      <c r="D69" s="43">
        <v>9146</v>
      </c>
      <c r="E69" s="40">
        <v>9503</v>
      </c>
      <c r="F69" s="33" t="s">
        <v>1749</v>
      </c>
      <c r="G69" s="27">
        <v>361</v>
      </c>
      <c r="H69" s="27">
        <v>299.39999999999998</v>
      </c>
      <c r="I69" s="27"/>
      <c r="J69" s="27"/>
      <c r="K69" s="27"/>
      <c r="L69" s="27"/>
      <c r="M69" s="27"/>
      <c r="N69" s="27"/>
      <c r="O69" s="27"/>
      <c r="P69" s="27"/>
      <c r="Q69" s="27"/>
      <c r="R69" s="27"/>
    </row>
    <row r="70" spans="1:27" s="26" customFormat="1">
      <c r="A70" s="231" t="s">
        <v>1848</v>
      </c>
      <c r="B70" s="231">
        <v>1800719</v>
      </c>
      <c r="C70" s="231"/>
      <c r="D70" s="43">
        <v>9146</v>
      </c>
      <c r="E70" s="40">
        <v>9965</v>
      </c>
      <c r="F70" s="33" t="s">
        <v>1702</v>
      </c>
      <c r="G70" s="27">
        <v>361</v>
      </c>
      <c r="H70" s="27">
        <v>299.39999999999998</v>
      </c>
      <c r="I70" s="27"/>
      <c r="J70" s="27"/>
      <c r="K70" s="27"/>
      <c r="L70" s="27"/>
      <c r="M70" s="27"/>
      <c r="N70" s="27"/>
      <c r="O70" s="27"/>
      <c r="P70" s="27"/>
      <c r="Q70" s="27"/>
      <c r="R70" s="27"/>
      <c r="S70" s="26">
        <v>74</v>
      </c>
      <c r="T70" s="26" t="s">
        <v>1708</v>
      </c>
    </row>
    <row r="71" spans="1:27" s="26" customFormat="1">
      <c r="A71" s="231" t="s">
        <v>1848</v>
      </c>
      <c r="B71" s="231">
        <v>1932328</v>
      </c>
      <c r="C71" s="231"/>
      <c r="D71" s="43">
        <v>9176</v>
      </c>
      <c r="E71" s="40">
        <v>10889</v>
      </c>
      <c r="F71" s="33" t="s">
        <v>1635</v>
      </c>
      <c r="G71" s="27">
        <v>361</v>
      </c>
      <c r="H71" s="27">
        <v>299.3</v>
      </c>
      <c r="I71" s="27"/>
      <c r="J71" s="27"/>
      <c r="K71" s="27"/>
      <c r="L71" s="27"/>
      <c r="M71" s="27"/>
      <c r="N71" s="27"/>
      <c r="O71" s="27"/>
      <c r="P71" s="27"/>
      <c r="Q71" s="27"/>
      <c r="R71" s="27"/>
    </row>
    <row r="72" spans="1:27" s="26" customFormat="1">
      <c r="A72" s="231" t="s">
        <v>1848</v>
      </c>
      <c r="B72" s="231">
        <v>1828027</v>
      </c>
      <c r="C72" s="231"/>
      <c r="D72" s="43">
        <v>9189</v>
      </c>
      <c r="E72" s="40">
        <v>10154</v>
      </c>
      <c r="F72" s="33" t="s">
        <v>1782</v>
      </c>
      <c r="G72" s="27">
        <v>361</v>
      </c>
      <c r="H72" s="27">
        <v>299.10000000000002</v>
      </c>
      <c r="I72" s="27"/>
      <c r="J72" s="27"/>
      <c r="K72" s="27"/>
      <c r="L72" s="27"/>
      <c r="M72" s="27"/>
      <c r="N72" s="27"/>
      <c r="O72" s="27"/>
      <c r="P72" s="27"/>
      <c r="Q72" s="27"/>
      <c r="R72" s="27"/>
      <c r="S72" s="26">
        <v>29</v>
      </c>
      <c r="T72" s="26">
        <v>25.41</v>
      </c>
    </row>
    <row r="73" spans="1:27" s="26" customFormat="1">
      <c r="A73" s="231" t="s">
        <v>1848</v>
      </c>
      <c r="B73" s="231">
        <v>1841582</v>
      </c>
      <c r="C73" s="231"/>
      <c r="D73" s="43">
        <v>9189</v>
      </c>
      <c r="E73" s="40">
        <v>10245</v>
      </c>
      <c r="F73" s="33" t="s">
        <v>1623</v>
      </c>
      <c r="G73" s="27">
        <v>361</v>
      </c>
      <c r="H73" s="27">
        <v>298.5</v>
      </c>
      <c r="I73" s="27"/>
      <c r="J73" s="27"/>
      <c r="K73" s="27"/>
      <c r="L73" s="27"/>
      <c r="M73" s="27"/>
      <c r="N73" s="27"/>
      <c r="O73" s="27"/>
      <c r="P73" s="27"/>
      <c r="Q73" s="27"/>
      <c r="R73" s="27"/>
    </row>
    <row r="74" spans="1:27" s="26" customFormat="1" ht="12">
      <c r="A74" s="231" t="s">
        <v>1848</v>
      </c>
      <c r="B74" s="231">
        <v>1853664</v>
      </c>
      <c r="C74" s="231"/>
      <c r="D74" s="144">
        <v>9233</v>
      </c>
      <c r="E74" s="35">
        <v>10329</v>
      </c>
      <c r="F74" s="33" t="s">
        <v>1795</v>
      </c>
      <c r="G74" s="27">
        <v>361</v>
      </c>
      <c r="H74" s="27">
        <v>299.10000000000002</v>
      </c>
      <c r="I74" s="27"/>
      <c r="J74" s="27"/>
      <c r="K74" s="27"/>
      <c r="L74" s="27"/>
      <c r="M74" s="27"/>
      <c r="N74" s="27"/>
      <c r="O74" s="27"/>
      <c r="P74" s="27"/>
      <c r="Q74" s="27"/>
      <c r="R74" s="27"/>
      <c r="S74" s="26">
        <v>403</v>
      </c>
      <c r="T74" s="26">
        <v>167</v>
      </c>
      <c r="U74" s="26">
        <v>356</v>
      </c>
      <c r="V74" s="26">
        <v>365</v>
      </c>
    </row>
    <row r="75" spans="1:27" s="26" customFormat="1">
      <c r="A75" s="231" t="s">
        <v>1848</v>
      </c>
      <c r="B75" s="231">
        <v>1769130</v>
      </c>
      <c r="C75" s="231"/>
      <c r="D75" s="43">
        <v>9261</v>
      </c>
      <c r="E75" s="40">
        <v>9678</v>
      </c>
      <c r="F75" s="33" t="s">
        <v>1623</v>
      </c>
      <c r="G75" s="27">
        <v>361</v>
      </c>
      <c r="H75" s="27">
        <v>299.10000000000002</v>
      </c>
      <c r="I75" s="27"/>
      <c r="J75" s="27"/>
      <c r="K75" s="27"/>
      <c r="L75" s="27"/>
      <c r="M75" s="27"/>
      <c r="N75" s="27"/>
      <c r="O75" s="27"/>
      <c r="P75" s="27"/>
      <c r="Q75" s="27"/>
      <c r="R75" s="27"/>
    </row>
    <row r="76" spans="1:27" s="26" customFormat="1">
      <c r="A76" s="231" t="s">
        <v>1848</v>
      </c>
      <c r="B76" s="231">
        <v>1780172</v>
      </c>
      <c r="C76" s="231"/>
      <c r="D76" s="43">
        <v>9261</v>
      </c>
      <c r="E76" s="40">
        <v>9804</v>
      </c>
      <c r="F76" s="33" t="s">
        <v>1702</v>
      </c>
      <c r="G76" s="27">
        <v>361</v>
      </c>
      <c r="H76" s="27">
        <v>299.10000000000002</v>
      </c>
      <c r="I76" s="27"/>
      <c r="J76" s="27"/>
      <c r="K76" s="27"/>
      <c r="L76" s="27"/>
      <c r="M76" s="27"/>
      <c r="N76" s="27"/>
      <c r="O76" s="27"/>
      <c r="P76" s="27"/>
      <c r="Q76" s="27"/>
      <c r="R76" s="27"/>
      <c r="S76" s="26">
        <v>188</v>
      </c>
      <c r="T76" s="26">
        <v>83</v>
      </c>
    </row>
    <row r="77" spans="1:27" s="26" customFormat="1">
      <c r="A77" s="231" t="s">
        <v>1848</v>
      </c>
      <c r="B77" s="231">
        <v>1878631</v>
      </c>
      <c r="C77" s="231"/>
      <c r="D77" s="43">
        <v>9271</v>
      </c>
      <c r="E77" s="40">
        <v>10490</v>
      </c>
      <c r="F77" s="33" t="s">
        <v>1623</v>
      </c>
      <c r="G77" s="27">
        <v>361</v>
      </c>
      <c r="H77" s="27">
        <v>299.39999999999998</v>
      </c>
      <c r="I77" s="27"/>
      <c r="J77" s="27"/>
      <c r="K77" s="27"/>
      <c r="L77" s="27"/>
      <c r="M77" s="27"/>
      <c r="N77" s="27"/>
      <c r="O77" s="27"/>
      <c r="P77" s="27"/>
      <c r="Q77" s="27"/>
      <c r="R77" s="27"/>
    </row>
    <row r="78" spans="1:27" s="26" customFormat="1">
      <c r="A78" s="231" t="s">
        <v>1848</v>
      </c>
      <c r="B78" s="231">
        <v>1855940</v>
      </c>
      <c r="C78" s="231"/>
      <c r="D78" s="43">
        <v>9478</v>
      </c>
      <c r="E78" s="40">
        <v>10343</v>
      </c>
      <c r="F78" s="33" t="s">
        <v>1730</v>
      </c>
      <c r="G78" s="27">
        <v>403</v>
      </c>
      <c r="H78" s="27">
        <v>242</v>
      </c>
      <c r="I78" s="27"/>
      <c r="J78" s="27"/>
      <c r="K78" s="27"/>
      <c r="L78" s="27"/>
      <c r="M78" s="27"/>
      <c r="N78" s="27"/>
      <c r="O78" s="27"/>
      <c r="P78" s="27"/>
      <c r="Q78" s="27"/>
      <c r="R78" s="27"/>
      <c r="S78" s="26">
        <v>29</v>
      </c>
      <c r="T78" s="26">
        <v>25.41</v>
      </c>
      <c r="Z78" s="26">
        <v>361</v>
      </c>
      <c r="AA78" s="26">
        <v>298.10000000000002</v>
      </c>
    </row>
    <row r="79" spans="1:27" s="26" customFormat="1" ht="12">
      <c r="A79" s="231" t="s">
        <v>1848</v>
      </c>
      <c r="B79" s="231">
        <v>1848872</v>
      </c>
      <c r="C79" s="231"/>
      <c r="D79" s="206">
        <v>9609</v>
      </c>
      <c r="E79" s="157">
        <v>10294</v>
      </c>
      <c r="F79" s="33" t="s">
        <v>1740</v>
      </c>
      <c r="G79" s="27">
        <v>361</v>
      </c>
      <c r="H79" s="27">
        <v>299.3</v>
      </c>
      <c r="I79" s="27"/>
      <c r="J79" s="27"/>
      <c r="K79" s="27"/>
      <c r="L79" s="27"/>
      <c r="M79" s="27"/>
      <c r="N79" s="27"/>
      <c r="O79" s="27"/>
      <c r="P79" s="27"/>
      <c r="Q79" s="27"/>
      <c r="R79" s="27"/>
    </row>
    <row r="80" spans="1:27" s="26" customFormat="1">
      <c r="A80" s="231" t="s">
        <v>1848</v>
      </c>
      <c r="B80" s="231">
        <v>1951661</v>
      </c>
      <c r="C80" s="231"/>
      <c r="D80" s="43">
        <v>9696</v>
      </c>
      <c r="E80" s="35">
        <v>11036</v>
      </c>
      <c r="F80" s="33" t="s">
        <v>1707</v>
      </c>
      <c r="G80" s="27">
        <v>361</v>
      </c>
      <c r="H80" s="27">
        <v>298.3</v>
      </c>
      <c r="I80" s="27"/>
      <c r="J80" s="27"/>
      <c r="K80" s="27"/>
      <c r="L80" s="27"/>
      <c r="M80" s="27"/>
      <c r="N80" s="27"/>
      <c r="O80" s="27"/>
      <c r="P80" s="27"/>
      <c r="Q80" s="27"/>
      <c r="R80" s="27"/>
    </row>
    <row r="81" spans="1:27" s="26" customFormat="1">
      <c r="A81" s="231" t="s">
        <v>1848</v>
      </c>
      <c r="B81" s="231">
        <v>1853213</v>
      </c>
      <c r="C81" s="231"/>
      <c r="D81" s="43">
        <v>9700</v>
      </c>
      <c r="E81" s="40">
        <v>10329</v>
      </c>
      <c r="F81" s="33" t="s">
        <v>1783</v>
      </c>
      <c r="G81" s="27">
        <v>361</v>
      </c>
      <c r="H81" s="27">
        <v>299.2</v>
      </c>
      <c r="I81" s="27"/>
      <c r="J81" s="27"/>
      <c r="K81" s="27"/>
      <c r="L81" s="27"/>
      <c r="M81" s="27"/>
      <c r="N81" s="27"/>
      <c r="O81" s="27"/>
      <c r="P81" s="27"/>
      <c r="Q81" s="27"/>
      <c r="R81" s="27"/>
    </row>
    <row r="82" spans="1:27" s="26" customFormat="1">
      <c r="A82" s="231" t="s">
        <v>1848</v>
      </c>
      <c r="B82" s="231">
        <v>1911360</v>
      </c>
      <c r="C82" s="231"/>
      <c r="D82" s="43">
        <v>9779</v>
      </c>
      <c r="E82" s="41">
        <v>10742</v>
      </c>
      <c r="F82" s="33" t="s">
        <v>1623</v>
      </c>
      <c r="G82" s="27">
        <v>361</v>
      </c>
      <c r="H82" s="27">
        <v>298.2</v>
      </c>
      <c r="I82" s="27"/>
      <c r="J82" s="27"/>
      <c r="K82" s="27"/>
      <c r="L82" s="27"/>
      <c r="M82" s="27"/>
      <c r="N82" s="27"/>
      <c r="O82" s="27"/>
      <c r="P82" s="27"/>
      <c r="Q82" s="27"/>
      <c r="R82" s="27"/>
    </row>
    <row r="83" spans="1:27" s="26" customFormat="1">
      <c r="A83" s="231" t="s">
        <v>1848</v>
      </c>
      <c r="B83" s="231">
        <v>1895540</v>
      </c>
      <c r="C83" s="231"/>
      <c r="D83" s="43">
        <v>9901</v>
      </c>
      <c r="E83" s="35">
        <v>10623</v>
      </c>
      <c r="F83" s="33" t="s">
        <v>1730</v>
      </c>
      <c r="G83" s="27">
        <v>384</v>
      </c>
      <c r="H83" s="27">
        <v>542</v>
      </c>
      <c r="I83" s="27"/>
      <c r="J83" s="27"/>
      <c r="K83" s="27"/>
      <c r="L83" s="27"/>
      <c r="M83" s="27"/>
      <c r="N83" s="27"/>
      <c r="O83" s="27"/>
      <c r="P83" s="27"/>
      <c r="Q83" s="27"/>
      <c r="R83" s="27"/>
    </row>
    <row r="84" spans="1:27" s="26" customFormat="1">
      <c r="A84" s="231" t="s">
        <v>1848</v>
      </c>
      <c r="B84" s="231">
        <v>1959814</v>
      </c>
      <c r="C84" s="231"/>
      <c r="D84" s="43">
        <v>9901</v>
      </c>
      <c r="E84" s="40">
        <v>11099</v>
      </c>
      <c r="F84" s="33" t="s">
        <v>1730</v>
      </c>
      <c r="G84" s="27">
        <v>361</v>
      </c>
      <c r="H84" s="27">
        <v>299.39999999999998</v>
      </c>
      <c r="I84" s="27"/>
      <c r="J84" s="27"/>
      <c r="K84" s="27"/>
      <c r="L84" s="27"/>
      <c r="M84" s="27"/>
      <c r="N84" s="27"/>
      <c r="O84" s="27"/>
      <c r="P84" s="27"/>
      <c r="Q84" s="27"/>
      <c r="R84" s="27"/>
    </row>
    <row r="85" spans="1:27" s="26" customFormat="1">
      <c r="A85" s="231" t="s">
        <v>1848</v>
      </c>
      <c r="B85" s="231">
        <v>1883579</v>
      </c>
      <c r="C85" s="231"/>
      <c r="D85" s="43">
        <v>10086</v>
      </c>
      <c r="E85" s="40">
        <v>10518</v>
      </c>
      <c r="F85" s="33" t="s">
        <v>1730</v>
      </c>
      <c r="G85" s="27">
        <v>361</v>
      </c>
      <c r="H85" s="27">
        <v>299.5</v>
      </c>
      <c r="I85" s="27"/>
      <c r="J85" s="27"/>
      <c r="K85" s="27"/>
      <c r="L85" s="27"/>
      <c r="M85" s="27"/>
      <c r="N85" s="27"/>
      <c r="O85" s="27"/>
      <c r="P85" s="27"/>
      <c r="Q85" s="27"/>
      <c r="R85" s="27"/>
    </row>
    <row r="86" spans="1:27" s="26" customFormat="1">
      <c r="A86" s="231" t="s">
        <v>1848</v>
      </c>
      <c r="B86" s="231">
        <v>1911989</v>
      </c>
      <c r="C86" s="231"/>
      <c r="D86" s="43">
        <v>10086</v>
      </c>
      <c r="E86" s="40">
        <v>10742</v>
      </c>
      <c r="F86" s="33" t="s">
        <v>1730</v>
      </c>
      <c r="G86" s="27">
        <v>361</v>
      </c>
      <c r="H86" s="27">
        <v>299.3</v>
      </c>
      <c r="I86" s="27"/>
      <c r="J86" s="27"/>
      <c r="K86" s="27"/>
      <c r="L86" s="27"/>
      <c r="M86" s="27"/>
      <c r="N86" s="27"/>
      <c r="O86" s="27"/>
      <c r="P86" s="27"/>
      <c r="Q86" s="27"/>
      <c r="R86" s="27"/>
    </row>
    <row r="87" spans="1:27" s="26" customFormat="1">
      <c r="A87" s="231" t="s">
        <v>1848</v>
      </c>
      <c r="B87" s="231">
        <v>1930724</v>
      </c>
      <c r="C87" s="231"/>
      <c r="D87" s="43">
        <v>10183</v>
      </c>
      <c r="E87" s="40">
        <v>10882</v>
      </c>
      <c r="F87" s="33" t="s">
        <v>1733</v>
      </c>
      <c r="G87" s="27">
        <v>361</v>
      </c>
      <c r="H87" s="27">
        <v>299.10000000000002</v>
      </c>
      <c r="I87" s="27"/>
      <c r="J87" s="27"/>
      <c r="K87" s="27"/>
      <c r="L87" s="27"/>
      <c r="M87" s="27"/>
      <c r="N87" s="27"/>
      <c r="O87" s="27"/>
      <c r="P87" s="27"/>
      <c r="Q87" s="27"/>
      <c r="R87" s="27"/>
    </row>
    <row r="88" spans="1:27" s="26" customFormat="1">
      <c r="A88" s="231" t="s">
        <v>1848</v>
      </c>
      <c r="B88" s="231">
        <v>1951925</v>
      </c>
      <c r="C88" s="231"/>
      <c r="D88" s="43">
        <v>10302</v>
      </c>
      <c r="E88" s="40">
        <v>11036</v>
      </c>
      <c r="F88" s="33" t="s">
        <v>1730</v>
      </c>
      <c r="G88" s="27">
        <v>361</v>
      </c>
      <c r="H88" s="27">
        <v>298.3</v>
      </c>
      <c r="I88" s="27"/>
      <c r="J88" s="27"/>
      <c r="K88" s="27"/>
      <c r="L88" s="27"/>
      <c r="M88" s="27"/>
      <c r="N88" s="27"/>
      <c r="O88" s="27"/>
      <c r="P88" s="27"/>
      <c r="Q88" s="27"/>
      <c r="R88" s="27"/>
    </row>
    <row r="89" spans="1:27" s="26" customFormat="1">
      <c r="A89" s="231" t="s">
        <v>1848</v>
      </c>
      <c r="B89" s="231">
        <v>1966918</v>
      </c>
      <c r="C89" s="231"/>
      <c r="D89" s="43">
        <v>10302</v>
      </c>
      <c r="E89" s="40">
        <v>11155</v>
      </c>
      <c r="F89" s="33" t="s">
        <v>1730</v>
      </c>
      <c r="G89" s="27">
        <v>361</v>
      </c>
      <c r="H89" s="27">
        <v>298.3</v>
      </c>
      <c r="I89" s="27"/>
      <c r="J89" s="27"/>
      <c r="K89" s="27"/>
      <c r="L89" s="27"/>
      <c r="M89" s="27"/>
      <c r="N89" s="27"/>
      <c r="O89" s="27"/>
      <c r="P89" s="27"/>
      <c r="Q89" s="27"/>
      <c r="R89" s="27"/>
    </row>
    <row r="90" spans="1:27" s="26" customFormat="1">
      <c r="A90" s="231" t="s">
        <v>1848</v>
      </c>
      <c r="B90" s="231">
        <v>1966919</v>
      </c>
      <c r="C90" s="231"/>
      <c r="D90" s="43">
        <v>10302</v>
      </c>
      <c r="E90" s="40">
        <v>11155</v>
      </c>
      <c r="F90" s="33" t="s">
        <v>1730</v>
      </c>
      <c r="G90" s="27">
        <v>361</v>
      </c>
      <c r="H90" s="27">
        <v>298.3</v>
      </c>
      <c r="I90" s="27"/>
      <c r="J90" s="27"/>
      <c r="K90" s="27"/>
      <c r="L90" s="27"/>
      <c r="M90" s="27"/>
      <c r="N90" s="27"/>
      <c r="O90" s="27"/>
      <c r="P90" s="27"/>
      <c r="Q90" s="27"/>
      <c r="R90" s="27"/>
    </row>
    <row r="91" spans="1:27" s="26" customFormat="1">
      <c r="A91" s="231" t="s">
        <v>1848</v>
      </c>
      <c r="B91" s="231">
        <v>1928310</v>
      </c>
      <c r="C91" s="231"/>
      <c r="D91" s="43">
        <v>10395</v>
      </c>
      <c r="E91" s="40">
        <v>10861</v>
      </c>
      <c r="F91" s="33" t="s">
        <v>1661</v>
      </c>
      <c r="G91" s="27">
        <v>74</v>
      </c>
      <c r="H91" s="27">
        <v>10.8</v>
      </c>
      <c r="I91" s="27"/>
      <c r="J91" s="27"/>
      <c r="K91" s="27"/>
      <c r="L91" s="27"/>
      <c r="M91" s="27"/>
      <c r="N91" s="27"/>
      <c r="O91" s="27"/>
      <c r="P91" s="27"/>
      <c r="Q91" s="27"/>
      <c r="R91" s="27"/>
      <c r="S91" s="26">
        <v>116</v>
      </c>
      <c r="T91" s="26">
        <v>254</v>
      </c>
    </row>
    <row r="92" spans="1:27" s="26" customFormat="1">
      <c r="A92" s="231" t="s">
        <v>1848</v>
      </c>
      <c r="B92" s="231">
        <v>1939876</v>
      </c>
      <c r="C92" s="231"/>
      <c r="D92" s="43">
        <v>10567</v>
      </c>
      <c r="E92" s="40">
        <v>10945</v>
      </c>
      <c r="F92" s="33" t="s">
        <v>1730</v>
      </c>
      <c r="G92" s="27">
        <v>403</v>
      </c>
      <c r="H92" s="27">
        <v>19</v>
      </c>
      <c r="I92" s="27"/>
      <c r="J92" s="27"/>
      <c r="K92" s="27"/>
      <c r="L92" s="27"/>
      <c r="M92" s="27"/>
      <c r="N92" s="27"/>
      <c r="O92" s="27"/>
      <c r="P92" s="27"/>
      <c r="Q92" s="27"/>
      <c r="R92" s="27"/>
      <c r="S92" s="26">
        <v>29</v>
      </c>
      <c r="T92" s="26">
        <v>25.41</v>
      </c>
      <c r="Z92" s="26">
        <v>361</v>
      </c>
      <c r="AA92" s="26">
        <v>299.3</v>
      </c>
    </row>
    <row r="93" spans="1:27" s="26" customFormat="1">
      <c r="A93" s="231" t="s">
        <v>1848</v>
      </c>
      <c r="B93" s="231">
        <v>1947069</v>
      </c>
      <c r="C93" s="231"/>
      <c r="D93" s="43">
        <v>10660</v>
      </c>
      <c r="E93" s="40">
        <v>11001</v>
      </c>
      <c r="F93" s="33" t="s">
        <v>1636</v>
      </c>
      <c r="G93" s="27">
        <v>361</v>
      </c>
      <c r="H93" s="27">
        <v>299.10000000000002</v>
      </c>
      <c r="I93" s="27"/>
      <c r="J93" s="27"/>
      <c r="K93" s="27"/>
      <c r="L93" s="27"/>
      <c r="M93" s="27"/>
      <c r="N93" s="27"/>
      <c r="O93" s="27"/>
      <c r="P93" s="27"/>
      <c r="Q93" s="27"/>
      <c r="R93" s="27"/>
      <c r="S93" s="26">
        <v>74</v>
      </c>
      <c r="T93" s="26">
        <v>10.8</v>
      </c>
      <c r="U93" s="26">
        <v>440</v>
      </c>
      <c r="V93" s="26">
        <v>526</v>
      </c>
    </row>
    <row r="94" spans="1:27" s="26" customFormat="1">
      <c r="A94" s="143"/>
      <c r="B94" s="143"/>
      <c r="C94" s="143"/>
      <c r="D94" s="43"/>
      <c r="E94" s="40"/>
      <c r="F94" s="33"/>
      <c r="G94" s="27"/>
      <c r="H94" s="27"/>
      <c r="I94" s="27"/>
      <c r="J94" s="27"/>
      <c r="K94" s="27"/>
      <c r="L94" s="27"/>
      <c r="M94" s="27"/>
      <c r="N94" s="27"/>
      <c r="O94" s="27"/>
      <c r="P94" s="27"/>
      <c r="Q94" s="27"/>
      <c r="R94" s="27"/>
    </row>
    <row r="95" spans="1:27" s="26" customFormat="1">
      <c r="A95" s="145" t="s">
        <v>4104</v>
      </c>
      <c r="B95" s="143"/>
      <c r="C95" s="143"/>
      <c r="D95" s="43"/>
      <c r="E95" s="40"/>
      <c r="F95" s="33"/>
      <c r="G95" s="27"/>
      <c r="H95" s="27"/>
      <c r="I95" s="27"/>
      <c r="J95" s="27"/>
      <c r="K95" s="27"/>
      <c r="L95" s="27"/>
      <c r="M95" s="27"/>
      <c r="N95" s="27"/>
      <c r="O95" s="27"/>
      <c r="P95" s="27"/>
      <c r="Q95" s="27"/>
      <c r="R95" s="27"/>
    </row>
    <row r="96" spans="1:27" s="26" customFormat="1">
      <c r="A96" s="231" t="s">
        <v>1567</v>
      </c>
      <c r="B96" s="231">
        <v>2001600</v>
      </c>
      <c r="C96" s="231"/>
      <c r="D96" s="43">
        <v>9456</v>
      </c>
      <c r="E96" s="40">
        <v>11456</v>
      </c>
      <c r="F96" s="33" t="s">
        <v>1658</v>
      </c>
      <c r="G96" s="27"/>
      <c r="H96" s="27"/>
      <c r="I96" s="27"/>
      <c r="J96" s="27"/>
      <c r="K96" s="27"/>
      <c r="L96" s="27"/>
      <c r="M96" s="27"/>
      <c r="N96" s="27"/>
      <c r="O96" s="27"/>
      <c r="P96" s="27"/>
      <c r="Q96" s="27"/>
      <c r="R96" s="27"/>
    </row>
    <row r="97" spans="1:18" s="26" customFormat="1">
      <c r="A97" s="231" t="s">
        <v>1567</v>
      </c>
      <c r="B97" s="231">
        <v>1983121</v>
      </c>
      <c r="C97" s="231"/>
      <c r="D97" s="43">
        <v>9647</v>
      </c>
      <c r="E97" s="40">
        <v>11295</v>
      </c>
      <c r="F97" s="33" t="s">
        <v>1570</v>
      </c>
      <c r="G97" s="27"/>
      <c r="H97" s="27"/>
      <c r="I97" s="27"/>
      <c r="J97" s="27"/>
      <c r="K97" s="27"/>
      <c r="L97" s="27"/>
      <c r="M97" s="27"/>
      <c r="N97" s="27"/>
      <c r="O97" s="27"/>
      <c r="P97" s="27"/>
      <c r="Q97" s="27"/>
      <c r="R97" s="27"/>
    </row>
    <row r="98" spans="1:18" s="26" customFormat="1">
      <c r="A98" s="231" t="s">
        <v>1567</v>
      </c>
      <c r="B98" s="231">
        <v>1973342</v>
      </c>
      <c r="C98" s="231"/>
      <c r="D98" s="43">
        <v>9976</v>
      </c>
      <c r="E98" s="40">
        <v>11211</v>
      </c>
      <c r="F98" s="33" t="s">
        <v>1568</v>
      </c>
      <c r="G98" s="27"/>
      <c r="H98" s="27"/>
      <c r="I98" s="27"/>
      <c r="J98" s="27"/>
      <c r="K98" s="27"/>
      <c r="L98" s="27"/>
      <c r="M98" s="27"/>
      <c r="N98" s="27"/>
      <c r="O98" s="27"/>
      <c r="P98" s="27"/>
      <c r="Q98" s="27"/>
      <c r="R98" s="27"/>
    </row>
    <row r="99" spans="1:18" s="26" customFormat="1">
      <c r="A99" s="231" t="s">
        <v>1567</v>
      </c>
      <c r="B99" s="231">
        <v>2003545</v>
      </c>
      <c r="C99" s="231"/>
      <c r="D99" s="43">
        <v>9988</v>
      </c>
      <c r="E99" s="40">
        <v>11477</v>
      </c>
      <c r="F99" s="33" t="s">
        <v>1656</v>
      </c>
      <c r="G99" s="27"/>
      <c r="H99" s="27"/>
      <c r="I99" s="27"/>
      <c r="J99" s="27"/>
      <c r="K99" s="27"/>
      <c r="L99" s="27"/>
      <c r="M99" s="27"/>
      <c r="N99" s="27"/>
      <c r="O99" s="27"/>
      <c r="P99" s="27"/>
      <c r="Q99" s="27"/>
      <c r="R99" s="27"/>
    </row>
    <row r="100" spans="1:18" s="26" customFormat="1">
      <c r="A100" s="231" t="s">
        <v>1567</v>
      </c>
      <c r="B100" s="231">
        <v>1984464</v>
      </c>
      <c r="C100" s="231"/>
      <c r="D100" s="43">
        <v>10013</v>
      </c>
      <c r="E100" s="40">
        <v>11309</v>
      </c>
      <c r="F100" s="33" t="s">
        <v>1658</v>
      </c>
      <c r="G100" s="27"/>
      <c r="H100" s="27"/>
      <c r="I100" s="27"/>
      <c r="J100" s="27"/>
      <c r="K100" s="27"/>
      <c r="L100" s="27"/>
      <c r="M100" s="27"/>
      <c r="N100" s="27"/>
      <c r="O100" s="27"/>
      <c r="P100" s="27"/>
      <c r="Q100" s="27"/>
      <c r="R100" s="27"/>
    </row>
    <row r="101" spans="1:18" s="26" customFormat="1">
      <c r="A101" s="231" t="s">
        <v>1567</v>
      </c>
      <c r="B101" s="231">
        <v>1992161</v>
      </c>
      <c r="C101" s="231"/>
      <c r="D101" s="43">
        <v>10013</v>
      </c>
      <c r="E101" s="40">
        <v>11372</v>
      </c>
      <c r="F101" s="33" t="s">
        <v>1658</v>
      </c>
      <c r="G101" s="27"/>
      <c r="H101" s="27"/>
      <c r="I101" s="27"/>
      <c r="J101" s="27"/>
      <c r="K101" s="27"/>
      <c r="L101" s="27"/>
      <c r="M101" s="27"/>
      <c r="N101" s="27"/>
      <c r="O101" s="27"/>
      <c r="P101" s="27"/>
      <c r="Q101" s="27"/>
      <c r="R101" s="27"/>
    </row>
    <row r="102" spans="1:18" s="26" customFormat="1">
      <c r="A102" s="231" t="s">
        <v>1567</v>
      </c>
      <c r="B102" s="231">
        <v>1995669</v>
      </c>
      <c r="C102" s="231"/>
      <c r="D102" s="43">
        <v>10259</v>
      </c>
      <c r="E102" s="40">
        <v>11407</v>
      </c>
      <c r="F102" s="33" t="s">
        <v>1658</v>
      </c>
      <c r="G102" s="27"/>
      <c r="H102" s="27"/>
      <c r="I102" s="27"/>
      <c r="J102" s="27"/>
      <c r="K102" s="27"/>
      <c r="L102" s="27"/>
      <c r="M102" s="27"/>
      <c r="N102" s="27"/>
      <c r="O102" s="27"/>
      <c r="P102" s="27"/>
      <c r="Q102" s="27"/>
      <c r="R102" s="27"/>
    </row>
    <row r="103" spans="1:18" s="26" customFormat="1">
      <c r="A103" s="231" t="s">
        <v>1567</v>
      </c>
      <c r="B103" s="231">
        <v>2064620</v>
      </c>
      <c r="C103" s="231"/>
      <c r="D103" s="43">
        <v>10428</v>
      </c>
      <c r="E103" s="40">
        <v>12037</v>
      </c>
      <c r="F103" s="33" t="s">
        <v>1657</v>
      </c>
      <c r="G103" s="27"/>
      <c r="H103" s="27"/>
      <c r="I103" s="27"/>
      <c r="J103" s="27"/>
      <c r="K103" s="27"/>
      <c r="L103" s="27"/>
      <c r="M103" s="27"/>
      <c r="N103" s="27"/>
      <c r="O103" s="27"/>
      <c r="P103" s="27"/>
      <c r="Q103" s="27"/>
      <c r="R103" s="27"/>
    </row>
    <row r="104" spans="1:18" s="26" customFormat="1">
      <c r="A104" s="231" t="s">
        <v>1567</v>
      </c>
      <c r="B104" s="231">
        <v>2010584</v>
      </c>
      <c r="C104" s="231"/>
      <c r="D104" s="43">
        <v>10686</v>
      </c>
      <c r="E104" s="40">
        <v>11540</v>
      </c>
      <c r="F104" s="33" t="s">
        <v>1626</v>
      </c>
      <c r="G104" s="27"/>
      <c r="H104" s="27"/>
      <c r="I104" s="27"/>
      <c r="J104" s="27"/>
      <c r="K104" s="27"/>
      <c r="L104" s="27"/>
      <c r="M104" s="27"/>
      <c r="N104" s="27"/>
      <c r="O104" s="27"/>
      <c r="P104" s="27"/>
      <c r="Q104" s="27"/>
      <c r="R104" s="27"/>
    </row>
    <row r="105" spans="1:18" s="26" customFormat="1">
      <c r="A105" s="231" t="s">
        <v>1567</v>
      </c>
      <c r="B105" s="231">
        <v>1991845</v>
      </c>
      <c r="C105" s="231"/>
      <c r="D105" s="43">
        <v>10864</v>
      </c>
      <c r="E105" s="40">
        <v>11372</v>
      </c>
      <c r="F105" s="33" t="s">
        <v>1627</v>
      </c>
      <c r="G105" s="27"/>
      <c r="H105" s="27"/>
      <c r="I105" s="27"/>
      <c r="J105" s="27"/>
      <c r="K105" s="27"/>
      <c r="L105" s="27"/>
      <c r="M105" s="27"/>
      <c r="N105" s="27"/>
      <c r="O105" s="27"/>
      <c r="P105" s="27"/>
      <c r="Q105" s="27"/>
      <c r="R105" s="27"/>
    </row>
    <row r="106" spans="1:18" s="26" customFormat="1">
      <c r="A106" s="231" t="s">
        <v>1567</v>
      </c>
      <c r="B106" s="231">
        <v>1991846</v>
      </c>
      <c r="C106" s="231"/>
      <c r="D106" s="43">
        <v>11110</v>
      </c>
      <c r="E106" s="40">
        <v>11372</v>
      </c>
      <c r="F106" s="33" t="s">
        <v>1626</v>
      </c>
      <c r="G106" s="27"/>
      <c r="H106" s="27"/>
      <c r="I106" s="27"/>
      <c r="J106" s="27"/>
      <c r="K106" s="27"/>
      <c r="L106" s="27"/>
      <c r="M106" s="27"/>
      <c r="N106" s="27"/>
      <c r="O106" s="27"/>
      <c r="P106" s="27"/>
      <c r="Q106" s="27"/>
      <c r="R106" s="27"/>
    </row>
    <row r="107" spans="1:18" s="26" customFormat="1">
      <c r="A107" s="231" t="s">
        <v>1567</v>
      </c>
      <c r="B107" s="231">
        <v>2016854</v>
      </c>
      <c r="C107" s="231"/>
      <c r="D107" s="43">
        <v>11291</v>
      </c>
      <c r="E107" s="40">
        <v>11603</v>
      </c>
      <c r="F107" s="33" t="s">
        <v>1626</v>
      </c>
      <c r="G107" s="27"/>
      <c r="H107" s="27"/>
      <c r="I107" s="27"/>
      <c r="J107" s="27"/>
      <c r="K107" s="27"/>
      <c r="L107" s="27"/>
      <c r="M107" s="27"/>
      <c r="N107" s="27"/>
      <c r="O107" s="27"/>
      <c r="P107" s="27"/>
      <c r="Q107" s="27"/>
      <c r="R107" s="27"/>
    </row>
    <row r="109" spans="1:18">
      <c r="A109" s="254" t="s">
        <v>1817</v>
      </c>
    </row>
    <row r="110" spans="1:18" ht="15">
      <c r="A110" s="227" t="s">
        <v>1976</v>
      </c>
      <c r="C110" s="255"/>
    </row>
    <row r="111" spans="1:18">
      <c r="A111" s="146" t="s">
        <v>2684</v>
      </c>
    </row>
    <row r="112" spans="1:18">
      <c r="A112" s="223" t="s">
        <v>1910</v>
      </c>
    </row>
    <row r="113" spans="1:4">
      <c r="A113" s="146" t="s">
        <v>1938</v>
      </c>
    </row>
    <row r="114" spans="1:4">
      <c r="A114" s="223" t="s">
        <v>1670</v>
      </c>
    </row>
    <row r="115" spans="1:4">
      <c r="A115" s="146" t="s">
        <v>1844</v>
      </c>
    </row>
    <row r="116" spans="1:4" s="67" customFormat="1">
      <c r="A116" s="146" t="s">
        <v>1596</v>
      </c>
      <c r="B116" s="143"/>
      <c r="C116" s="42"/>
      <c r="D116" s="42"/>
    </row>
    <row r="117" spans="1:4">
      <c r="A117" s="146" t="s">
        <v>2892</v>
      </c>
    </row>
  </sheetData>
  <sheetCalcPr fullCalcOnLoad="1"/>
  <sortState ref="A3:XFD16">
    <sortCondition ref="D3:D16"/>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362"/>
  <sheetViews>
    <sheetView topLeftCell="A256" workbookViewId="0">
      <selection activeCell="A350" sqref="A350"/>
    </sheetView>
  </sheetViews>
  <sheetFormatPr baseColWidth="10" defaultRowHeight="13"/>
  <cols>
    <col min="1" max="1" width="13.28515625" style="42" customWidth="1"/>
    <col min="2" max="2" width="30.28515625" style="42" customWidth="1"/>
    <col min="3" max="7" width="10.7109375" style="42"/>
    <col min="8" max="8" width="29.85546875" style="42" customWidth="1"/>
    <col min="9" max="16384" width="10.7109375" style="42"/>
  </cols>
  <sheetData>
    <row r="1" spans="1:12" ht="26">
      <c r="A1" s="100" t="s">
        <v>1869</v>
      </c>
      <c r="B1" s="100" t="s">
        <v>2831</v>
      </c>
      <c r="C1" s="100" t="s">
        <v>2822</v>
      </c>
      <c r="D1" s="100" t="s">
        <v>820</v>
      </c>
      <c r="E1" s="265" t="s">
        <v>2832</v>
      </c>
      <c r="F1" s="265" t="s">
        <v>807</v>
      </c>
      <c r="G1" s="265" t="s">
        <v>2833</v>
      </c>
      <c r="H1" s="100" t="s">
        <v>346</v>
      </c>
      <c r="I1" s="100" t="s">
        <v>809</v>
      </c>
      <c r="J1" s="100" t="s">
        <v>474</v>
      </c>
      <c r="K1" s="265" t="s">
        <v>475</v>
      </c>
      <c r="L1" s="100" t="s">
        <v>757</v>
      </c>
    </row>
    <row r="2" spans="1:12">
      <c r="A2" s="42" t="s">
        <v>3221</v>
      </c>
      <c r="B2" s="100"/>
      <c r="C2" s="100"/>
      <c r="D2" s="100"/>
      <c r="E2" s="265"/>
      <c r="F2" s="265"/>
      <c r="G2" s="265"/>
      <c r="H2" s="100"/>
      <c r="I2" s="100"/>
      <c r="J2" s="100"/>
      <c r="K2" s="265"/>
      <c r="L2" s="100"/>
    </row>
    <row r="3" spans="1:12">
      <c r="A3" s="220" t="s">
        <v>2830</v>
      </c>
      <c r="B3" s="220" t="s">
        <v>2834</v>
      </c>
      <c r="C3" s="220">
        <v>1764714</v>
      </c>
      <c r="E3" s="181">
        <v>8306</v>
      </c>
      <c r="F3" s="181"/>
      <c r="G3" s="181">
        <v>9664</v>
      </c>
      <c r="H3" s="42" t="s">
        <v>2835</v>
      </c>
      <c r="I3" s="42" t="s">
        <v>2836</v>
      </c>
      <c r="J3" s="42" t="s">
        <v>845</v>
      </c>
      <c r="K3" s="181">
        <v>7946</v>
      </c>
    </row>
    <row r="4" spans="1:12">
      <c r="A4" s="220" t="s">
        <v>2830</v>
      </c>
      <c r="B4" s="220" t="s">
        <v>2834</v>
      </c>
      <c r="C4" s="220">
        <v>1721853</v>
      </c>
      <c r="E4" s="181">
        <v>8340</v>
      </c>
      <c r="F4" s="181"/>
      <c r="G4" s="181">
        <v>9335</v>
      </c>
      <c r="H4" s="42" t="s">
        <v>2835</v>
      </c>
      <c r="I4" s="42" t="s">
        <v>2836</v>
      </c>
      <c r="J4" s="42" t="s">
        <v>845</v>
      </c>
      <c r="K4" s="181">
        <v>7981</v>
      </c>
    </row>
    <row r="5" spans="1:12">
      <c r="A5" s="220" t="s">
        <v>2830</v>
      </c>
      <c r="B5" s="220" t="s">
        <v>2834</v>
      </c>
      <c r="C5" s="220">
        <v>1709457</v>
      </c>
      <c r="E5" s="181">
        <v>8435</v>
      </c>
      <c r="F5" s="181"/>
      <c r="G5" s="181">
        <v>9237</v>
      </c>
      <c r="H5" s="42" t="s">
        <v>2835</v>
      </c>
      <c r="I5" s="42" t="s">
        <v>2836</v>
      </c>
      <c r="J5" s="42" t="s">
        <v>845</v>
      </c>
      <c r="K5" s="181">
        <v>8077</v>
      </c>
    </row>
    <row r="6" spans="1:12">
      <c r="A6" s="220" t="s">
        <v>2830</v>
      </c>
      <c r="B6" s="220" t="s">
        <v>2834</v>
      </c>
      <c r="C6" s="220">
        <v>1869840</v>
      </c>
      <c r="E6" s="181">
        <v>9408</v>
      </c>
      <c r="F6" s="181" t="s">
        <v>2837</v>
      </c>
      <c r="G6" s="181">
        <v>10441</v>
      </c>
      <c r="H6" s="42" t="s">
        <v>2835</v>
      </c>
      <c r="I6" s="42" t="s">
        <v>2836</v>
      </c>
      <c r="J6" s="42" t="s">
        <v>845</v>
      </c>
      <c r="K6" s="181">
        <v>9045</v>
      </c>
    </row>
    <row r="7" spans="1:12">
      <c r="A7" s="220" t="s">
        <v>2830</v>
      </c>
      <c r="B7" s="220" t="s">
        <v>2834</v>
      </c>
      <c r="C7" s="220">
        <v>1801947</v>
      </c>
      <c r="E7" s="181">
        <v>9542</v>
      </c>
      <c r="F7" s="181"/>
      <c r="G7" s="181">
        <v>9972</v>
      </c>
      <c r="H7" s="42" t="s">
        <v>2835</v>
      </c>
      <c r="I7" s="42" t="s">
        <v>2836</v>
      </c>
      <c r="J7" s="42" t="s">
        <v>845</v>
      </c>
      <c r="K7" s="181">
        <v>9184</v>
      </c>
    </row>
    <row r="8" spans="1:12">
      <c r="A8" s="220" t="s">
        <v>2830</v>
      </c>
      <c r="B8" s="220" t="s">
        <v>2834</v>
      </c>
      <c r="C8" s="220">
        <v>1801948</v>
      </c>
      <c r="E8" s="181">
        <v>9604</v>
      </c>
      <c r="F8" s="181"/>
      <c r="G8" s="181">
        <v>9972</v>
      </c>
      <c r="H8" s="42" t="s">
        <v>2835</v>
      </c>
      <c r="I8" s="42" t="s">
        <v>2836</v>
      </c>
      <c r="J8" s="42" t="s">
        <v>845</v>
      </c>
      <c r="K8" s="181">
        <v>9250</v>
      </c>
    </row>
    <row r="9" spans="1:12">
      <c r="A9" s="220" t="s">
        <v>2830</v>
      </c>
      <c r="B9" s="220" t="s">
        <v>2834</v>
      </c>
      <c r="C9" s="220">
        <v>1890293</v>
      </c>
      <c r="E9" s="181">
        <v>9891</v>
      </c>
      <c r="F9" s="181"/>
      <c r="G9" s="181">
        <v>10567</v>
      </c>
      <c r="H9" s="42" t="s">
        <v>2838</v>
      </c>
      <c r="I9" s="42" t="s">
        <v>2839</v>
      </c>
      <c r="J9" s="42" t="s">
        <v>845</v>
      </c>
      <c r="K9" s="181">
        <v>9506</v>
      </c>
    </row>
    <row r="10" spans="1:12">
      <c r="A10" s="220" t="s">
        <v>2830</v>
      </c>
      <c r="B10" s="220" t="s">
        <v>2834</v>
      </c>
      <c r="C10" s="220">
        <v>2004662</v>
      </c>
      <c r="E10" s="181">
        <v>9899</v>
      </c>
      <c r="F10" s="181"/>
      <c r="G10" s="181">
        <v>11484</v>
      </c>
      <c r="I10" s="42" t="s">
        <v>2739</v>
      </c>
      <c r="J10" s="42" t="s">
        <v>845</v>
      </c>
      <c r="K10" s="181">
        <v>9539</v>
      </c>
    </row>
    <row r="11" spans="1:12">
      <c r="A11" s="220" t="s">
        <v>2830</v>
      </c>
      <c r="B11" s="220" t="s">
        <v>2834</v>
      </c>
      <c r="C11" s="220">
        <v>1885578</v>
      </c>
      <c r="E11" s="181">
        <v>9918</v>
      </c>
      <c r="F11" s="181"/>
      <c r="G11" s="181">
        <v>10532</v>
      </c>
      <c r="I11" s="42" t="s">
        <v>2836</v>
      </c>
      <c r="J11" s="42" t="s">
        <v>845</v>
      </c>
      <c r="K11" s="181">
        <v>9559</v>
      </c>
    </row>
    <row r="12" spans="1:12">
      <c r="A12" s="220" t="s">
        <v>2830</v>
      </c>
      <c r="B12" s="220" t="s">
        <v>2834</v>
      </c>
      <c r="C12" s="220">
        <v>1940387</v>
      </c>
      <c r="E12" s="181">
        <v>10055</v>
      </c>
      <c r="F12" s="181"/>
      <c r="G12" s="181">
        <v>10945</v>
      </c>
      <c r="H12" s="42" t="s">
        <v>2838</v>
      </c>
      <c r="I12" s="42" t="s">
        <v>2836</v>
      </c>
      <c r="J12" s="42" t="s">
        <v>845</v>
      </c>
      <c r="K12" s="181">
        <v>9693</v>
      </c>
    </row>
    <row r="13" spans="1:12">
      <c r="A13" s="220" t="s">
        <v>2830</v>
      </c>
      <c r="B13" s="220" t="s">
        <v>2834</v>
      </c>
      <c r="C13" s="220">
        <v>1996055</v>
      </c>
      <c r="E13" s="181">
        <v>10055</v>
      </c>
      <c r="F13" s="181"/>
      <c r="G13" s="181">
        <v>11414</v>
      </c>
      <c r="H13" s="42" t="s">
        <v>2838</v>
      </c>
      <c r="I13" s="42" t="s">
        <v>2836</v>
      </c>
      <c r="J13" s="42" t="s">
        <v>845</v>
      </c>
      <c r="K13" s="181">
        <v>9693</v>
      </c>
    </row>
    <row r="14" spans="1:12">
      <c r="A14" s="220" t="s">
        <v>2830</v>
      </c>
      <c r="B14" s="220" t="s">
        <v>2834</v>
      </c>
      <c r="C14" s="220">
        <v>2008058</v>
      </c>
      <c r="E14" s="181">
        <v>10148</v>
      </c>
      <c r="F14" s="181"/>
      <c r="G14" s="181">
        <v>11519</v>
      </c>
      <c r="H14" s="42" t="s">
        <v>2752</v>
      </c>
      <c r="I14" s="42" t="s">
        <v>2836</v>
      </c>
      <c r="J14" s="42" t="s">
        <v>845</v>
      </c>
      <c r="K14" s="181">
        <v>9784</v>
      </c>
    </row>
    <row r="15" spans="1:12">
      <c r="A15" s="220" t="s">
        <v>2830</v>
      </c>
      <c r="B15" s="220" t="s">
        <v>2834</v>
      </c>
      <c r="C15" s="220">
        <v>1973042</v>
      </c>
      <c r="E15" s="181">
        <v>10398</v>
      </c>
      <c r="F15" s="181"/>
      <c r="G15" s="181">
        <v>11211</v>
      </c>
      <c r="I15" s="42" t="s">
        <v>2836</v>
      </c>
      <c r="J15" s="42" t="s">
        <v>845</v>
      </c>
      <c r="K15" s="181">
        <v>10032</v>
      </c>
    </row>
    <row r="16" spans="1:12">
      <c r="A16" s="220" t="s">
        <v>2830</v>
      </c>
      <c r="B16" s="220" t="s">
        <v>2834</v>
      </c>
      <c r="C16" s="220">
        <v>2029700</v>
      </c>
      <c r="E16" s="181">
        <v>10511</v>
      </c>
      <c r="F16" s="181"/>
      <c r="G16" s="181">
        <v>11722</v>
      </c>
      <c r="H16" s="42" t="s">
        <v>2752</v>
      </c>
      <c r="I16" s="42" t="s">
        <v>2836</v>
      </c>
      <c r="J16" s="42" t="s">
        <v>845</v>
      </c>
      <c r="K16" s="181">
        <v>10148</v>
      </c>
    </row>
    <row r="17" spans="1:11">
      <c r="A17" s="220" t="s">
        <v>2830</v>
      </c>
      <c r="B17" s="220" t="s">
        <v>2834</v>
      </c>
      <c r="C17" s="220">
        <v>2202955</v>
      </c>
      <c r="E17" s="181">
        <v>10659</v>
      </c>
      <c r="F17" s="181"/>
      <c r="G17" s="181">
        <v>13304</v>
      </c>
      <c r="H17" s="42" t="s">
        <v>2738</v>
      </c>
      <c r="I17" s="42" t="s">
        <v>2921</v>
      </c>
      <c r="J17" s="42" t="s">
        <v>845</v>
      </c>
      <c r="K17" s="181">
        <v>12148</v>
      </c>
    </row>
    <row r="18" spans="1:11">
      <c r="A18" s="220" t="s">
        <v>2830</v>
      </c>
      <c r="B18" s="220" t="s">
        <v>2834</v>
      </c>
      <c r="C18" s="220">
        <v>2203460</v>
      </c>
      <c r="E18" s="181">
        <v>10659</v>
      </c>
      <c r="F18" s="181"/>
      <c r="G18" s="181">
        <v>13304</v>
      </c>
      <c r="H18" s="42" t="s">
        <v>2738</v>
      </c>
      <c r="I18" s="42" t="s">
        <v>2861</v>
      </c>
      <c r="J18" s="42" t="s">
        <v>845</v>
      </c>
      <c r="K18" s="181">
        <v>12162</v>
      </c>
    </row>
    <row r="19" spans="1:11">
      <c r="A19" s="220" t="s">
        <v>2830</v>
      </c>
      <c r="B19" s="220" t="s">
        <v>2834</v>
      </c>
      <c r="C19" s="220">
        <v>1931282</v>
      </c>
      <c r="E19" s="181">
        <v>10664</v>
      </c>
      <c r="F19" s="181"/>
      <c r="G19" s="181">
        <v>10882</v>
      </c>
      <c r="I19" s="42" t="s">
        <v>2836</v>
      </c>
      <c r="J19" s="42" t="s">
        <v>845</v>
      </c>
      <c r="K19" s="181">
        <v>10298</v>
      </c>
    </row>
    <row r="20" spans="1:11">
      <c r="A20" s="220" t="s">
        <v>2830</v>
      </c>
      <c r="B20" s="220" t="s">
        <v>2834</v>
      </c>
      <c r="C20" s="220">
        <v>2108766</v>
      </c>
      <c r="E20" s="181">
        <v>10682</v>
      </c>
      <c r="F20" s="181"/>
      <c r="G20" s="181">
        <v>12464</v>
      </c>
      <c r="H20" s="42" t="s">
        <v>2840</v>
      </c>
      <c r="I20" s="42" t="s">
        <v>2761</v>
      </c>
      <c r="J20" s="42" t="s">
        <v>845</v>
      </c>
      <c r="K20" s="181">
        <v>10319</v>
      </c>
    </row>
    <row r="21" spans="1:11">
      <c r="A21" s="220" t="s">
        <v>2830</v>
      </c>
      <c r="B21" s="220" t="s">
        <v>2834</v>
      </c>
      <c r="C21" s="220">
        <v>2217255</v>
      </c>
      <c r="E21" s="181">
        <v>10702</v>
      </c>
      <c r="F21" s="181"/>
      <c r="G21" s="181">
        <v>13430</v>
      </c>
      <c r="H21" s="42" t="s">
        <v>2738</v>
      </c>
      <c r="I21" s="42" t="s">
        <v>2918</v>
      </c>
      <c r="J21" s="42" t="s">
        <v>845</v>
      </c>
      <c r="K21" s="181">
        <v>11690</v>
      </c>
    </row>
    <row r="22" spans="1:11">
      <c r="A22" s="220" t="s">
        <v>2830</v>
      </c>
      <c r="B22" s="220" t="s">
        <v>2834</v>
      </c>
      <c r="C22" s="220">
        <v>2003929</v>
      </c>
      <c r="E22" s="181">
        <v>10842</v>
      </c>
      <c r="F22" s="181"/>
      <c r="G22" s="181">
        <v>11477</v>
      </c>
      <c r="H22" s="42" t="s">
        <v>2840</v>
      </c>
      <c r="I22" s="42" t="s">
        <v>2841</v>
      </c>
      <c r="J22" s="42" t="s">
        <v>845</v>
      </c>
      <c r="K22" s="181">
        <v>10494</v>
      </c>
    </row>
    <row r="23" spans="1:11">
      <c r="A23" s="220" t="s">
        <v>2830</v>
      </c>
      <c r="B23" s="220" t="s">
        <v>2834</v>
      </c>
      <c r="C23" s="220">
        <v>2069605</v>
      </c>
      <c r="E23" s="181">
        <v>10842</v>
      </c>
      <c r="F23" s="181"/>
      <c r="G23" s="181">
        <v>12086</v>
      </c>
      <c r="H23" s="42" t="s">
        <v>2840</v>
      </c>
      <c r="I23" s="42" t="s">
        <v>2841</v>
      </c>
      <c r="J23" s="42" t="s">
        <v>845</v>
      </c>
      <c r="K23" s="181">
        <v>10596</v>
      </c>
    </row>
    <row r="24" spans="1:11">
      <c r="A24" s="220" t="s">
        <v>2830</v>
      </c>
      <c r="B24" s="220" t="s">
        <v>2834</v>
      </c>
      <c r="C24" s="220">
        <v>2219967</v>
      </c>
      <c r="E24" s="181">
        <v>10893</v>
      </c>
      <c r="F24" s="181"/>
      <c r="G24" s="181">
        <v>13451</v>
      </c>
      <c r="H24" s="42" t="s">
        <v>2738</v>
      </c>
      <c r="I24" s="42" t="s">
        <v>2926</v>
      </c>
      <c r="J24" s="42" t="s">
        <v>845</v>
      </c>
      <c r="K24" s="181">
        <v>12369</v>
      </c>
    </row>
    <row r="25" spans="1:11">
      <c r="A25" s="220" t="s">
        <v>2830</v>
      </c>
      <c r="B25" s="220" t="s">
        <v>2834</v>
      </c>
      <c r="C25" s="220">
        <v>1997412</v>
      </c>
      <c r="E25" s="181">
        <v>10919</v>
      </c>
      <c r="F25" s="181"/>
      <c r="G25" s="181">
        <v>11421</v>
      </c>
      <c r="H25" s="42" t="s">
        <v>2840</v>
      </c>
      <c r="I25" s="42" t="s">
        <v>2841</v>
      </c>
      <c r="J25" s="42" t="s">
        <v>845</v>
      </c>
      <c r="K25" s="181">
        <v>10557</v>
      </c>
    </row>
    <row r="26" spans="1:11">
      <c r="A26" s="220" t="s">
        <v>2830</v>
      </c>
      <c r="B26" s="220" t="s">
        <v>2834</v>
      </c>
      <c r="C26" s="220">
        <v>2014965</v>
      </c>
      <c r="E26" s="181">
        <v>10988</v>
      </c>
      <c r="F26" s="181"/>
      <c r="G26" s="181">
        <v>11582</v>
      </c>
      <c r="H26" s="42" t="s">
        <v>2738</v>
      </c>
      <c r="I26" s="42" t="s">
        <v>2841</v>
      </c>
      <c r="J26" s="42" t="s">
        <v>845</v>
      </c>
      <c r="K26" s="181">
        <v>10626</v>
      </c>
    </row>
    <row r="27" spans="1:11">
      <c r="A27" s="220" t="s">
        <v>2830</v>
      </c>
      <c r="B27" s="220" t="s">
        <v>2834</v>
      </c>
      <c r="C27" s="220">
        <v>2003930</v>
      </c>
      <c r="E27" s="181">
        <v>11080</v>
      </c>
      <c r="F27" s="181"/>
      <c r="G27" s="181">
        <v>11477</v>
      </c>
      <c r="H27" s="42" t="s">
        <v>2738</v>
      </c>
      <c r="I27" s="42" t="s">
        <v>2841</v>
      </c>
      <c r="J27" s="42" t="s">
        <v>845</v>
      </c>
      <c r="K27" s="181">
        <v>10723</v>
      </c>
    </row>
    <row r="28" spans="1:11">
      <c r="A28" s="220" t="s">
        <v>2830</v>
      </c>
      <c r="B28" s="220" t="s">
        <v>2834</v>
      </c>
      <c r="C28" s="220">
        <v>2340524</v>
      </c>
      <c r="D28" s="42" t="s">
        <v>2966</v>
      </c>
      <c r="E28" s="181">
        <v>11110</v>
      </c>
      <c r="F28" s="181">
        <v>12676</v>
      </c>
      <c r="G28" s="181">
        <v>14641</v>
      </c>
      <c r="H28" s="42" t="s">
        <v>2738</v>
      </c>
      <c r="I28" s="42" t="s">
        <v>2841</v>
      </c>
      <c r="J28" s="42" t="s">
        <v>845</v>
      </c>
      <c r="K28" s="181">
        <v>10776</v>
      </c>
    </row>
    <row r="29" spans="1:11">
      <c r="A29" s="220" t="s">
        <v>2830</v>
      </c>
      <c r="B29" s="220" t="s">
        <v>2775</v>
      </c>
      <c r="C29" s="220">
        <v>2340524</v>
      </c>
      <c r="D29" s="42" t="s">
        <v>2966</v>
      </c>
      <c r="E29" s="181">
        <v>11110</v>
      </c>
      <c r="F29" s="181">
        <v>12676</v>
      </c>
      <c r="G29" s="181">
        <v>14641</v>
      </c>
      <c r="H29" s="42" t="s">
        <v>250</v>
      </c>
      <c r="I29" s="42" t="s">
        <v>2771</v>
      </c>
      <c r="J29" s="42" t="s">
        <v>845</v>
      </c>
      <c r="K29" s="181">
        <v>10776</v>
      </c>
    </row>
    <row r="30" spans="1:11">
      <c r="A30" s="220" t="s">
        <v>2830</v>
      </c>
      <c r="B30" s="220" t="s">
        <v>2834</v>
      </c>
      <c r="C30" s="220">
        <v>2115498</v>
      </c>
      <c r="E30" s="181">
        <v>11184</v>
      </c>
      <c r="F30" s="181"/>
      <c r="G30" s="181">
        <v>12534</v>
      </c>
      <c r="H30" s="42" t="s">
        <v>2840</v>
      </c>
      <c r="I30" s="42" t="s">
        <v>2762</v>
      </c>
      <c r="J30" s="42" t="s">
        <v>845</v>
      </c>
      <c r="K30" s="181">
        <v>10820</v>
      </c>
    </row>
    <row r="31" spans="1:11">
      <c r="A31" s="220" t="s">
        <v>2830</v>
      </c>
      <c r="B31" s="220" t="s">
        <v>2834</v>
      </c>
      <c r="C31" s="220">
        <v>2039878</v>
      </c>
      <c r="E31" s="181">
        <v>11236</v>
      </c>
      <c r="F31" s="181"/>
      <c r="G31" s="181">
        <v>11813</v>
      </c>
      <c r="I31" s="42" t="s">
        <v>2836</v>
      </c>
      <c r="J31" s="42" t="s">
        <v>845</v>
      </c>
      <c r="K31" s="181">
        <v>10872</v>
      </c>
    </row>
    <row r="32" spans="1:11">
      <c r="A32" s="220" t="s">
        <v>2830</v>
      </c>
      <c r="B32" s="220" t="s">
        <v>2834</v>
      </c>
      <c r="C32" s="220">
        <v>2046998</v>
      </c>
      <c r="E32" s="181">
        <v>11236</v>
      </c>
      <c r="F32" s="181"/>
      <c r="G32" s="181">
        <v>11876</v>
      </c>
      <c r="I32" s="42" t="s">
        <v>2836</v>
      </c>
      <c r="J32" s="42" t="s">
        <v>845</v>
      </c>
      <c r="K32" s="181">
        <v>10879</v>
      </c>
    </row>
    <row r="33" spans="1:11">
      <c r="A33" s="220" t="s">
        <v>2830</v>
      </c>
      <c r="B33" s="220" t="s">
        <v>2834</v>
      </c>
      <c r="C33" s="220">
        <v>2005530</v>
      </c>
      <c r="E33" s="181">
        <v>11255</v>
      </c>
      <c r="F33" s="181"/>
      <c r="G33" s="181">
        <v>11491</v>
      </c>
      <c r="I33" s="42" t="s">
        <v>2836</v>
      </c>
      <c r="J33" s="42" t="s">
        <v>845</v>
      </c>
      <c r="K33" s="181">
        <v>10906</v>
      </c>
    </row>
    <row r="34" spans="1:11">
      <c r="A34" s="220" t="s">
        <v>2830</v>
      </c>
      <c r="B34" s="220" t="s">
        <v>2834</v>
      </c>
      <c r="C34" s="220">
        <v>2016857</v>
      </c>
      <c r="E34" s="181">
        <v>11386</v>
      </c>
      <c r="F34" s="181"/>
      <c r="G34" s="181">
        <v>11603</v>
      </c>
      <c r="H34" s="42" t="s">
        <v>2738</v>
      </c>
      <c r="I34" s="42" t="s">
        <v>2841</v>
      </c>
      <c r="J34" s="42" t="s">
        <v>845</v>
      </c>
      <c r="K34" s="181">
        <v>11018</v>
      </c>
    </row>
    <row r="35" spans="1:11">
      <c r="A35" s="220" t="s">
        <v>2830</v>
      </c>
      <c r="B35" s="220" t="s">
        <v>2834</v>
      </c>
      <c r="C35" s="220">
        <v>2110622</v>
      </c>
      <c r="E35" s="181">
        <v>11388</v>
      </c>
      <c r="F35" s="181"/>
      <c r="G35" s="181">
        <v>12485</v>
      </c>
      <c r="H35" s="42" t="s">
        <v>2738</v>
      </c>
      <c r="I35" s="42" t="s">
        <v>2841</v>
      </c>
      <c r="J35" s="42" t="s">
        <v>845</v>
      </c>
      <c r="K35" s="181">
        <v>11023</v>
      </c>
    </row>
    <row r="36" spans="1:11">
      <c r="A36" s="220" t="s">
        <v>2830</v>
      </c>
      <c r="B36" s="220" t="s">
        <v>2834</v>
      </c>
      <c r="C36" s="220">
        <v>2158584</v>
      </c>
      <c r="E36" s="181">
        <v>11399</v>
      </c>
      <c r="F36" s="181"/>
      <c r="G36" s="181">
        <v>12919</v>
      </c>
      <c r="H36" s="42" t="s">
        <v>2738</v>
      </c>
      <c r="I36" s="42" t="s">
        <v>2764</v>
      </c>
      <c r="J36" s="42" t="s">
        <v>845</v>
      </c>
      <c r="K36" s="181">
        <v>11033</v>
      </c>
    </row>
    <row r="37" spans="1:11">
      <c r="A37" s="220" t="s">
        <v>2830</v>
      </c>
      <c r="B37" s="220" t="s">
        <v>2834</v>
      </c>
      <c r="C37" s="220">
        <v>2134132</v>
      </c>
      <c r="E37" s="181">
        <v>11458</v>
      </c>
      <c r="F37" s="181"/>
      <c r="G37" s="181">
        <v>12716</v>
      </c>
      <c r="H37" s="42" t="s">
        <v>2738</v>
      </c>
      <c r="I37" s="42" t="s">
        <v>2764</v>
      </c>
      <c r="J37" s="42" t="s">
        <v>845</v>
      </c>
      <c r="K37" s="181">
        <v>11096</v>
      </c>
    </row>
    <row r="38" spans="1:11">
      <c r="A38" s="220" t="s">
        <v>2830</v>
      </c>
      <c r="B38" s="220" t="s">
        <v>2834</v>
      </c>
      <c r="C38" s="220">
        <v>2051837</v>
      </c>
      <c r="E38" s="181">
        <v>11504</v>
      </c>
      <c r="F38" s="181"/>
      <c r="G38" s="181">
        <v>11925</v>
      </c>
      <c r="H38" s="42" t="s">
        <v>2738</v>
      </c>
      <c r="I38" s="42" t="s">
        <v>2841</v>
      </c>
      <c r="J38" s="42" t="s">
        <v>845</v>
      </c>
      <c r="K38" s="181">
        <v>11143</v>
      </c>
    </row>
    <row r="39" spans="1:11">
      <c r="A39" s="220" t="s">
        <v>2830</v>
      </c>
      <c r="B39" s="220" t="s">
        <v>2834</v>
      </c>
      <c r="C39" s="220">
        <v>2191250</v>
      </c>
      <c r="E39" s="181">
        <v>11569</v>
      </c>
      <c r="F39" s="181"/>
      <c r="G39" s="181">
        <v>13199</v>
      </c>
      <c r="H39" s="42" t="s">
        <v>2738</v>
      </c>
      <c r="I39" s="42" t="s">
        <v>2841</v>
      </c>
      <c r="J39" s="42" t="s">
        <v>845</v>
      </c>
      <c r="K39" s="181">
        <v>11224</v>
      </c>
    </row>
    <row r="40" spans="1:11">
      <c r="A40" s="220" t="s">
        <v>2830</v>
      </c>
      <c r="B40" s="220" t="s">
        <v>2834</v>
      </c>
      <c r="C40" s="220">
        <v>2133670</v>
      </c>
      <c r="E40" s="181">
        <v>11634</v>
      </c>
      <c r="F40" s="181"/>
      <c r="G40" s="181">
        <v>12709</v>
      </c>
      <c r="H40" s="42" t="s">
        <v>2738</v>
      </c>
      <c r="I40" s="42" t="s">
        <v>2763</v>
      </c>
      <c r="J40" s="42" t="s">
        <v>845</v>
      </c>
      <c r="K40" s="181">
        <v>11269</v>
      </c>
    </row>
    <row r="41" spans="1:11">
      <c r="A41" s="42" t="s">
        <v>2830</v>
      </c>
      <c r="B41" s="42" t="s">
        <v>2834</v>
      </c>
      <c r="C41" s="42">
        <v>2137974</v>
      </c>
      <c r="E41" s="181">
        <v>11940</v>
      </c>
      <c r="F41" s="181"/>
      <c r="G41" s="181">
        <v>12744</v>
      </c>
      <c r="H41" s="42" t="s">
        <v>2738</v>
      </c>
      <c r="I41" s="42" t="s">
        <v>2841</v>
      </c>
      <c r="J41" s="42" t="s">
        <v>845</v>
      </c>
      <c r="K41" s="181">
        <v>11578</v>
      </c>
    </row>
    <row r="42" spans="1:11">
      <c r="A42" s="42" t="s">
        <v>2830</v>
      </c>
      <c r="B42" s="42" t="s">
        <v>2834</v>
      </c>
      <c r="C42" s="42">
        <v>2175631</v>
      </c>
      <c r="E42" s="181">
        <v>11978</v>
      </c>
      <c r="F42" s="181"/>
      <c r="G42" s="181">
        <v>13066</v>
      </c>
      <c r="H42" s="42" t="s">
        <v>2738</v>
      </c>
      <c r="I42" s="42" t="s">
        <v>2764</v>
      </c>
      <c r="J42" s="42" t="s">
        <v>845</v>
      </c>
      <c r="K42" s="181">
        <v>11613</v>
      </c>
    </row>
    <row r="43" spans="1:11">
      <c r="A43" s="42" t="s">
        <v>2830</v>
      </c>
      <c r="B43" s="42" t="s">
        <v>2834</v>
      </c>
      <c r="C43" s="42">
        <v>2167077</v>
      </c>
      <c r="E43" s="181">
        <v>11995</v>
      </c>
      <c r="F43" s="181"/>
      <c r="G43" s="181">
        <v>12959</v>
      </c>
      <c r="H43" s="42" t="s">
        <v>2738</v>
      </c>
      <c r="I43" s="42" t="s">
        <v>2764</v>
      </c>
      <c r="J43" s="42" t="s">
        <v>845</v>
      </c>
      <c r="K43" s="181">
        <v>11633</v>
      </c>
    </row>
    <row r="44" spans="1:11">
      <c r="A44" s="42" t="s">
        <v>2830</v>
      </c>
      <c r="B44" s="42" t="s">
        <v>2834</v>
      </c>
      <c r="C44" s="42">
        <v>2222886</v>
      </c>
      <c r="E44" s="181">
        <v>12069</v>
      </c>
      <c r="F44" s="181"/>
      <c r="G44" s="181">
        <v>13479</v>
      </c>
      <c r="H44" s="42" t="s">
        <v>2738</v>
      </c>
      <c r="I44" s="42" t="s">
        <v>2875</v>
      </c>
      <c r="J44" s="42" t="s">
        <v>845</v>
      </c>
      <c r="K44" s="181">
        <v>11703</v>
      </c>
    </row>
    <row r="45" spans="1:11">
      <c r="A45" s="42" t="s">
        <v>2830</v>
      </c>
      <c r="B45" s="42" t="s">
        <v>2834</v>
      </c>
      <c r="C45" s="42">
        <v>2142516</v>
      </c>
      <c r="E45" s="181">
        <v>12076</v>
      </c>
      <c r="F45" s="181"/>
      <c r="G45" s="181">
        <v>12786</v>
      </c>
      <c r="H45" s="42" t="s">
        <v>2738</v>
      </c>
      <c r="I45" s="42" t="s">
        <v>2764</v>
      </c>
      <c r="J45" s="42" t="s">
        <v>845</v>
      </c>
      <c r="K45" s="181">
        <v>11711</v>
      </c>
    </row>
    <row r="46" spans="1:11">
      <c r="A46" s="42" t="s">
        <v>2830</v>
      </c>
      <c r="B46" s="42" t="s">
        <v>2834</v>
      </c>
      <c r="C46" s="42">
        <v>2163528</v>
      </c>
      <c r="E46" s="181">
        <v>12128</v>
      </c>
      <c r="F46" s="181"/>
      <c r="G46" s="181">
        <v>12954</v>
      </c>
      <c r="H46" s="42" t="s">
        <v>2738</v>
      </c>
      <c r="I46" s="42" t="s">
        <v>2918</v>
      </c>
      <c r="J46" s="42" t="s">
        <v>845</v>
      </c>
      <c r="K46" s="181">
        <v>11763</v>
      </c>
    </row>
    <row r="47" spans="1:11">
      <c r="A47" s="42" t="s">
        <v>2830</v>
      </c>
      <c r="B47" s="42" t="s">
        <v>2834</v>
      </c>
      <c r="C47" s="42">
        <v>2160970</v>
      </c>
      <c r="E47" s="181">
        <v>12148</v>
      </c>
      <c r="F47" s="181"/>
      <c r="G47" s="181">
        <v>12940</v>
      </c>
      <c r="H47" s="42" t="s">
        <v>2738</v>
      </c>
      <c r="I47" s="42" t="s">
        <v>2764</v>
      </c>
      <c r="J47" s="42" t="s">
        <v>845</v>
      </c>
      <c r="K47" s="181">
        <v>11784</v>
      </c>
    </row>
    <row r="48" spans="1:11">
      <c r="A48" s="42" t="s">
        <v>2830</v>
      </c>
      <c r="B48" s="42" t="s">
        <v>2834</v>
      </c>
      <c r="C48" s="42">
        <v>2151976</v>
      </c>
      <c r="E48" s="181">
        <v>12188</v>
      </c>
      <c r="F48" s="181"/>
      <c r="G48" s="181">
        <v>12870</v>
      </c>
      <c r="H48" s="42" t="s">
        <v>2738</v>
      </c>
      <c r="I48" s="42" t="s">
        <v>2764</v>
      </c>
      <c r="J48" s="42" t="s">
        <v>845</v>
      </c>
      <c r="K48" s="181">
        <v>11823</v>
      </c>
    </row>
    <row r="49" spans="1:11">
      <c r="A49" s="42" t="s">
        <v>2830</v>
      </c>
      <c r="B49" s="42" t="s">
        <v>2834</v>
      </c>
      <c r="C49" s="42">
        <v>2161510</v>
      </c>
      <c r="E49" s="181">
        <v>12221</v>
      </c>
      <c r="F49" s="181"/>
      <c r="G49" s="181">
        <v>12940</v>
      </c>
      <c r="H49" s="42" t="s">
        <v>2738</v>
      </c>
      <c r="I49" s="42" t="s">
        <v>2841</v>
      </c>
      <c r="J49" s="42" t="s">
        <v>845</v>
      </c>
      <c r="K49" s="181">
        <v>11842</v>
      </c>
    </row>
    <row r="50" spans="1:11">
      <c r="A50" s="42" t="s">
        <v>2830</v>
      </c>
      <c r="B50" s="42" t="s">
        <v>2834</v>
      </c>
      <c r="C50" s="42">
        <v>2168106</v>
      </c>
      <c r="E50" s="181">
        <v>12221</v>
      </c>
      <c r="F50" s="181"/>
      <c r="G50" s="181">
        <v>12996</v>
      </c>
      <c r="H50" s="42" t="s">
        <v>2738</v>
      </c>
      <c r="I50" s="42" t="s">
        <v>2922</v>
      </c>
      <c r="J50" s="42" t="s">
        <v>845</v>
      </c>
      <c r="K50" s="181">
        <v>11857</v>
      </c>
    </row>
    <row r="51" spans="1:11">
      <c r="A51" s="42" t="s">
        <v>2830</v>
      </c>
      <c r="B51" s="42" t="s">
        <v>2834</v>
      </c>
      <c r="C51" s="42">
        <v>2178306</v>
      </c>
      <c r="E51" s="181">
        <v>12229</v>
      </c>
      <c r="F51" s="181"/>
      <c r="G51" s="181">
        <v>13087</v>
      </c>
      <c r="H51" s="42" t="s">
        <v>2738</v>
      </c>
      <c r="I51" s="42" t="s">
        <v>2918</v>
      </c>
      <c r="J51" s="42" t="s">
        <v>845</v>
      </c>
      <c r="K51" s="181">
        <v>11868</v>
      </c>
    </row>
    <row r="52" spans="1:11">
      <c r="A52" s="42" t="s">
        <v>2830</v>
      </c>
      <c r="B52" s="42" t="s">
        <v>2834</v>
      </c>
      <c r="C52" s="42">
        <v>2200030</v>
      </c>
      <c r="D52" s="42" t="s">
        <v>2859</v>
      </c>
      <c r="E52" s="181">
        <v>12229</v>
      </c>
      <c r="F52" s="181"/>
      <c r="G52" s="181">
        <v>13276</v>
      </c>
      <c r="H52" s="42" t="s">
        <v>2738</v>
      </c>
      <c r="I52" s="42" t="s">
        <v>2918</v>
      </c>
      <c r="J52" s="42" t="s">
        <v>845</v>
      </c>
      <c r="K52" s="181">
        <v>11868</v>
      </c>
    </row>
    <row r="53" spans="1:11">
      <c r="A53" s="42" t="s">
        <v>2830</v>
      </c>
      <c r="B53" s="42" t="s">
        <v>2834</v>
      </c>
      <c r="C53" s="42">
        <v>2182727</v>
      </c>
      <c r="E53" s="181">
        <v>12230</v>
      </c>
      <c r="F53" s="181"/>
      <c r="G53" s="181">
        <v>13122</v>
      </c>
      <c r="H53" s="42" t="s">
        <v>2738</v>
      </c>
      <c r="I53" s="42" t="s">
        <v>2924</v>
      </c>
      <c r="J53" s="42" t="s">
        <v>845</v>
      </c>
      <c r="K53" s="181">
        <v>11866</v>
      </c>
    </row>
    <row r="54" spans="1:11">
      <c r="A54" s="42" t="s">
        <v>2830</v>
      </c>
      <c r="B54" s="42" t="s">
        <v>2834</v>
      </c>
      <c r="C54" s="42">
        <v>2191055</v>
      </c>
      <c r="E54" s="181">
        <v>12305</v>
      </c>
      <c r="F54" s="181"/>
      <c r="G54" s="181">
        <v>13199</v>
      </c>
      <c r="H54" s="42" t="s">
        <v>2738</v>
      </c>
      <c r="I54" s="42" t="s">
        <v>2927</v>
      </c>
      <c r="J54" s="42" t="s">
        <v>845</v>
      </c>
      <c r="K54" s="181">
        <v>11938</v>
      </c>
    </row>
    <row r="55" spans="1:11">
      <c r="A55" s="42" t="s">
        <v>2830</v>
      </c>
      <c r="B55" s="42" t="s">
        <v>2834</v>
      </c>
      <c r="C55" s="42">
        <v>2197898</v>
      </c>
      <c r="E55" s="181">
        <v>12325</v>
      </c>
      <c r="F55" s="181"/>
      <c r="G55" s="181">
        <v>13262</v>
      </c>
      <c r="H55" s="42" t="s">
        <v>2738</v>
      </c>
      <c r="I55" s="42" t="s">
        <v>2858</v>
      </c>
      <c r="J55" s="42" t="s">
        <v>845</v>
      </c>
      <c r="K55" s="181">
        <v>11961</v>
      </c>
    </row>
    <row r="56" spans="1:11">
      <c r="A56" s="42" t="s">
        <v>2830</v>
      </c>
      <c r="B56" s="42" t="s">
        <v>2834</v>
      </c>
      <c r="C56" s="42">
        <v>2167421</v>
      </c>
      <c r="E56" s="181">
        <v>12333</v>
      </c>
      <c r="F56" s="181"/>
      <c r="G56" s="181">
        <v>12989</v>
      </c>
      <c r="H56" s="42" t="s">
        <v>2738</v>
      </c>
      <c r="I56" s="42" t="s">
        <v>2920</v>
      </c>
      <c r="J56" s="42" t="s">
        <v>845</v>
      </c>
      <c r="K56" s="181">
        <v>11978</v>
      </c>
    </row>
    <row r="57" spans="1:11">
      <c r="A57" s="42" t="s">
        <v>2830</v>
      </c>
      <c r="B57" s="42" t="s">
        <v>2834</v>
      </c>
      <c r="C57" s="42">
        <v>2167422</v>
      </c>
      <c r="E57" s="181">
        <v>12338</v>
      </c>
      <c r="F57" s="181"/>
      <c r="G57" s="181">
        <v>12989</v>
      </c>
      <c r="H57" s="42" t="s">
        <v>2738</v>
      </c>
      <c r="I57" s="42" t="s">
        <v>2921</v>
      </c>
      <c r="J57" s="42" t="s">
        <v>845</v>
      </c>
      <c r="K57" s="181">
        <v>11898</v>
      </c>
    </row>
    <row r="58" spans="1:11">
      <c r="A58" s="42" t="s">
        <v>2830</v>
      </c>
      <c r="B58" s="42" t="s">
        <v>2834</v>
      </c>
      <c r="C58" s="42">
        <v>2189475</v>
      </c>
      <c r="E58" s="181">
        <v>12338</v>
      </c>
      <c r="F58" s="181"/>
      <c r="G58" s="181">
        <v>13185</v>
      </c>
      <c r="H58" s="42" t="s">
        <v>2738</v>
      </c>
      <c r="I58" s="42" t="s">
        <v>2922</v>
      </c>
      <c r="J58" s="42" t="s">
        <v>845</v>
      </c>
      <c r="K58" s="181">
        <v>11936</v>
      </c>
    </row>
    <row r="59" spans="1:11">
      <c r="A59" s="42" t="s">
        <v>2830</v>
      </c>
      <c r="B59" s="42" t="s">
        <v>2834</v>
      </c>
      <c r="C59" s="42">
        <v>2163496</v>
      </c>
      <c r="E59" s="181">
        <v>12341</v>
      </c>
      <c r="F59" s="181"/>
      <c r="G59" s="181">
        <v>12954</v>
      </c>
      <c r="H59" s="42" t="s">
        <v>2738</v>
      </c>
      <c r="I59" s="42" t="s">
        <v>2917</v>
      </c>
      <c r="J59" s="42" t="s">
        <v>845</v>
      </c>
      <c r="K59" s="181">
        <v>11987</v>
      </c>
    </row>
    <row r="60" spans="1:11">
      <c r="A60" s="42" t="s">
        <v>2830</v>
      </c>
      <c r="B60" s="42" t="s">
        <v>2834</v>
      </c>
      <c r="C60" s="42">
        <v>2220055</v>
      </c>
      <c r="E60" s="181">
        <v>12351</v>
      </c>
      <c r="F60" s="181"/>
      <c r="G60" s="181">
        <v>13451</v>
      </c>
      <c r="H60" s="42" t="s">
        <v>2738</v>
      </c>
      <c r="I60" s="42" t="s">
        <v>2873</v>
      </c>
      <c r="J60" s="42" t="s">
        <v>845</v>
      </c>
      <c r="K60" s="181">
        <v>11988</v>
      </c>
    </row>
    <row r="61" spans="1:11">
      <c r="A61" s="42" t="s">
        <v>2830</v>
      </c>
      <c r="B61" s="42" t="s">
        <v>2834</v>
      </c>
      <c r="C61" s="42">
        <v>2237719</v>
      </c>
      <c r="E61" s="181">
        <v>12353</v>
      </c>
      <c r="F61" s="181"/>
      <c r="G61" s="181">
        <v>13612</v>
      </c>
      <c r="H61" s="42" t="s">
        <v>2738</v>
      </c>
      <c r="I61" s="42" t="s">
        <v>2881</v>
      </c>
      <c r="J61" s="42" t="s">
        <v>845</v>
      </c>
      <c r="K61" s="181">
        <v>11598</v>
      </c>
    </row>
    <row r="62" spans="1:11">
      <c r="A62" s="42" t="s">
        <v>2830</v>
      </c>
      <c r="B62" s="42" t="s">
        <v>2834</v>
      </c>
      <c r="C62" s="42">
        <v>2179179</v>
      </c>
      <c r="E62" s="181">
        <v>12381</v>
      </c>
      <c r="F62" s="181"/>
      <c r="G62" s="181">
        <v>13094</v>
      </c>
      <c r="H62" s="42" t="s">
        <v>2738</v>
      </c>
      <c r="I62" s="42" t="s">
        <v>2841</v>
      </c>
      <c r="J62" s="42" t="s">
        <v>845</v>
      </c>
      <c r="K62" s="181">
        <v>12018</v>
      </c>
    </row>
    <row r="63" spans="1:11">
      <c r="A63" s="42" t="s">
        <v>2830</v>
      </c>
      <c r="B63" s="42" t="s">
        <v>2834</v>
      </c>
      <c r="C63" s="42">
        <v>2207850</v>
      </c>
      <c r="E63" s="181">
        <v>12381</v>
      </c>
      <c r="F63" s="181"/>
      <c r="G63" s="181">
        <v>13346</v>
      </c>
      <c r="H63" s="42" t="s">
        <v>2738</v>
      </c>
      <c r="I63" s="42" t="s">
        <v>2923</v>
      </c>
      <c r="J63" s="42" t="s">
        <v>845</v>
      </c>
      <c r="K63" s="181">
        <v>12017</v>
      </c>
    </row>
    <row r="64" spans="1:11">
      <c r="A64" s="42" t="s">
        <v>2830</v>
      </c>
      <c r="B64" s="42" t="s">
        <v>2834</v>
      </c>
      <c r="C64" s="42">
        <v>2188628</v>
      </c>
      <c r="E64" s="181">
        <v>12383</v>
      </c>
      <c r="F64" s="181"/>
      <c r="G64" s="181">
        <v>13178</v>
      </c>
      <c r="H64" s="42" t="s">
        <v>2738</v>
      </c>
      <c r="I64" s="42" t="s">
        <v>2925</v>
      </c>
      <c r="J64" s="42" t="s">
        <v>845</v>
      </c>
      <c r="K64" s="181">
        <v>12019</v>
      </c>
    </row>
    <row r="65" spans="1:11">
      <c r="A65" s="42" t="s">
        <v>2830</v>
      </c>
      <c r="B65" s="42" t="s">
        <v>2834</v>
      </c>
      <c r="C65" s="42">
        <v>2156976</v>
      </c>
      <c r="E65" s="181">
        <v>12394</v>
      </c>
      <c r="F65" s="181"/>
      <c r="G65" s="181">
        <v>12905</v>
      </c>
      <c r="H65" s="42" t="s">
        <v>2738</v>
      </c>
      <c r="I65" s="42" t="s">
        <v>2841</v>
      </c>
      <c r="J65" s="42" t="s">
        <v>845</v>
      </c>
      <c r="K65" s="181">
        <v>12013</v>
      </c>
    </row>
    <row r="66" spans="1:11">
      <c r="A66" s="42" t="s">
        <v>2830</v>
      </c>
      <c r="B66" s="42" t="s">
        <v>2834</v>
      </c>
      <c r="C66" s="42">
        <v>2182534</v>
      </c>
      <c r="E66" s="181">
        <v>12396</v>
      </c>
      <c r="F66" s="181"/>
      <c r="G66" s="181">
        <v>13122</v>
      </c>
      <c r="H66" s="42" t="s">
        <v>2738</v>
      </c>
      <c r="I66" s="42" t="s">
        <v>2923</v>
      </c>
      <c r="J66" s="42" t="s">
        <v>845</v>
      </c>
      <c r="K66" s="181">
        <v>12032</v>
      </c>
    </row>
    <row r="67" spans="1:11">
      <c r="A67" s="42" t="s">
        <v>2830</v>
      </c>
      <c r="B67" s="42" t="s">
        <v>2834</v>
      </c>
      <c r="C67" s="42">
        <v>2252059</v>
      </c>
      <c r="E67" s="181">
        <v>12411</v>
      </c>
      <c r="F67" s="181"/>
      <c r="G67" s="181">
        <v>13738</v>
      </c>
      <c r="H67" s="42" t="s">
        <v>2738</v>
      </c>
      <c r="I67" s="42" t="s">
        <v>2862</v>
      </c>
      <c r="J67" s="42" t="s">
        <v>845</v>
      </c>
      <c r="K67" s="181">
        <v>12046</v>
      </c>
    </row>
    <row r="68" spans="1:11">
      <c r="A68" s="42" t="s">
        <v>2830</v>
      </c>
      <c r="B68" s="42" t="s">
        <v>2834</v>
      </c>
      <c r="C68" s="42">
        <v>2207875</v>
      </c>
      <c r="E68" s="181">
        <v>12437</v>
      </c>
      <c r="F68" s="181"/>
      <c r="G68" s="181">
        <v>13346</v>
      </c>
      <c r="H68" s="42" t="s">
        <v>2738</v>
      </c>
      <c r="I68" s="42" t="s">
        <v>2870</v>
      </c>
      <c r="J68" s="42" t="s">
        <v>845</v>
      </c>
      <c r="K68" s="181">
        <v>11900</v>
      </c>
    </row>
    <row r="69" spans="1:11">
      <c r="A69" s="42" t="s">
        <v>2830</v>
      </c>
      <c r="B69" s="42" t="s">
        <v>2834</v>
      </c>
      <c r="C69" s="42">
        <v>2222754</v>
      </c>
      <c r="E69" s="181">
        <v>12437</v>
      </c>
      <c r="F69" s="181"/>
      <c r="G69" s="181">
        <v>13479</v>
      </c>
      <c r="H69" s="42" t="s">
        <v>2738</v>
      </c>
      <c r="I69" s="42" t="s">
        <v>2874</v>
      </c>
      <c r="J69" s="42" t="s">
        <v>845</v>
      </c>
      <c r="K69" s="181">
        <v>11665</v>
      </c>
    </row>
    <row r="70" spans="1:11">
      <c r="A70" s="42" t="s">
        <v>2830</v>
      </c>
      <c r="B70" s="42" t="s">
        <v>2834</v>
      </c>
      <c r="C70" s="42">
        <v>2237077</v>
      </c>
      <c r="E70" s="181">
        <v>12437</v>
      </c>
      <c r="F70" s="181"/>
      <c r="G70" s="181">
        <v>13605</v>
      </c>
      <c r="H70" s="42" t="s">
        <v>2738</v>
      </c>
      <c r="I70" s="42" t="s">
        <v>2918</v>
      </c>
      <c r="J70" s="42" t="s">
        <v>845</v>
      </c>
      <c r="K70" s="181">
        <v>11641</v>
      </c>
    </row>
    <row r="71" spans="1:11">
      <c r="A71" s="42" t="s">
        <v>2830</v>
      </c>
      <c r="B71" s="42" t="s">
        <v>2834</v>
      </c>
      <c r="C71" s="42">
        <v>2137942</v>
      </c>
      <c r="E71" s="181">
        <v>12446</v>
      </c>
      <c r="F71" s="181"/>
      <c r="G71" s="181">
        <v>12744</v>
      </c>
      <c r="H71" s="42" t="s">
        <v>2738</v>
      </c>
      <c r="I71" s="42" t="s">
        <v>2764</v>
      </c>
      <c r="J71" s="42" t="s">
        <v>845</v>
      </c>
      <c r="K71" s="181">
        <v>12083</v>
      </c>
    </row>
    <row r="72" spans="1:11">
      <c r="A72" s="42" t="s">
        <v>2830</v>
      </c>
      <c r="B72" s="42" t="s">
        <v>2834</v>
      </c>
      <c r="C72" s="42">
        <v>2255560</v>
      </c>
      <c r="E72" s="181">
        <v>12464</v>
      </c>
      <c r="F72" s="181"/>
      <c r="G72" s="181">
        <v>13766</v>
      </c>
      <c r="H72" s="42" t="s">
        <v>2738</v>
      </c>
      <c r="I72" s="42" t="s">
        <v>2962</v>
      </c>
      <c r="J72" s="42" t="s">
        <v>845</v>
      </c>
      <c r="K72" s="181">
        <v>12104</v>
      </c>
    </row>
    <row r="73" spans="1:11">
      <c r="A73" s="42" t="s">
        <v>2830</v>
      </c>
      <c r="B73" s="42" t="s">
        <v>2834</v>
      </c>
      <c r="C73" s="42">
        <v>2213357</v>
      </c>
      <c r="E73" s="181">
        <v>12492</v>
      </c>
      <c r="F73" s="181"/>
      <c r="G73" s="181">
        <v>13395</v>
      </c>
      <c r="H73" s="42" t="s">
        <v>2738</v>
      </c>
      <c r="I73" s="42" t="s">
        <v>2862</v>
      </c>
      <c r="J73" s="42" t="s">
        <v>845</v>
      </c>
      <c r="K73" s="181">
        <v>12127</v>
      </c>
    </row>
    <row r="74" spans="1:11">
      <c r="A74" s="42" t="s">
        <v>2830</v>
      </c>
      <c r="B74" s="42" t="s">
        <v>2834</v>
      </c>
      <c r="C74" s="42">
        <v>2197890</v>
      </c>
      <c r="E74" s="181">
        <v>12510</v>
      </c>
      <c r="F74" s="181"/>
      <c r="G74" s="181">
        <v>13262</v>
      </c>
      <c r="H74" s="42" t="s">
        <v>2738</v>
      </c>
      <c r="I74" s="42" t="s">
        <v>2764</v>
      </c>
      <c r="J74" s="42" t="s">
        <v>845</v>
      </c>
      <c r="K74" s="181">
        <v>12146</v>
      </c>
    </row>
    <row r="75" spans="1:11">
      <c r="A75" s="42" t="s">
        <v>2830</v>
      </c>
      <c r="B75" s="42" t="s">
        <v>2834</v>
      </c>
      <c r="C75" s="42">
        <v>2167412</v>
      </c>
      <c r="E75" s="181">
        <v>12514</v>
      </c>
      <c r="F75" s="181"/>
      <c r="G75" s="181">
        <v>12989</v>
      </c>
      <c r="H75" s="42" t="s">
        <v>2738</v>
      </c>
      <c r="I75" s="42" t="s">
        <v>2919</v>
      </c>
      <c r="J75" s="42" t="s">
        <v>845</v>
      </c>
      <c r="K75" s="181">
        <v>11274</v>
      </c>
    </row>
    <row r="76" spans="1:11">
      <c r="A76" s="42" t="s">
        <v>2830</v>
      </c>
      <c r="B76" s="42" t="s">
        <v>2834</v>
      </c>
      <c r="C76" s="42">
        <v>2190390</v>
      </c>
      <c r="E76" s="181">
        <v>12517</v>
      </c>
      <c r="F76" s="181"/>
      <c r="G76" s="181">
        <v>13192</v>
      </c>
      <c r="H76" s="42" t="s">
        <v>2738</v>
      </c>
      <c r="I76" s="42" t="s">
        <v>2926</v>
      </c>
      <c r="J76" s="42" t="s">
        <v>845</v>
      </c>
      <c r="K76" s="181">
        <v>12152</v>
      </c>
    </row>
    <row r="77" spans="1:11">
      <c r="A77" s="42" t="s">
        <v>2830</v>
      </c>
      <c r="B77" s="42" t="s">
        <v>2834</v>
      </c>
      <c r="C77" s="42">
        <v>2190391</v>
      </c>
      <c r="E77" s="181">
        <v>12522</v>
      </c>
      <c r="F77" s="181"/>
      <c r="G77" s="181">
        <v>13192</v>
      </c>
      <c r="H77" s="42" t="s">
        <v>2738</v>
      </c>
      <c r="I77" s="42" t="s">
        <v>2926</v>
      </c>
      <c r="J77" s="42" t="s">
        <v>845</v>
      </c>
      <c r="K77" s="181">
        <v>12159</v>
      </c>
    </row>
    <row r="78" spans="1:11">
      <c r="A78" s="42" t="s">
        <v>2830</v>
      </c>
      <c r="B78" s="42" t="s">
        <v>2834</v>
      </c>
      <c r="C78" s="42">
        <v>2211377</v>
      </c>
      <c r="E78" s="181">
        <v>12522</v>
      </c>
      <c r="F78" s="181"/>
      <c r="G78" s="181">
        <v>13374</v>
      </c>
      <c r="H78" s="42" t="s">
        <v>2738</v>
      </c>
      <c r="I78" s="42" t="s">
        <v>2921</v>
      </c>
      <c r="J78" s="42" t="s">
        <v>845</v>
      </c>
      <c r="K78" s="181">
        <v>12160</v>
      </c>
    </row>
    <row r="79" spans="1:11">
      <c r="A79" s="42" t="s">
        <v>2830</v>
      </c>
      <c r="B79" s="42" t="s">
        <v>2834</v>
      </c>
      <c r="C79" s="42">
        <v>2159142</v>
      </c>
      <c r="E79" s="181">
        <v>12534</v>
      </c>
      <c r="F79" s="181"/>
      <c r="G79" s="181">
        <v>12926</v>
      </c>
      <c r="H79" s="42" t="s">
        <v>2738</v>
      </c>
      <c r="I79" s="42" t="s">
        <v>2765</v>
      </c>
      <c r="J79" s="42" t="s">
        <v>845</v>
      </c>
      <c r="K79" s="181">
        <v>12171</v>
      </c>
    </row>
    <row r="80" spans="1:11">
      <c r="A80" s="42" t="s">
        <v>2830</v>
      </c>
      <c r="B80" s="42" t="s">
        <v>2834</v>
      </c>
      <c r="C80" s="42">
        <v>2225568</v>
      </c>
      <c r="E80" s="181">
        <v>12552</v>
      </c>
      <c r="F80" s="181"/>
      <c r="G80" s="181">
        <v>13500</v>
      </c>
      <c r="H80" s="42" t="s">
        <v>2738</v>
      </c>
      <c r="I80" s="42" t="s">
        <v>2877</v>
      </c>
      <c r="J80" s="42" t="s">
        <v>845</v>
      </c>
      <c r="K80" s="181">
        <v>12188</v>
      </c>
    </row>
    <row r="81" spans="1:11">
      <c r="A81" s="42" t="s">
        <v>2830</v>
      </c>
      <c r="B81" s="42" t="s">
        <v>2834</v>
      </c>
      <c r="C81" s="42">
        <v>2188606</v>
      </c>
      <c r="E81" s="181">
        <v>12554</v>
      </c>
      <c r="F81" s="181"/>
      <c r="G81" s="181">
        <v>13178</v>
      </c>
      <c r="H81" s="42" t="s">
        <v>2738</v>
      </c>
      <c r="I81" s="42" t="s">
        <v>2764</v>
      </c>
      <c r="J81" s="42" t="s">
        <v>845</v>
      </c>
      <c r="K81" s="181">
        <v>11613</v>
      </c>
    </row>
    <row r="82" spans="1:11">
      <c r="A82" s="42" t="s">
        <v>2830</v>
      </c>
      <c r="B82" s="42" t="s">
        <v>2834</v>
      </c>
      <c r="C82" s="42">
        <v>2162862</v>
      </c>
      <c r="E82" s="181">
        <v>12558</v>
      </c>
      <c r="F82" s="181"/>
      <c r="G82" s="181">
        <v>12954</v>
      </c>
      <c r="H82" s="42" t="s">
        <v>2738</v>
      </c>
      <c r="I82" s="42" t="s">
        <v>2916</v>
      </c>
      <c r="J82" s="42" t="s">
        <v>845</v>
      </c>
      <c r="K82" s="181">
        <v>12195</v>
      </c>
    </row>
    <row r="83" spans="1:11">
      <c r="A83" s="42" t="s">
        <v>2830</v>
      </c>
      <c r="B83" s="42" t="s">
        <v>2834</v>
      </c>
      <c r="C83" s="42" t="s">
        <v>2773</v>
      </c>
      <c r="E83" s="181">
        <v>12559</v>
      </c>
      <c r="F83" s="181">
        <v>13493</v>
      </c>
      <c r="G83" s="181">
        <v>13619</v>
      </c>
      <c r="H83" s="42" t="s">
        <v>2738</v>
      </c>
      <c r="I83" s="42" t="s">
        <v>2774</v>
      </c>
      <c r="J83" s="42" t="s">
        <v>845</v>
      </c>
      <c r="K83" s="181">
        <v>12172</v>
      </c>
    </row>
    <row r="84" spans="1:11">
      <c r="A84" s="42" t="s">
        <v>2830</v>
      </c>
      <c r="B84" s="42" t="s">
        <v>2834</v>
      </c>
      <c r="C84" s="42">
        <v>2205548</v>
      </c>
      <c r="E84" s="181">
        <v>12562</v>
      </c>
      <c r="F84" s="181"/>
      <c r="G84" s="181">
        <v>13325</v>
      </c>
      <c r="H84" s="42" t="s">
        <v>2738</v>
      </c>
      <c r="I84" s="42" t="s">
        <v>2863</v>
      </c>
      <c r="J84" s="42" t="s">
        <v>845</v>
      </c>
      <c r="K84" s="181">
        <v>12202</v>
      </c>
    </row>
    <row r="85" spans="1:11">
      <c r="A85" s="42" t="s">
        <v>2830</v>
      </c>
      <c r="B85" s="42" t="s">
        <v>2834</v>
      </c>
      <c r="C85" s="42">
        <v>2294206</v>
      </c>
      <c r="E85" s="181">
        <v>12566</v>
      </c>
      <c r="F85" s="181"/>
      <c r="G85" s="181">
        <v>14116</v>
      </c>
      <c r="H85" s="42" t="s">
        <v>2738</v>
      </c>
      <c r="I85" s="42" t="s">
        <v>3092</v>
      </c>
      <c r="J85" s="42" t="s">
        <v>845</v>
      </c>
      <c r="K85" s="181">
        <v>11312</v>
      </c>
    </row>
    <row r="86" spans="1:11">
      <c r="A86" s="42" t="s">
        <v>2830</v>
      </c>
      <c r="B86" s="42" t="s">
        <v>2834</v>
      </c>
      <c r="C86" s="42">
        <v>2203061</v>
      </c>
      <c r="E86" s="181">
        <v>12569</v>
      </c>
      <c r="F86" s="181"/>
      <c r="G86" s="181">
        <v>13304</v>
      </c>
      <c r="H86" s="42" t="s">
        <v>2738</v>
      </c>
      <c r="I86" s="42" t="s">
        <v>2860</v>
      </c>
      <c r="J86" s="42" t="s">
        <v>845</v>
      </c>
      <c r="K86" s="181">
        <v>11929</v>
      </c>
    </row>
    <row r="87" spans="1:11">
      <c r="A87" s="42" t="s">
        <v>2830</v>
      </c>
      <c r="B87" s="42" t="s">
        <v>2834</v>
      </c>
      <c r="C87" s="42">
        <v>2204292</v>
      </c>
      <c r="E87" s="181">
        <v>12573</v>
      </c>
      <c r="F87" s="181"/>
      <c r="G87" s="181">
        <v>13311</v>
      </c>
      <c r="H87" s="42" t="s">
        <v>2738</v>
      </c>
      <c r="I87" s="42" t="s">
        <v>2862</v>
      </c>
      <c r="J87" s="42" t="s">
        <v>845</v>
      </c>
      <c r="K87" s="181">
        <v>12247</v>
      </c>
    </row>
    <row r="88" spans="1:11">
      <c r="A88" s="42" t="s">
        <v>2830</v>
      </c>
      <c r="B88" s="42" t="s">
        <v>2834</v>
      </c>
      <c r="C88" s="42">
        <v>2217254</v>
      </c>
      <c r="E88" s="181">
        <v>12579</v>
      </c>
      <c r="F88" s="181"/>
      <c r="G88" s="181">
        <v>13430</v>
      </c>
      <c r="H88" s="42" t="s">
        <v>2738</v>
      </c>
      <c r="I88" s="42" t="s">
        <v>2921</v>
      </c>
      <c r="J88" s="42" t="s">
        <v>845</v>
      </c>
      <c r="K88" s="181">
        <v>12216</v>
      </c>
    </row>
    <row r="89" spans="1:11">
      <c r="A89" s="42" t="s">
        <v>2830</v>
      </c>
      <c r="B89" s="42" t="s">
        <v>2834</v>
      </c>
      <c r="C89" s="42">
        <v>2175627</v>
      </c>
      <c r="E89" s="181">
        <v>12580</v>
      </c>
      <c r="F89" s="181"/>
      <c r="G89" s="181">
        <v>13066</v>
      </c>
      <c r="H89" s="42" t="s">
        <v>2738</v>
      </c>
      <c r="I89" s="42" t="s">
        <v>2841</v>
      </c>
      <c r="J89" s="42" t="s">
        <v>845</v>
      </c>
      <c r="K89" s="181">
        <v>12216</v>
      </c>
    </row>
    <row r="90" spans="1:11">
      <c r="A90" s="42" t="s">
        <v>2830</v>
      </c>
      <c r="B90" s="42" t="s">
        <v>2834</v>
      </c>
      <c r="C90" s="42">
        <v>2221144</v>
      </c>
      <c r="E90" s="181">
        <v>12590</v>
      </c>
      <c r="F90" s="181"/>
      <c r="G90" s="181">
        <v>13465</v>
      </c>
      <c r="H90" s="42" t="s">
        <v>2738</v>
      </c>
      <c r="I90" s="42" t="s">
        <v>2921</v>
      </c>
      <c r="J90" s="42" t="s">
        <v>845</v>
      </c>
      <c r="K90" s="181">
        <v>12229</v>
      </c>
    </row>
    <row r="91" spans="1:11">
      <c r="A91" s="42" t="s">
        <v>2830</v>
      </c>
      <c r="B91" s="42" t="s">
        <v>2834</v>
      </c>
      <c r="C91" s="42">
        <v>2245493</v>
      </c>
      <c r="E91" s="181">
        <v>12662</v>
      </c>
      <c r="F91" s="181"/>
      <c r="G91" s="181">
        <v>13675</v>
      </c>
      <c r="H91" s="42" t="s">
        <v>2738</v>
      </c>
      <c r="I91" s="42" t="s">
        <v>2882</v>
      </c>
      <c r="J91" s="42" t="s">
        <v>845</v>
      </c>
      <c r="K91" s="181">
        <v>12321</v>
      </c>
    </row>
    <row r="92" spans="1:11">
      <c r="A92" s="42" t="s">
        <v>2830</v>
      </c>
      <c r="B92" s="42" t="s">
        <v>2834</v>
      </c>
      <c r="C92" s="42">
        <v>2219985</v>
      </c>
      <c r="E92" s="181">
        <v>12691</v>
      </c>
      <c r="F92" s="181"/>
      <c r="G92" s="181">
        <v>13451</v>
      </c>
      <c r="H92" s="42" t="s">
        <v>2738</v>
      </c>
      <c r="I92" s="42" t="s">
        <v>2841</v>
      </c>
      <c r="J92" s="42" t="s">
        <v>845</v>
      </c>
      <c r="K92" s="181">
        <v>12143</v>
      </c>
    </row>
    <row r="93" spans="1:11">
      <c r="A93" s="42" t="s">
        <v>2830</v>
      </c>
      <c r="B93" s="42" t="s">
        <v>2834</v>
      </c>
      <c r="C93" s="42">
        <v>2219998</v>
      </c>
      <c r="E93" s="181">
        <v>12703</v>
      </c>
      <c r="F93" s="181"/>
      <c r="G93" s="181">
        <v>13451</v>
      </c>
      <c r="H93" s="42" t="s">
        <v>2738</v>
      </c>
      <c r="I93" s="42" t="s">
        <v>2872</v>
      </c>
      <c r="J93" s="42" t="s">
        <v>845</v>
      </c>
      <c r="K93" s="181">
        <v>12208</v>
      </c>
    </row>
    <row r="94" spans="1:11">
      <c r="A94" s="42" t="s">
        <v>2830</v>
      </c>
      <c r="B94" s="42" t="s">
        <v>2834</v>
      </c>
      <c r="C94" s="42">
        <v>2255188</v>
      </c>
      <c r="E94" s="181">
        <v>12772</v>
      </c>
      <c r="F94" s="181"/>
      <c r="G94" s="181">
        <v>13766</v>
      </c>
      <c r="H94" s="42" t="s">
        <v>2738</v>
      </c>
      <c r="I94" s="42" t="s">
        <v>2762</v>
      </c>
      <c r="J94" s="42" t="s">
        <v>845</v>
      </c>
      <c r="K94" s="181">
        <v>12452</v>
      </c>
    </row>
    <row r="95" spans="1:11">
      <c r="A95" s="42" t="s">
        <v>2830</v>
      </c>
      <c r="B95" s="42" t="s">
        <v>2834</v>
      </c>
      <c r="C95" s="42">
        <v>2209735</v>
      </c>
      <c r="E95" s="181">
        <v>12802</v>
      </c>
      <c r="F95" s="181"/>
      <c r="G95" s="181">
        <v>13360</v>
      </c>
      <c r="H95" s="42" t="s">
        <v>2738</v>
      </c>
      <c r="I95" s="42" t="s">
        <v>2918</v>
      </c>
      <c r="J95" s="42" t="s">
        <v>845</v>
      </c>
      <c r="K95" s="181">
        <v>12304</v>
      </c>
    </row>
    <row r="96" spans="1:11">
      <c r="A96" s="42" t="s">
        <v>2830</v>
      </c>
      <c r="B96" s="42" t="s">
        <v>2834</v>
      </c>
      <c r="C96" s="42">
        <v>2231439</v>
      </c>
      <c r="E96" s="181">
        <v>12816</v>
      </c>
      <c r="F96" s="181"/>
      <c r="G96" s="181">
        <v>13556</v>
      </c>
      <c r="H96" s="42" t="s">
        <v>2738</v>
      </c>
      <c r="I96" s="42" t="s">
        <v>2879</v>
      </c>
      <c r="J96" s="42" t="s">
        <v>845</v>
      </c>
      <c r="K96" s="181">
        <v>12451</v>
      </c>
    </row>
    <row r="97" spans="1:11">
      <c r="A97" s="42" t="s">
        <v>2830</v>
      </c>
      <c r="B97" s="42" t="s">
        <v>2834</v>
      </c>
      <c r="C97" s="42">
        <v>2226902</v>
      </c>
      <c r="E97" s="181">
        <v>12884</v>
      </c>
      <c r="F97" s="181"/>
      <c r="G97" s="181">
        <v>13514</v>
      </c>
      <c r="H97" s="42" t="s">
        <v>2738</v>
      </c>
      <c r="I97" s="42" t="s">
        <v>2841</v>
      </c>
      <c r="J97" s="42" t="s">
        <v>845</v>
      </c>
      <c r="K97" s="181">
        <v>12522</v>
      </c>
    </row>
    <row r="98" spans="1:11">
      <c r="A98" s="42" t="s">
        <v>2830</v>
      </c>
      <c r="B98" s="42" t="s">
        <v>2834</v>
      </c>
      <c r="C98" s="42">
        <v>2246738</v>
      </c>
      <c r="E98" s="181">
        <v>12892</v>
      </c>
      <c r="F98" s="181"/>
      <c r="G98" s="181">
        <v>13689</v>
      </c>
      <c r="H98" s="42" t="s">
        <v>2738</v>
      </c>
      <c r="I98" s="42" t="s">
        <v>2918</v>
      </c>
      <c r="J98" s="42" t="s">
        <v>845</v>
      </c>
      <c r="K98" s="181">
        <v>12522</v>
      </c>
    </row>
    <row r="99" spans="1:11">
      <c r="A99" s="42" t="s">
        <v>2830</v>
      </c>
      <c r="B99" s="42" t="s">
        <v>2834</v>
      </c>
      <c r="C99" s="42">
        <v>2225014</v>
      </c>
      <c r="E99" s="181">
        <v>12906</v>
      </c>
      <c r="F99" s="181"/>
      <c r="G99" s="181">
        <v>13500</v>
      </c>
      <c r="H99" s="42" t="s">
        <v>2738</v>
      </c>
      <c r="I99" s="42" t="s">
        <v>2876</v>
      </c>
      <c r="J99" s="42" t="s">
        <v>845</v>
      </c>
      <c r="K99" s="181">
        <v>12535</v>
      </c>
    </row>
    <row r="100" spans="1:11">
      <c r="A100" s="42" t="s">
        <v>2830</v>
      </c>
      <c r="B100" s="42" t="s">
        <v>2834</v>
      </c>
      <c r="C100" s="42">
        <v>2233844</v>
      </c>
      <c r="E100" s="181">
        <v>12906</v>
      </c>
      <c r="F100" s="181"/>
      <c r="G100" s="181">
        <v>13577</v>
      </c>
      <c r="H100" s="42" t="s">
        <v>2738</v>
      </c>
      <c r="I100" s="42" t="s">
        <v>2880</v>
      </c>
      <c r="J100" s="42" t="s">
        <v>845</v>
      </c>
      <c r="K100" s="181">
        <v>12556</v>
      </c>
    </row>
    <row r="101" spans="1:11">
      <c r="A101" s="42" t="s">
        <v>2830</v>
      </c>
      <c r="B101" s="42" t="s">
        <v>2834</v>
      </c>
      <c r="C101" s="42">
        <v>2236340</v>
      </c>
      <c r="E101" s="181">
        <v>12906</v>
      </c>
      <c r="F101" s="181"/>
      <c r="G101" s="181">
        <v>13598</v>
      </c>
      <c r="H101" s="42" t="s">
        <v>2738</v>
      </c>
      <c r="I101" s="42" t="s">
        <v>2872</v>
      </c>
      <c r="J101" s="42" t="s">
        <v>845</v>
      </c>
      <c r="K101" s="181">
        <v>12536</v>
      </c>
    </row>
    <row r="102" spans="1:11">
      <c r="A102" s="42" t="s">
        <v>2830</v>
      </c>
      <c r="B102" s="42" t="s">
        <v>2834</v>
      </c>
      <c r="C102" s="42">
        <v>2219964</v>
      </c>
      <c r="E102" s="181">
        <v>12913</v>
      </c>
      <c r="F102" s="181"/>
      <c r="G102" s="181">
        <v>13451</v>
      </c>
      <c r="H102" s="42" t="s">
        <v>2738</v>
      </c>
      <c r="I102" s="42" t="s">
        <v>2871</v>
      </c>
      <c r="J102" s="42" t="s">
        <v>845</v>
      </c>
      <c r="K102" s="181">
        <v>12533</v>
      </c>
    </row>
    <row r="103" spans="1:11">
      <c r="A103" s="42" t="s">
        <v>2830</v>
      </c>
      <c r="B103" s="42" t="s">
        <v>2834</v>
      </c>
      <c r="C103" s="42">
        <v>2237225</v>
      </c>
      <c r="E103" s="181">
        <v>12913</v>
      </c>
      <c r="F103" s="181"/>
      <c r="G103" s="181">
        <v>13605</v>
      </c>
      <c r="H103" s="42" t="s">
        <v>2738</v>
      </c>
      <c r="I103" s="42" t="s">
        <v>2878</v>
      </c>
      <c r="J103" s="42" t="s">
        <v>845</v>
      </c>
      <c r="K103" s="181">
        <v>11666</v>
      </c>
    </row>
    <row r="104" spans="1:11">
      <c r="A104" s="42" t="s">
        <v>2830</v>
      </c>
      <c r="B104" s="42" t="s">
        <v>2834</v>
      </c>
      <c r="C104" s="42">
        <v>2289673</v>
      </c>
      <c r="E104" s="181">
        <v>12913</v>
      </c>
      <c r="F104" s="181"/>
      <c r="G104" s="181">
        <v>14074</v>
      </c>
      <c r="H104" s="42" t="s">
        <v>2738</v>
      </c>
      <c r="I104" s="42" t="s">
        <v>3091</v>
      </c>
      <c r="J104" s="42" t="s">
        <v>845</v>
      </c>
      <c r="K104" s="181">
        <v>12075</v>
      </c>
    </row>
    <row r="105" spans="1:11">
      <c r="A105" s="42" t="s">
        <v>2830</v>
      </c>
      <c r="B105" s="42" t="s">
        <v>2834</v>
      </c>
      <c r="C105" s="42">
        <v>2262173</v>
      </c>
      <c r="E105" s="181">
        <v>12915</v>
      </c>
      <c r="F105" s="181"/>
      <c r="G105" s="181">
        <v>13829</v>
      </c>
      <c r="H105" s="42" t="s">
        <v>2738</v>
      </c>
      <c r="I105" s="42" t="s">
        <v>2765</v>
      </c>
      <c r="J105" s="42" t="s">
        <v>845</v>
      </c>
      <c r="K105" s="181">
        <v>12555</v>
      </c>
    </row>
    <row r="106" spans="1:11">
      <c r="A106" s="42" t="s">
        <v>2830</v>
      </c>
      <c r="B106" s="42" t="s">
        <v>2834</v>
      </c>
      <c r="C106" s="42">
        <v>2278379</v>
      </c>
      <c r="E106" s="181">
        <v>12935</v>
      </c>
      <c r="F106" s="181"/>
      <c r="G106" s="181">
        <v>13969</v>
      </c>
      <c r="H106" s="42" t="s">
        <v>2738</v>
      </c>
      <c r="I106" s="42" t="s">
        <v>2764</v>
      </c>
      <c r="J106" s="42" t="s">
        <v>845</v>
      </c>
      <c r="K106" s="181">
        <v>12151</v>
      </c>
    </row>
    <row r="107" spans="1:11">
      <c r="A107" s="42" t="s">
        <v>2830</v>
      </c>
      <c r="B107" s="42" t="s">
        <v>2834</v>
      </c>
      <c r="C107" s="42">
        <v>2241499</v>
      </c>
      <c r="E107" s="181">
        <v>12940</v>
      </c>
      <c r="F107" s="181"/>
      <c r="G107" s="181">
        <v>13647</v>
      </c>
      <c r="H107" s="42" t="s">
        <v>2738</v>
      </c>
      <c r="I107" s="42" t="s">
        <v>2862</v>
      </c>
      <c r="J107" s="42" t="s">
        <v>845</v>
      </c>
      <c r="K107" s="181">
        <v>12590</v>
      </c>
    </row>
    <row r="108" spans="1:11">
      <c r="A108" s="42" t="s">
        <v>2830</v>
      </c>
      <c r="B108" s="42" t="s">
        <v>2834</v>
      </c>
      <c r="C108" s="42">
        <v>2289330</v>
      </c>
      <c r="E108" s="181">
        <v>12962</v>
      </c>
      <c r="F108" s="181"/>
      <c r="G108" s="181">
        <v>14067</v>
      </c>
      <c r="H108" s="42" t="s">
        <v>2738</v>
      </c>
      <c r="I108" s="42" t="s">
        <v>2765</v>
      </c>
      <c r="J108" s="42" t="s">
        <v>845</v>
      </c>
      <c r="K108" s="181">
        <v>12597</v>
      </c>
    </row>
    <row r="109" spans="1:11">
      <c r="A109" s="42" t="s">
        <v>2830</v>
      </c>
      <c r="B109" s="42" t="s">
        <v>2834</v>
      </c>
      <c r="C109" s="42">
        <v>2290232</v>
      </c>
      <c r="E109" s="181">
        <v>12962</v>
      </c>
      <c r="F109" s="181"/>
      <c r="G109" s="181">
        <v>14081</v>
      </c>
      <c r="H109" s="42" t="s">
        <v>2738</v>
      </c>
      <c r="I109" s="42" t="s">
        <v>2765</v>
      </c>
      <c r="J109" s="42" t="s">
        <v>845</v>
      </c>
      <c r="K109" s="181">
        <v>12599</v>
      </c>
    </row>
    <row r="110" spans="1:11">
      <c r="A110" s="42" t="s">
        <v>2830</v>
      </c>
      <c r="B110" s="42" t="s">
        <v>2834</v>
      </c>
      <c r="C110" s="42">
        <v>2245478</v>
      </c>
      <c r="E110" s="181">
        <v>12964</v>
      </c>
      <c r="F110" s="181"/>
      <c r="G110" s="181">
        <v>13675</v>
      </c>
      <c r="H110" s="42" t="s">
        <v>2738</v>
      </c>
      <c r="I110" s="42" t="s">
        <v>2883</v>
      </c>
      <c r="J110" s="42" t="s">
        <v>845</v>
      </c>
      <c r="K110" s="181">
        <v>12601</v>
      </c>
    </row>
    <row r="111" spans="1:11">
      <c r="A111" s="42" t="s">
        <v>2830</v>
      </c>
      <c r="B111" s="42" t="s">
        <v>2834</v>
      </c>
      <c r="C111" s="42">
        <v>2274443</v>
      </c>
      <c r="E111" s="181">
        <v>12965</v>
      </c>
      <c r="F111" s="181"/>
      <c r="G111" s="181">
        <v>13934</v>
      </c>
      <c r="H111" s="42" t="s">
        <v>2738</v>
      </c>
      <c r="I111" s="42" t="s">
        <v>2765</v>
      </c>
      <c r="J111" s="42" t="s">
        <v>845</v>
      </c>
      <c r="K111" s="181">
        <v>12601</v>
      </c>
    </row>
    <row r="112" spans="1:11">
      <c r="A112" s="42" t="s">
        <v>2830</v>
      </c>
      <c r="B112" s="42" t="s">
        <v>2834</v>
      </c>
      <c r="C112" s="42">
        <v>2238532</v>
      </c>
      <c r="E112" s="181">
        <v>12985</v>
      </c>
      <c r="F112" s="181"/>
      <c r="G112" s="181">
        <v>13619</v>
      </c>
      <c r="H112" s="42" t="s">
        <v>2738</v>
      </c>
      <c r="I112" s="42" t="s">
        <v>2882</v>
      </c>
      <c r="J112" s="42" t="s">
        <v>845</v>
      </c>
      <c r="K112" s="181">
        <v>12733</v>
      </c>
    </row>
    <row r="113" spans="1:11">
      <c r="A113" s="42" t="s">
        <v>2830</v>
      </c>
      <c r="B113" s="42" t="s">
        <v>2834</v>
      </c>
      <c r="C113" s="42">
        <v>2252330</v>
      </c>
      <c r="E113" s="181">
        <v>12985</v>
      </c>
      <c r="F113" s="181"/>
      <c r="G113" s="181">
        <v>13738</v>
      </c>
      <c r="H113" s="42" t="s">
        <v>2738</v>
      </c>
      <c r="I113" s="42" t="s">
        <v>2882</v>
      </c>
      <c r="J113" s="42" t="s">
        <v>845</v>
      </c>
      <c r="K113" s="181">
        <v>12419</v>
      </c>
    </row>
    <row r="114" spans="1:11">
      <c r="A114" s="42" t="s">
        <v>2830</v>
      </c>
      <c r="B114" s="42" t="s">
        <v>2834</v>
      </c>
      <c r="C114" s="42">
        <v>2253119</v>
      </c>
      <c r="E114" s="181">
        <v>12985</v>
      </c>
      <c r="F114" s="181"/>
      <c r="G114" s="181">
        <v>13745</v>
      </c>
      <c r="H114" s="42" t="s">
        <v>2738</v>
      </c>
      <c r="I114" s="42" t="s">
        <v>2885</v>
      </c>
      <c r="J114" s="42" t="s">
        <v>845</v>
      </c>
      <c r="K114" s="181">
        <v>12786</v>
      </c>
    </row>
    <row r="115" spans="1:11">
      <c r="A115" s="42" t="s">
        <v>2830</v>
      </c>
      <c r="B115" s="42" t="s">
        <v>2834</v>
      </c>
      <c r="C115" s="42">
        <v>2272574</v>
      </c>
      <c r="E115" s="181">
        <v>12985</v>
      </c>
      <c r="F115" s="181"/>
      <c r="G115" s="181">
        <v>13920</v>
      </c>
      <c r="H115" s="42" t="s">
        <v>2738</v>
      </c>
      <c r="I115" s="42" t="s">
        <v>2882</v>
      </c>
      <c r="J115" s="42" t="s">
        <v>845</v>
      </c>
      <c r="K115" s="181">
        <v>12853</v>
      </c>
    </row>
    <row r="116" spans="1:11">
      <c r="A116" s="42" t="s">
        <v>2830</v>
      </c>
      <c r="B116" s="42" t="s">
        <v>2834</v>
      </c>
      <c r="C116" s="42">
        <v>2257031</v>
      </c>
      <c r="E116" s="181">
        <v>13014</v>
      </c>
      <c r="F116" s="181"/>
      <c r="G116" s="181">
        <v>13780</v>
      </c>
      <c r="H116" s="42" t="s">
        <v>2738</v>
      </c>
      <c r="I116" s="42" t="s">
        <v>2862</v>
      </c>
      <c r="J116" s="42" t="s">
        <v>845</v>
      </c>
      <c r="K116" s="181">
        <v>12649</v>
      </c>
    </row>
    <row r="117" spans="1:11">
      <c r="A117" s="42" t="s">
        <v>2830</v>
      </c>
      <c r="B117" s="42" t="s">
        <v>2834</v>
      </c>
      <c r="C117" s="42">
        <v>2249901</v>
      </c>
      <c r="E117" s="181">
        <v>13037</v>
      </c>
      <c r="F117" s="181"/>
      <c r="G117" s="181">
        <v>13717</v>
      </c>
      <c r="H117" s="42" t="s">
        <v>2738</v>
      </c>
      <c r="I117" s="42" t="s">
        <v>2884</v>
      </c>
      <c r="J117" s="42" t="s">
        <v>845</v>
      </c>
      <c r="K117" s="181">
        <v>12703</v>
      </c>
    </row>
    <row r="118" spans="1:11">
      <c r="A118" s="42" t="s">
        <v>2830</v>
      </c>
      <c r="B118" s="42" t="s">
        <v>2834</v>
      </c>
      <c r="C118" s="42">
        <v>2234326</v>
      </c>
      <c r="E118" s="181">
        <v>13096</v>
      </c>
      <c r="F118" s="181"/>
      <c r="G118" s="181">
        <v>13584</v>
      </c>
      <c r="H118" s="42" t="s">
        <v>2738</v>
      </c>
      <c r="I118" s="42" t="s">
        <v>2881</v>
      </c>
      <c r="J118" s="42" t="s">
        <v>845</v>
      </c>
      <c r="K118" s="181">
        <v>12696</v>
      </c>
    </row>
    <row r="119" spans="1:11">
      <c r="A119" s="42" t="s">
        <v>2830</v>
      </c>
      <c r="B119" s="42" t="s">
        <v>2834</v>
      </c>
      <c r="C119" s="42">
        <v>2278846</v>
      </c>
      <c r="E119" s="181">
        <v>13105</v>
      </c>
      <c r="F119" s="181"/>
      <c r="G119" s="181">
        <v>13976</v>
      </c>
      <c r="H119" s="42" t="s">
        <v>2738</v>
      </c>
      <c r="I119" s="42" t="s">
        <v>2885</v>
      </c>
      <c r="J119" s="42" t="s">
        <v>845</v>
      </c>
      <c r="K119" s="181">
        <v>12752</v>
      </c>
    </row>
    <row r="120" spans="1:11">
      <c r="A120" s="42" t="s">
        <v>2830</v>
      </c>
      <c r="B120" s="42" t="s">
        <v>2834</v>
      </c>
      <c r="C120" s="42">
        <v>2273600</v>
      </c>
      <c r="E120" s="181">
        <v>13116</v>
      </c>
      <c r="F120" s="181"/>
      <c r="G120" s="181">
        <v>13927</v>
      </c>
      <c r="H120" s="42" t="s">
        <v>2738</v>
      </c>
      <c r="I120" s="42" t="s">
        <v>3089</v>
      </c>
      <c r="J120" s="42" t="s">
        <v>845</v>
      </c>
      <c r="K120" s="181">
        <v>12717</v>
      </c>
    </row>
    <row r="121" spans="1:11">
      <c r="A121" s="42" t="s">
        <v>2830</v>
      </c>
      <c r="B121" s="42" t="s">
        <v>2834</v>
      </c>
      <c r="C121" s="42">
        <v>2292451</v>
      </c>
      <c r="E121" s="181">
        <v>13139</v>
      </c>
      <c r="F121" s="181"/>
      <c r="G121" s="181">
        <v>14102</v>
      </c>
      <c r="H121" s="42" t="s">
        <v>2738</v>
      </c>
      <c r="I121" s="42" t="s">
        <v>2764</v>
      </c>
      <c r="J121" s="42" t="s">
        <v>845</v>
      </c>
      <c r="K121" s="181">
        <v>12782</v>
      </c>
    </row>
    <row r="122" spans="1:11">
      <c r="A122" s="42" t="s">
        <v>2830</v>
      </c>
      <c r="B122" s="42" t="s">
        <v>2834</v>
      </c>
      <c r="C122" s="42">
        <v>2247983</v>
      </c>
      <c r="E122" s="181">
        <v>13214</v>
      </c>
      <c r="F122" s="181"/>
      <c r="G122" s="181">
        <v>13696</v>
      </c>
      <c r="H122" s="42" t="s">
        <v>2738</v>
      </c>
      <c r="I122" s="42" t="s">
        <v>2862</v>
      </c>
      <c r="J122" s="42" t="s">
        <v>845</v>
      </c>
      <c r="K122" s="181">
        <v>12776</v>
      </c>
    </row>
    <row r="123" spans="1:11">
      <c r="A123" s="42" t="s">
        <v>2830</v>
      </c>
      <c r="B123" s="42" t="s">
        <v>2834</v>
      </c>
      <c r="C123" s="42">
        <v>2328747</v>
      </c>
      <c r="E123" s="181">
        <v>13214</v>
      </c>
      <c r="F123" s="181"/>
      <c r="G123" s="181">
        <v>14494</v>
      </c>
      <c r="H123" s="42" t="s">
        <v>250</v>
      </c>
      <c r="I123" s="42" t="s">
        <v>2964</v>
      </c>
      <c r="J123" s="42" t="s">
        <v>845</v>
      </c>
      <c r="K123" s="181">
        <v>11662</v>
      </c>
    </row>
    <row r="124" spans="1:11">
      <c r="A124" s="42" t="s">
        <v>2830</v>
      </c>
      <c r="B124" s="42" t="s">
        <v>2834</v>
      </c>
      <c r="C124" s="42">
        <v>2230537</v>
      </c>
      <c r="E124" s="181">
        <v>13229</v>
      </c>
      <c r="F124" s="181"/>
      <c r="G124" s="181">
        <v>13549</v>
      </c>
      <c r="H124" s="42" t="s">
        <v>2738</v>
      </c>
      <c r="I124" s="42" t="s">
        <v>2878</v>
      </c>
      <c r="J124" s="42" t="s">
        <v>845</v>
      </c>
      <c r="K124" s="181">
        <v>12821</v>
      </c>
    </row>
    <row r="125" spans="1:11">
      <c r="A125" s="42" t="s">
        <v>2830</v>
      </c>
      <c r="B125" s="42" t="s">
        <v>2834</v>
      </c>
      <c r="C125" s="42">
        <v>2287754</v>
      </c>
      <c r="E125" s="181">
        <v>13242</v>
      </c>
      <c r="F125" s="181"/>
      <c r="G125" s="181">
        <v>14053</v>
      </c>
      <c r="H125" s="42" t="s">
        <v>2738</v>
      </c>
      <c r="I125" s="42" t="s">
        <v>2862</v>
      </c>
      <c r="J125" s="42" t="s">
        <v>845</v>
      </c>
      <c r="K125" s="181">
        <v>12752</v>
      </c>
    </row>
    <row r="126" spans="1:11">
      <c r="A126" s="42" t="s">
        <v>2830</v>
      </c>
      <c r="B126" s="42" t="s">
        <v>2834</v>
      </c>
      <c r="C126" s="42">
        <v>2283720</v>
      </c>
      <c r="E126" s="181">
        <v>13252</v>
      </c>
      <c r="F126" s="181"/>
      <c r="G126" s="181">
        <v>14018</v>
      </c>
      <c r="H126" s="42" t="s">
        <v>2738</v>
      </c>
      <c r="I126" s="42" t="s">
        <v>2923</v>
      </c>
      <c r="J126" s="42" t="s">
        <v>845</v>
      </c>
      <c r="K126" s="181">
        <v>11946</v>
      </c>
    </row>
    <row r="127" spans="1:11">
      <c r="A127" s="42" t="s">
        <v>2830</v>
      </c>
      <c r="B127" s="42" t="s">
        <v>2834</v>
      </c>
      <c r="C127" s="42">
        <v>2270999</v>
      </c>
      <c r="E127" s="181">
        <v>13257</v>
      </c>
      <c r="F127" s="181"/>
      <c r="G127" s="181">
        <v>13906</v>
      </c>
      <c r="H127" s="42" t="s">
        <v>2738</v>
      </c>
      <c r="I127" s="42" t="s">
        <v>3088</v>
      </c>
      <c r="J127" s="42" t="s">
        <v>845</v>
      </c>
      <c r="K127" s="181">
        <v>12752</v>
      </c>
    </row>
    <row r="128" spans="1:11">
      <c r="A128" s="42" t="s">
        <v>2830</v>
      </c>
      <c r="B128" s="42" t="s">
        <v>2834</v>
      </c>
      <c r="C128" s="42">
        <v>2269374</v>
      </c>
      <c r="E128" s="181">
        <v>13265</v>
      </c>
      <c r="F128" s="181"/>
      <c r="G128" s="181">
        <v>13885</v>
      </c>
      <c r="H128" s="42" t="s">
        <v>2738</v>
      </c>
      <c r="I128" s="42" t="s">
        <v>2963</v>
      </c>
      <c r="J128" s="42" t="s">
        <v>845</v>
      </c>
      <c r="K128" s="181">
        <v>12900</v>
      </c>
    </row>
    <row r="129" spans="1:11">
      <c r="A129" s="42" t="s">
        <v>2830</v>
      </c>
      <c r="B129" s="42" t="s">
        <v>2834</v>
      </c>
      <c r="C129" s="42">
        <v>2287755</v>
      </c>
      <c r="E129" s="181">
        <v>13265</v>
      </c>
      <c r="F129" s="181"/>
      <c r="G129" s="181">
        <v>14053</v>
      </c>
      <c r="H129" s="42" t="s">
        <v>2738</v>
      </c>
      <c r="I129" s="42" t="s">
        <v>2862</v>
      </c>
      <c r="J129" s="42" t="s">
        <v>845</v>
      </c>
      <c r="K129" s="181">
        <v>12752</v>
      </c>
    </row>
    <row r="130" spans="1:11">
      <c r="A130" s="42" t="s">
        <v>2830</v>
      </c>
      <c r="B130" s="42" t="s">
        <v>2834</v>
      </c>
      <c r="C130" s="42">
        <v>2300562</v>
      </c>
      <c r="E130" s="181">
        <v>13277</v>
      </c>
      <c r="F130" s="181"/>
      <c r="G130" s="181">
        <v>14186</v>
      </c>
      <c r="H130" s="42" t="s">
        <v>2738</v>
      </c>
      <c r="I130" s="42" t="s">
        <v>2925</v>
      </c>
      <c r="J130" s="42" t="s">
        <v>845</v>
      </c>
      <c r="K130" s="181">
        <v>12872</v>
      </c>
    </row>
    <row r="131" spans="1:11">
      <c r="A131" s="42" t="s">
        <v>2830</v>
      </c>
      <c r="B131" s="42" t="s">
        <v>2834</v>
      </c>
      <c r="C131" s="42">
        <v>2283746</v>
      </c>
      <c r="E131" s="181">
        <v>13285</v>
      </c>
      <c r="F131" s="181"/>
      <c r="G131" s="181">
        <v>14018</v>
      </c>
      <c r="H131" s="42" t="s">
        <v>2738</v>
      </c>
      <c r="I131" s="42" t="s">
        <v>3090</v>
      </c>
      <c r="J131" s="42" t="s">
        <v>845</v>
      </c>
      <c r="K131" s="181">
        <v>12907</v>
      </c>
    </row>
    <row r="132" spans="1:11">
      <c r="A132" s="42" t="s">
        <v>2830</v>
      </c>
      <c r="B132" s="42" t="s">
        <v>2834</v>
      </c>
      <c r="C132" s="42">
        <v>2338979</v>
      </c>
      <c r="E132" s="181">
        <v>13355</v>
      </c>
      <c r="F132" s="181"/>
      <c r="G132" s="181">
        <v>14620</v>
      </c>
      <c r="H132" s="42" t="s">
        <v>2738</v>
      </c>
      <c r="I132" s="42" t="s">
        <v>2965</v>
      </c>
      <c r="J132" s="42" t="s">
        <v>845</v>
      </c>
      <c r="K132" s="181">
        <v>12892</v>
      </c>
    </row>
    <row r="133" spans="1:11">
      <c r="A133" s="42" t="s">
        <v>2830</v>
      </c>
      <c r="B133" s="42" t="s">
        <v>2834</v>
      </c>
      <c r="C133" s="42">
        <v>2278396</v>
      </c>
      <c r="E133" s="181">
        <v>13763</v>
      </c>
      <c r="F133" s="181"/>
      <c r="G133" s="181">
        <v>13969</v>
      </c>
      <c r="I133" s="42" t="s">
        <v>2922</v>
      </c>
      <c r="J133" s="42" t="s">
        <v>845</v>
      </c>
      <c r="K133" s="181">
        <v>13059</v>
      </c>
    </row>
    <row r="134" spans="1:11">
      <c r="A134" s="42" t="s">
        <v>2830</v>
      </c>
      <c r="B134" s="42" t="s">
        <v>2834</v>
      </c>
      <c r="C134" s="42">
        <v>2365439</v>
      </c>
      <c r="E134" s="181">
        <v>13860</v>
      </c>
      <c r="F134" s="181"/>
      <c r="G134" s="181">
        <v>14963</v>
      </c>
      <c r="H134" s="42" t="s">
        <v>250</v>
      </c>
      <c r="I134" s="42" t="s">
        <v>2967</v>
      </c>
      <c r="J134" s="42" t="s">
        <v>845</v>
      </c>
      <c r="K134" s="181">
        <v>13030</v>
      </c>
    </row>
    <row r="135" spans="1:11">
      <c r="E135" s="181"/>
      <c r="F135" s="181"/>
      <c r="G135" s="181"/>
      <c r="K135" s="181"/>
    </row>
    <row r="136" spans="1:11">
      <c r="A136" s="42" t="s">
        <v>2830</v>
      </c>
      <c r="B136" s="42" t="s">
        <v>2775</v>
      </c>
      <c r="D136" s="42">
        <v>113589</v>
      </c>
      <c r="E136" s="181"/>
      <c r="F136" s="181"/>
      <c r="G136" s="181"/>
      <c r="K136" s="181"/>
    </row>
    <row r="137" spans="1:11">
      <c r="A137" s="42" t="s">
        <v>2830</v>
      </c>
      <c r="B137" s="42" t="s">
        <v>2775</v>
      </c>
      <c r="D137" s="42">
        <v>135129</v>
      </c>
      <c r="E137" s="181"/>
      <c r="F137" s="181"/>
      <c r="G137" s="181"/>
      <c r="K137" s="181"/>
    </row>
    <row r="138" spans="1:11">
      <c r="A138" s="42" t="s">
        <v>2830</v>
      </c>
      <c r="B138" s="42" t="s">
        <v>2775</v>
      </c>
      <c r="D138" s="42">
        <v>147608</v>
      </c>
      <c r="E138" s="181"/>
      <c r="F138" s="181"/>
      <c r="G138" s="181"/>
      <c r="K138" s="181"/>
    </row>
    <row r="139" spans="1:11">
      <c r="A139" s="42" t="s">
        <v>2830</v>
      </c>
      <c r="B139" s="42" t="s">
        <v>2775</v>
      </c>
      <c r="D139" s="42">
        <v>148818</v>
      </c>
      <c r="E139" s="181"/>
      <c r="F139" s="181"/>
      <c r="G139" s="181"/>
      <c r="K139" s="181"/>
    </row>
    <row r="140" spans="1:11">
      <c r="A140" s="42" t="s">
        <v>2830</v>
      </c>
      <c r="B140" s="42" t="s">
        <v>2775</v>
      </c>
      <c r="D140" s="42">
        <v>164086</v>
      </c>
      <c r="E140" s="181"/>
      <c r="F140" s="181"/>
      <c r="G140" s="181"/>
      <c r="K140" s="181"/>
    </row>
    <row r="141" spans="1:11">
      <c r="A141" s="42" t="s">
        <v>2830</v>
      </c>
      <c r="B141" s="42" t="s">
        <v>2775</v>
      </c>
      <c r="D141" s="42">
        <v>165601</v>
      </c>
      <c r="E141" s="181"/>
      <c r="F141" s="181"/>
      <c r="G141" s="181"/>
      <c r="K141" s="181"/>
    </row>
    <row r="142" spans="1:11">
      <c r="A142" s="42" t="s">
        <v>2830</v>
      </c>
      <c r="B142" s="42" t="s">
        <v>2775</v>
      </c>
      <c r="D142" s="42">
        <v>168530</v>
      </c>
      <c r="E142" s="181"/>
      <c r="F142" s="181"/>
      <c r="G142" s="181"/>
      <c r="K142" s="181"/>
    </row>
    <row r="143" spans="1:11">
      <c r="A143" s="42" t="s">
        <v>2830</v>
      </c>
      <c r="B143" s="42" t="s">
        <v>2775</v>
      </c>
      <c r="D143" s="42">
        <v>168678</v>
      </c>
      <c r="E143" s="181"/>
      <c r="F143" s="181"/>
      <c r="G143" s="181"/>
      <c r="K143" s="181"/>
    </row>
    <row r="144" spans="1:11">
      <c r="A144" s="42" t="s">
        <v>2830</v>
      </c>
      <c r="B144" s="42" t="s">
        <v>2775</v>
      </c>
      <c r="D144" s="42">
        <v>176370</v>
      </c>
      <c r="E144" s="181"/>
      <c r="F144" s="181"/>
      <c r="G144" s="181"/>
      <c r="K144" s="181"/>
    </row>
    <row r="145" spans="1:11">
      <c r="A145" s="42" t="s">
        <v>2830</v>
      </c>
      <c r="B145" s="42" t="s">
        <v>2775</v>
      </c>
      <c r="D145" s="42">
        <v>177836</v>
      </c>
      <c r="E145" s="181"/>
      <c r="F145" s="181"/>
      <c r="G145" s="181"/>
      <c r="K145" s="181"/>
    </row>
    <row r="146" spans="1:11">
      <c r="A146" s="42" t="s">
        <v>2830</v>
      </c>
      <c r="B146" s="42" t="s">
        <v>2775</v>
      </c>
      <c r="D146" s="42">
        <v>178002</v>
      </c>
      <c r="E146" s="181"/>
      <c r="F146" s="181"/>
      <c r="G146" s="181"/>
      <c r="K146" s="181"/>
    </row>
    <row r="147" spans="1:11">
      <c r="A147" s="42" t="s">
        <v>2830</v>
      </c>
      <c r="B147" s="42" t="s">
        <v>2775</v>
      </c>
      <c r="D147" s="42">
        <v>191555</v>
      </c>
      <c r="E147" s="181"/>
      <c r="F147" s="181"/>
      <c r="G147" s="181"/>
      <c r="K147" s="181"/>
    </row>
    <row r="148" spans="1:11">
      <c r="A148" s="42" t="s">
        <v>2830</v>
      </c>
      <c r="B148" s="42" t="s">
        <v>2775</v>
      </c>
      <c r="D148" s="42">
        <v>200204</v>
      </c>
      <c r="E148" s="181"/>
      <c r="F148" s="181"/>
      <c r="G148" s="181"/>
      <c r="K148" s="181"/>
    </row>
    <row r="149" spans="1:11">
      <c r="A149" s="42" t="s">
        <v>2830</v>
      </c>
      <c r="B149" s="42" t="s">
        <v>2775</v>
      </c>
      <c r="D149" s="42">
        <v>203949</v>
      </c>
      <c r="E149" s="181"/>
      <c r="F149" s="181"/>
      <c r="G149" s="181"/>
      <c r="K149" s="181"/>
    </row>
    <row r="150" spans="1:11">
      <c r="A150" s="42" t="s">
        <v>2830</v>
      </c>
      <c r="B150" s="42" t="s">
        <v>2775</v>
      </c>
      <c r="D150" s="42">
        <v>207639</v>
      </c>
      <c r="E150" s="181"/>
      <c r="F150" s="181"/>
      <c r="G150" s="181"/>
      <c r="K150" s="181"/>
    </row>
    <row r="151" spans="1:11">
      <c r="A151" s="42" t="s">
        <v>2830</v>
      </c>
      <c r="B151" s="42" t="s">
        <v>2775</v>
      </c>
      <c r="D151" s="42">
        <v>211962</v>
      </c>
      <c r="E151" s="181"/>
      <c r="F151" s="181"/>
      <c r="G151" s="181"/>
      <c r="K151" s="181"/>
    </row>
    <row r="152" spans="1:11">
      <c r="A152" s="42" t="s">
        <v>2830</v>
      </c>
      <c r="B152" s="42" t="s">
        <v>2775</v>
      </c>
      <c r="D152" s="42">
        <v>214156</v>
      </c>
      <c r="E152" s="181"/>
      <c r="F152" s="181"/>
      <c r="G152" s="181"/>
      <c r="K152" s="181"/>
    </row>
    <row r="153" spans="1:11">
      <c r="A153" s="42" t="s">
        <v>2830</v>
      </c>
      <c r="B153" s="42" t="s">
        <v>2775</v>
      </c>
      <c r="D153" s="42">
        <v>228061</v>
      </c>
      <c r="E153" s="181"/>
      <c r="F153" s="181"/>
      <c r="G153" s="181"/>
      <c r="K153" s="181"/>
    </row>
    <row r="154" spans="1:11">
      <c r="A154" s="42" t="s">
        <v>2830</v>
      </c>
      <c r="B154" s="42" t="s">
        <v>2775</v>
      </c>
      <c r="D154" s="42">
        <v>242392</v>
      </c>
      <c r="E154" s="181"/>
      <c r="F154" s="181"/>
      <c r="G154" s="181"/>
      <c r="K154" s="181"/>
    </row>
    <row r="155" spans="1:11">
      <c r="A155" s="42" t="s">
        <v>2830</v>
      </c>
      <c r="B155" s="42" t="s">
        <v>2775</v>
      </c>
      <c r="D155" s="42">
        <v>247524</v>
      </c>
      <c r="E155" s="181"/>
      <c r="F155" s="181"/>
      <c r="G155" s="181"/>
      <c r="K155" s="181"/>
    </row>
    <row r="156" spans="1:11">
      <c r="A156" s="42" t="s">
        <v>2830</v>
      </c>
      <c r="B156" s="42" t="s">
        <v>2775</v>
      </c>
      <c r="D156" s="42">
        <v>258116</v>
      </c>
      <c r="E156" s="181"/>
      <c r="F156" s="181"/>
      <c r="G156" s="181"/>
      <c r="K156" s="181"/>
    </row>
    <row r="157" spans="1:11">
      <c r="A157" s="42" t="s">
        <v>2830</v>
      </c>
      <c r="B157" s="42" t="s">
        <v>2775</v>
      </c>
      <c r="D157" s="42">
        <v>285450</v>
      </c>
      <c r="E157" s="181"/>
      <c r="F157" s="181"/>
      <c r="G157" s="181"/>
      <c r="K157" s="181"/>
    </row>
    <row r="158" spans="1:11">
      <c r="A158" s="42" t="s">
        <v>2830</v>
      </c>
      <c r="B158" s="42" t="s">
        <v>2775</v>
      </c>
      <c r="D158" s="42">
        <v>285510</v>
      </c>
      <c r="E158" s="181"/>
      <c r="F158" s="181"/>
      <c r="G158" s="181"/>
      <c r="K158" s="181"/>
    </row>
    <row r="159" spans="1:11">
      <c r="A159" s="42" t="s">
        <v>2830</v>
      </c>
      <c r="B159" s="42" t="s">
        <v>2775</v>
      </c>
      <c r="D159" s="42">
        <v>288670</v>
      </c>
      <c r="E159" s="181"/>
      <c r="F159" s="181"/>
      <c r="G159" s="181"/>
      <c r="K159" s="181"/>
    </row>
    <row r="160" spans="1:11">
      <c r="A160" s="42" t="s">
        <v>2830</v>
      </c>
      <c r="B160" s="42" t="s">
        <v>2775</v>
      </c>
      <c r="D160" s="42">
        <v>298514</v>
      </c>
      <c r="E160" s="181"/>
      <c r="F160" s="181"/>
      <c r="G160" s="181"/>
      <c r="K160" s="181"/>
    </row>
    <row r="161" spans="1:11">
      <c r="A161" s="42" t="s">
        <v>2830</v>
      </c>
      <c r="B161" s="42" t="s">
        <v>2775</v>
      </c>
      <c r="D161" s="42">
        <v>303734</v>
      </c>
      <c r="E161" s="181">
        <v>13097</v>
      </c>
      <c r="F161" s="181"/>
      <c r="G161" s="181">
        <v>12732</v>
      </c>
      <c r="H161" s="42" t="s">
        <v>247</v>
      </c>
      <c r="I161" s="42" t="s">
        <v>2765</v>
      </c>
      <c r="J161" s="42" t="s">
        <v>845</v>
      </c>
      <c r="K161" s="181">
        <v>12732</v>
      </c>
    </row>
    <row r="162" spans="1:11">
      <c r="A162" s="42" t="s">
        <v>2830</v>
      </c>
      <c r="B162" s="42" t="s">
        <v>2775</v>
      </c>
      <c r="D162" s="42">
        <v>325062</v>
      </c>
      <c r="E162" s="181"/>
      <c r="F162" s="181"/>
      <c r="G162" s="181"/>
      <c r="K162" s="181"/>
    </row>
    <row r="163" spans="1:11">
      <c r="A163" s="42" t="s">
        <v>2830</v>
      </c>
      <c r="B163" s="42" t="s">
        <v>2775</v>
      </c>
      <c r="D163" s="42">
        <v>335638</v>
      </c>
      <c r="E163" s="181">
        <v>13285</v>
      </c>
      <c r="F163" s="181"/>
      <c r="G163" s="181">
        <v>16629</v>
      </c>
      <c r="H163" s="42" t="s">
        <v>247</v>
      </c>
      <c r="I163" s="42" t="s">
        <v>3090</v>
      </c>
      <c r="J163" s="42" t="s">
        <v>845</v>
      </c>
      <c r="K163" s="181">
        <v>12908</v>
      </c>
    </row>
    <row r="164" spans="1:11">
      <c r="A164" s="42" t="s">
        <v>2830</v>
      </c>
      <c r="B164" s="42" t="s">
        <v>2775</v>
      </c>
      <c r="D164" s="42">
        <v>341211</v>
      </c>
      <c r="E164" s="181"/>
      <c r="F164" s="181"/>
      <c r="G164" s="181"/>
      <c r="K164" s="181"/>
    </row>
    <row r="165" spans="1:11">
      <c r="A165" s="42" t="s">
        <v>2830</v>
      </c>
      <c r="B165" s="42" t="s">
        <v>2775</v>
      </c>
      <c r="D165" s="42">
        <v>344580</v>
      </c>
      <c r="E165" s="181"/>
      <c r="F165" s="181"/>
      <c r="G165" s="181"/>
      <c r="K165" s="181"/>
    </row>
    <row r="166" spans="1:11">
      <c r="A166" s="42" t="s">
        <v>2830</v>
      </c>
      <c r="B166" s="42" t="s">
        <v>2775</v>
      </c>
      <c r="D166" s="42">
        <v>346060</v>
      </c>
      <c r="E166" s="181"/>
      <c r="F166" s="181"/>
      <c r="G166" s="181"/>
      <c r="K166" s="181"/>
    </row>
    <row r="167" spans="1:11">
      <c r="A167" s="42" t="s">
        <v>2830</v>
      </c>
      <c r="B167" s="42" t="s">
        <v>2775</v>
      </c>
      <c r="D167" s="42">
        <v>381604</v>
      </c>
      <c r="E167" s="181"/>
      <c r="F167" s="181"/>
      <c r="G167" s="181"/>
      <c r="K167" s="181"/>
    </row>
    <row r="168" spans="1:11">
      <c r="A168" s="42" t="s">
        <v>2830</v>
      </c>
      <c r="B168" s="42" t="s">
        <v>2712</v>
      </c>
      <c r="C168" s="42">
        <v>1733234</v>
      </c>
      <c r="E168" s="181">
        <v>8187</v>
      </c>
      <c r="F168" s="181"/>
      <c r="G168" s="181">
        <v>9433</v>
      </c>
      <c r="I168" s="42" t="s">
        <v>2713</v>
      </c>
      <c r="J168" s="42" t="s">
        <v>2714</v>
      </c>
      <c r="K168" s="181">
        <v>7826</v>
      </c>
    </row>
    <row r="169" spans="1:11">
      <c r="A169" s="42" t="s">
        <v>2830</v>
      </c>
      <c r="B169" s="42" t="s">
        <v>2712</v>
      </c>
      <c r="C169" s="42">
        <v>1940434</v>
      </c>
      <c r="E169" s="181">
        <v>10338</v>
      </c>
      <c r="F169" s="181"/>
      <c r="G169" s="181">
        <v>10945</v>
      </c>
      <c r="I169" s="42" t="s">
        <v>2713</v>
      </c>
      <c r="J169" s="42" t="s">
        <v>2714</v>
      </c>
      <c r="K169" s="181">
        <v>9979</v>
      </c>
    </row>
    <row r="170" spans="1:11">
      <c r="A170" s="42" t="s">
        <v>2830</v>
      </c>
      <c r="B170" s="42" t="s">
        <v>2715</v>
      </c>
      <c r="D170" s="42">
        <v>124358</v>
      </c>
      <c r="E170" s="181"/>
      <c r="F170" s="181"/>
      <c r="G170" s="181"/>
      <c r="K170" s="181"/>
    </row>
    <row r="171" spans="1:11">
      <c r="E171" s="181"/>
      <c r="F171" s="181"/>
      <c r="G171" s="181"/>
      <c r="K171" s="181"/>
    </row>
    <row r="172" spans="1:11">
      <c r="A172" s="42" t="s">
        <v>3222</v>
      </c>
      <c r="E172" s="181"/>
      <c r="F172" s="181"/>
      <c r="G172" s="181"/>
      <c r="K172" s="181"/>
    </row>
    <row r="173" spans="1:11">
      <c r="A173" s="369" t="s">
        <v>2830</v>
      </c>
      <c r="B173" s="369" t="s">
        <v>2716</v>
      </c>
      <c r="C173" s="369">
        <v>1740221</v>
      </c>
      <c r="D173"/>
      <c r="E173" s="368" t="s">
        <v>2782</v>
      </c>
      <c r="F173" s="368"/>
      <c r="G173" s="368">
        <v>9482</v>
      </c>
      <c r="H173" t="s">
        <v>2717</v>
      </c>
      <c r="I173" t="s">
        <v>2780</v>
      </c>
      <c r="J173" s="368" t="s">
        <v>2781</v>
      </c>
      <c r="K173" s="368">
        <v>7932</v>
      </c>
    </row>
    <row r="174" spans="1:11">
      <c r="A174" s="220" t="s">
        <v>2830</v>
      </c>
      <c r="B174" s="220" t="s">
        <v>2716</v>
      </c>
      <c r="C174" s="220">
        <v>1419993</v>
      </c>
      <c r="E174" s="181">
        <v>4509</v>
      </c>
      <c r="F174" s="181"/>
      <c r="G174" s="181">
        <v>6745</v>
      </c>
      <c r="H174" s="42" t="s">
        <v>2717</v>
      </c>
      <c r="I174" s="42" t="s">
        <v>2718</v>
      </c>
      <c r="K174" s="181"/>
    </row>
    <row r="175" spans="1:11">
      <c r="A175" s="220" t="s">
        <v>2830</v>
      </c>
      <c r="B175" s="220" t="s">
        <v>2716</v>
      </c>
      <c r="C175" s="220">
        <v>1465668</v>
      </c>
      <c r="E175" s="181">
        <v>4509</v>
      </c>
      <c r="F175" s="181"/>
      <c r="G175" s="181">
        <v>6745</v>
      </c>
      <c r="H175" s="42" t="s">
        <v>2717</v>
      </c>
      <c r="I175" s="42" t="s">
        <v>2718</v>
      </c>
      <c r="K175" s="181"/>
    </row>
    <row r="176" spans="1:11">
      <c r="A176" s="220" t="s">
        <v>2830</v>
      </c>
      <c r="B176" s="220" t="s">
        <v>2716</v>
      </c>
      <c r="C176" s="220">
        <v>1553130</v>
      </c>
      <c r="E176" s="181">
        <v>4577</v>
      </c>
      <c r="F176" s="181"/>
      <c r="G176" s="181">
        <v>7921</v>
      </c>
      <c r="H176" s="42" t="s">
        <v>2717</v>
      </c>
      <c r="I176" s="189" t="s">
        <v>2720</v>
      </c>
      <c r="K176" s="181"/>
    </row>
    <row r="177" spans="1:11">
      <c r="A177" s="220" t="s">
        <v>2830</v>
      </c>
      <c r="B177" s="220" t="s">
        <v>2716</v>
      </c>
      <c r="C177" s="220">
        <v>1505763</v>
      </c>
      <c r="E177" s="181">
        <v>5044</v>
      </c>
      <c r="F177" s="181"/>
      <c r="G177" s="181">
        <v>7536</v>
      </c>
      <c r="H177" s="42" t="s">
        <v>2717</v>
      </c>
      <c r="I177" s="189" t="s">
        <v>2720</v>
      </c>
      <c r="K177" s="181"/>
    </row>
    <row r="178" spans="1:11">
      <c r="A178" s="220" t="s">
        <v>2830</v>
      </c>
      <c r="B178" s="220" t="s">
        <v>2716</v>
      </c>
      <c r="C178" s="220">
        <v>1532697</v>
      </c>
      <c r="E178" s="181">
        <v>5289</v>
      </c>
      <c r="F178" s="181"/>
      <c r="G178" s="181">
        <v>7767</v>
      </c>
      <c r="H178" s="42" t="s">
        <v>2717</v>
      </c>
      <c r="I178" s="189" t="s">
        <v>2778</v>
      </c>
      <c r="K178" s="181"/>
    </row>
    <row r="179" spans="1:11">
      <c r="A179" s="220" t="s">
        <v>2830</v>
      </c>
      <c r="B179" s="220" t="s">
        <v>2716</v>
      </c>
      <c r="C179" s="220">
        <v>1543975</v>
      </c>
      <c r="E179" s="181">
        <v>5415</v>
      </c>
      <c r="F179" s="181"/>
      <c r="G179" s="181">
        <v>7851</v>
      </c>
      <c r="H179" s="42" t="s">
        <v>2717</v>
      </c>
      <c r="I179" s="189" t="s">
        <v>2720</v>
      </c>
      <c r="K179" s="181"/>
    </row>
    <row r="180" spans="1:11">
      <c r="A180" s="220" t="s">
        <v>2830</v>
      </c>
      <c r="B180" s="220" t="s">
        <v>2716</v>
      </c>
      <c r="C180" s="220">
        <v>1562806</v>
      </c>
      <c r="E180" s="181">
        <v>5811</v>
      </c>
      <c r="F180" s="181"/>
      <c r="G180" s="181">
        <v>7998</v>
      </c>
      <c r="H180" s="42" t="s">
        <v>2717</v>
      </c>
      <c r="I180" s="189" t="s">
        <v>2718</v>
      </c>
      <c r="K180" s="181"/>
    </row>
    <row r="181" spans="1:11">
      <c r="A181" s="220" t="s">
        <v>2830</v>
      </c>
      <c r="B181" s="220" t="s">
        <v>2716</v>
      </c>
      <c r="C181" s="220">
        <v>1510293</v>
      </c>
      <c r="E181" s="181">
        <v>6111</v>
      </c>
      <c r="F181" s="181"/>
      <c r="G181" s="181">
        <v>7578</v>
      </c>
      <c r="H181" s="42" t="s">
        <v>2717</v>
      </c>
      <c r="I181" s="189" t="s">
        <v>2720</v>
      </c>
      <c r="K181" s="181"/>
    </row>
    <row r="182" spans="1:11">
      <c r="A182" s="220" t="s">
        <v>2830</v>
      </c>
      <c r="B182" s="220" t="s">
        <v>2716</v>
      </c>
      <c r="C182" s="220">
        <v>1631716</v>
      </c>
      <c r="E182" s="181">
        <v>6205</v>
      </c>
      <c r="F182" s="181"/>
      <c r="G182" s="181">
        <v>8558</v>
      </c>
      <c r="H182" s="42" t="s">
        <v>2717</v>
      </c>
      <c r="I182" s="189" t="s">
        <v>2720</v>
      </c>
      <c r="J182" s="42" t="s">
        <v>2781</v>
      </c>
      <c r="K182" s="181">
        <v>5775</v>
      </c>
    </row>
    <row r="183" spans="1:11">
      <c r="A183" s="220" t="s">
        <v>2830</v>
      </c>
      <c r="B183" s="220" t="s">
        <v>2716</v>
      </c>
      <c r="C183" s="220">
        <v>1653628</v>
      </c>
      <c r="E183" s="181">
        <v>6570</v>
      </c>
      <c r="F183" s="181"/>
      <c r="G183" s="181">
        <v>8761</v>
      </c>
      <c r="H183" s="42" t="s">
        <v>2717</v>
      </c>
      <c r="I183" s="189" t="s">
        <v>2778</v>
      </c>
      <c r="K183" s="181"/>
    </row>
    <row r="184" spans="1:11">
      <c r="A184" s="220" t="s">
        <v>2830</v>
      </c>
      <c r="B184" s="220" t="s">
        <v>2716</v>
      </c>
      <c r="C184" s="220">
        <v>1652859</v>
      </c>
      <c r="E184" s="181">
        <v>6671</v>
      </c>
      <c r="F184" s="181"/>
      <c r="G184" s="181">
        <v>8747</v>
      </c>
      <c r="H184" s="42" t="s">
        <v>2717</v>
      </c>
      <c r="I184" s="189" t="s">
        <v>2778</v>
      </c>
      <c r="K184" s="181"/>
    </row>
    <row r="185" spans="1:11">
      <c r="A185" s="220" t="s">
        <v>2830</v>
      </c>
      <c r="B185" s="220" t="s">
        <v>2716</v>
      </c>
      <c r="C185" s="220">
        <v>1814804</v>
      </c>
      <c r="E185" s="181">
        <v>6747</v>
      </c>
      <c r="F185" s="181"/>
      <c r="G185" s="181">
        <v>10056</v>
      </c>
      <c r="H185" s="42" t="s">
        <v>2717</v>
      </c>
      <c r="I185" s="189" t="s">
        <v>2778</v>
      </c>
      <c r="K185" s="181"/>
    </row>
    <row r="186" spans="1:11">
      <c r="A186" s="220" t="s">
        <v>2830</v>
      </c>
      <c r="B186" s="220" t="s">
        <v>2716</v>
      </c>
      <c r="C186" s="220">
        <v>1472000</v>
      </c>
      <c r="E186" s="181">
        <v>6796</v>
      </c>
      <c r="F186" s="181"/>
      <c r="G186" s="181">
        <v>7235</v>
      </c>
      <c r="H186" s="42" t="s">
        <v>2717</v>
      </c>
      <c r="I186" s="42" t="s">
        <v>2719</v>
      </c>
      <c r="K186" s="181"/>
    </row>
    <row r="187" spans="1:11">
      <c r="A187" s="220" t="s">
        <v>2830</v>
      </c>
      <c r="B187" s="220" t="s">
        <v>2716</v>
      </c>
      <c r="C187" s="220">
        <v>1567043</v>
      </c>
      <c r="E187" s="181">
        <v>6867</v>
      </c>
      <c r="F187" s="181"/>
      <c r="G187" s="181">
        <v>8033</v>
      </c>
      <c r="H187" s="42" t="s">
        <v>2717</v>
      </c>
      <c r="I187" s="189" t="s">
        <v>2779</v>
      </c>
      <c r="K187" s="181"/>
    </row>
    <row r="188" spans="1:11">
      <c r="A188" s="220" t="s">
        <v>2830</v>
      </c>
      <c r="B188" s="220" t="s">
        <v>2716</v>
      </c>
      <c r="C188" s="220">
        <v>1631721</v>
      </c>
      <c r="E188" s="181">
        <v>6867</v>
      </c>
      <c r="F188" s="181"/>
      <c r="G188" s="181">
        <v>8558</v>
      </c>
      <c r="H188" s="42" t="s">
        <v>2717</v>
      </c>
      <c r="I188" s="189" t="s">
        <v>2779</v>
      </c>
      <c r="K188" s="181"/>
    </row>
    <row r="189" spans="1:11">
      <c r="A189" s="220" t="s">
        <v>2830</v>
      </c>
      <c r="B189" s="220" t="s">
        <v>2716</v>
      </c>
      <c r="C189" s="220">
        <v>1750889</v>
      </c>
      <c r="E189" s="181">
        <v>6873</v>
      </c>
      <c r="F189" s="181"/>
      <c r="G189" s="181">
        <v>9573</v>
      </c>
      <c r="H189" s="42" t="s">
        <v>2717</v>
      </c>
      <c r="I189" s="189" t="s">
        <v>2778</v>
      </c>
      <c r="K189" s="181"/>
    </row>
    <row r="190" spans="1:11">
      <c r="A190" s="220" t="s">
        <v>2830</v>
      </c>
      <c r="B190" s="220" t="s">
        <v>2716</v>
      </c>
      <c r="C190" s="220">
        <v>1806280</v>
      </c>
      <c r="E190" s="181">
        <v>7405</v>
      </c>
      <c r="F190" s="181"/>
      <c r="G190" s="181">
        <v>10000</v>
      </c>
      <c r="H190" s="42" t="s">
        <v>2717</v>
      </c>
      <c r="I190" s="189" t="s">
        <v>2780</v>
      </c>
      <c r="J190" s="42" t="s">
        <v>2781</v>
      </c>
      <c r="K190" s="181">
        <v>7041</v>
      </c>
    </row>
    <row r="191" spans="1:11">
      <c r="A191" s="220" t="s">
        <v>2830</v>
      </c>
      <c r="B191" s="220" t="s">
        <v>2716</v>
      </c>
      <c r="C191" s="220">
        <v>1906278</v>
      </c>
      <c r="E191" s="181">
        <v>7649</v>
      </c>
      <c r="F191" s="181" t="s">
        <v>2893</v>
      </c>
      <c r="G191" s="181">
        <v>10714</v>
      </c>
      <c r="H191" s="42" t="s">
        <v>2717</v>
      </c>
      <c r="I191" s="42" t="s">
        <v>2894</v>
      </c>
      <c r="K191" s="181"/>
    </row>
    <row r="192" spans="1:11">
      <c r="A192" s="220" t="s">
        <v>2830</v>
      </c>
      <c r="B192" s="220" t="s">
        <v>2716</v>
      </c>
      <c r="C192" s="220">
        <v>1586648</v>
      </c>
      <c r="E192" s="181">
        <v>7665</v>
      </c>
      <c r="F192" s="181"/>
      <c r="G192" s="181">
        <v>8187</v>
      </c>
      <c r="I192" s="189" t="s">
        <v>2780</v>
      </c>
      <c r="J192" s="42" t="s">
        <v>2781</v>
      </c>
      <c r="K192" s="181">
        <v>7299</v>
      </c>
    </row>
    <row r="193" spans="1:11">
      <c r="A193" s="220" t="s">
        <v>2830</v>
      </c>
      <c r="B193" s="220" t="s">
        <v>2716</v>
      </c>
      <c r="C193" s="220">
        <v>1791949</v>
      </c>
      <c r="E193" s="181">
        <v>7754</v>
      </c>
      <c r="F193" s="181"/>
      <c r="G193" s="181">
        <v>9902</v>
      </c>
      <c r="H193" s="42" t="s">
        <v>2717</v>
      </c>
      <c r="I193" s="189" t="s">
        <v>2780</v>
      </c>
      <c r="J193" s="42" t="s">
        <v>2781</v>
      </c>
      <c r="K193" s="181">
        <v>7397</v>
      </c>
    </row>
    <row r="194" spans="1:11">
      <c r="A194" s="220" t="s">
        <v>2830</v>
      </c>
      <c r="B194" s="220" t="s">
        <v>2716</v>
      </c>
      <c r="C194" s="220">
        <v>1688326</v>
      </c>
      <c r="E194" s="181">
        <v>7929</v>
      </c>
      <c r="F194" s="181"/>
      <c r="G194" s="181">
        <v>9062</v>
      </c>
      <c r="H194" s="42" t="s">
        <v>2717</v>
      </c>
      <c r="I194" s="189" t="s">
        <v>2780</v>
      </c>
      <c r="K194" s="181"/>
    </row>
    <row r="195" spans="1:11">
      <c r="A195" s="220" t="s">
        <v>2830</v>
      </c>
      <c r="B195" s="220" t="s">
        <v>2716</v>
      </c>
      <c r="C195" s="220">
        <v>1782027</v>
      </c>
      <c r="E195" s="181">
        <v>8278</v>
      </c>
      <c r="F195" s="181"/>
      <c r="G195" s="181">
        <v>9818</v>
      </c>
      <c r="H195" s="42" t="s">
        <v>2717</v>
      </c>
      <c r="I195" s="189" t="s">
        <v>2780</v>
      </c>
      <c r="J195" s="42" t="s">
        <v>2781</v>
      </c>
      <c r="K195" s="181">
        <v>7931</v>
      </c>
    </row>
    <row r="196" spans="1:11">
      <c r="A196" s="220" t="s">
        <v>2830</v>
      </c>
      <c r="B196" s="220" t="s">
        <v>2716</v>
      </c>
      <c r="C196" s="220">
        <v>1893896</v>
      </c>
      <c r="E196" s="181">
        <v>8281</v>
      </c>
      <c r="F196" s="181"/>
      <c r="G196" s="181">
        <v>10602</v>
      </c>
      <c r="H196" s="42" t="s">
        <v>2717</v>
      </c>
      <c r="I196" s="42" t="s">
        <v>2778</v>
      </c>
      <c r="K196" s="181"/>
    </row>
    <row r="197" spans="1:11">
      <c r="A197" s="220" t="s">
        <v>2830</v>
      </c>
      <c r="B197" s="220" t="s">
        <v>2886</v>
      </c>
      <c r="C197" s="220">
        <v>1723757</v>
      </c>
      <c r="E197" s="181">
        <v>8293</v>
      </c>
      <c r="F197" s="181"/>
      <c r="G197" s="181">
        <v>9349</v>
      </c>
      <c r="I197" s="42" t="s">
        <v>2887</v>
      </c>
      <c r="J197" s="42" t="s">
        <v>702</v>
      </c>
      <c r="K197" s="181">
        <v>7928</v>
      </c>
    </row>
    <row r="198" spans="1:11">
      <c r="A198" s="220" t="s">
        <v>2830</v>
      </c>
      <c r="B198" s="220" t="s">
        <v>2716</v>
      </c>
      <c r="C198" s="220">
        <v>1797399</v>
      </c>
      <c r="E198" s="181">
        <v>8396</v>
      </c>
      <c r="F198" s="181"/>
      <c r="G198" s="181">
        <v>9944</v>
      </c>
      <c r="H198" s="42" t="s">
        <v>2717</v>
      </c>
      <c r="I198" s="189" t="s">
        <v>2780</v>
      </c>
      <c r="K198" s="181"/>
    </row>
    <row r="199" spans="1:11">
      <c r="A199" s="220" t="s">
        <v>2830</v>
      </c>
      <c r="B199" s="220" t="s">
        <v>2886</v>
      </c>
      <c r="C199" s="220">
        <v>1821870</v>
      </c>
      <c r="E199" s="181">
        <v>8649</v>
      </c>
      <c r="F199" s="181"/>
      <c r="G199" s="181">
        <v>10105</v>
      </c>
      <c r="I199" s="42" t="s">
        <v>2887</v>
      </c>
      <c r="J199" s="42" t="s">
        <v>702</v>
      </c>
      <c r="K199" s="181">
        <v>8286</v>
      </c>
    </row>
    <row r="200" spans="1:11">
      <c r="A200" s="220" t="s">
        <v>2830</v>
      </c>
      <c r="B200" s="220" t="s">
        <v>2716</v>
      </c>
      <c r="C200" s="220">
        <v>1874233</v>
      </c>
      <c r="E200" s="181">
        <v>8929</v>
      </c>
      <c r="F200" s="181"/>
      <c r="G200" s="181">
        <v>10469</v>
      </c>
      <c r="H200" s="42" t="s">
        <v>2717</v>
      </c>
      <c r="I200" s="42" t="s">
        <v>2780</v>
      </c>
      <c r="J200" s="42" t="s">
        <v>2781</v>
      </c>
      <c r="K200" s="181">
        <v>8568</v>
      </c>
    </row>
    <row r="201" spans="1:11">
      <c r="A201" s="220" t="s">
        <v>2830</v>
      </c>
      <c r="B201" s="220" t="s">
        <v>2886</v>
      </c>
      <c r="C201" s="220">
        <v>1837066</v>
      </c>
      <c r="E201" s="181">
        <v>9069</v>
      </c>
      <c r="F201" s="181"/>
      <c r="G201" s="181">
        <v>10210</v>
      </c>
      <c r="I201" s="42" t="s">
        <v>2888</v>
      </c>
      <c r="J201" s="42" t="s">
        <v>702</v>
      </c>
      <c r="K201" s="181">
        <v>8859</v>
      </c>
    </row>
    <row r="202" spans="1:11">
      <c r="A202" s="220" t="s">
        <v>2830</v>
      </c>
      <c r="B202" s="220" t="s">
        <v>2716</v>
      </c>
      <c r="C202" s="220">
        <v>1822401</v>
      </c>
      <c r="E202" s="181">
        <v>9510</v>
      </c>
      <c r="F202" s="181"/>
      <c r="G202" s="181">
        <v>10112</v>
      </c>
      <c r="H202" s="42" t="s">
        <v>2717</v>
      </c>
      <c r="I202" s="189" t="s">
        <v>2783</v>
      </c>
      <c r="K202" s="181"/>
    </row>
    <row r="203" spans="1:11">
      <c r="A203" s="220" t="s">
        <v>2830</v>
      </c>
      <c r="B203" s="220" t="s">
        <v>2886</v>
      </c>
      <c r="C203" s="220">
        <v>1856364</v>
      </c>
      <c r="E203" s="181">
        <v>9586</v>
      </c>
      <c r="F203" s="181"/>
      <c r="G203" s="181">
        <v>10350</v>
      </c>
      <c r="H203" s="42" t="s">
        <v>2889</v>
      </c>
      <c r="I203" s="42" t="s">
        <v>2890</v>
      </c>
      <c r="J203" s="42" t="s">
        <v>702</v>
      </c>
      <c r="K203" s="181">
        <v>9251</v>
      </c>
    </row>
    <row r="204" spans="1:11">
      <c r="A204" s="220" t="s">
        <v>2830</v>
      </c>
      <c r="B204" s="220" t="s">
        <v>2716</v>
      </c>
      <c r="C204" s="220">
        <v>1897742</v>
      </c>
      <c r="E204" s="181">
        <v>9979</v>
      </c>
      <c r="F204" s="181"/>
      <c r="G204" s="181">
        <v>10637</v>
      </c>
      <c r="H204" s="42" t="s">
        <v>2717</v>
      </c>
      <c r="I204" s="42" t="s">
        <v>2784</v>
      </c>
      <c r="J204" s="42" t="s">
        <v>2785</v>
      </c>
      <c r="K204" s="181">
        <v>9617</v>
      </c>
    </row>
    <row r="205" spans="1:11">
      <c r="A205" s="220" t="s">
        <v>2830</v>
      </c>
      <c r="B205" s="220" t="s">
        <v>2716</v>
      </c>
      <c r="C205" s="220">
        <v>1955037</v>
      </c>
      <c r="E205" s="181">
        <v>9979</v>
      </c>
      <c r="F205" s="181"/>
      <c r="G205" s="181">
        <v>11064</v>
      </c>
      <c r="H205" s="42" t="s">
        <v>2717</v>
      </c>
      <c r="I205" s="42" t="s">
        <v>2784</v>
      </c>
      <c r="J205" s="42" t="s">
        <v>2785</v>
      </c>
      <c r="K205" s="181">
        <v>9617</v>
      </c>
    </row>
    <row r="206" spans="1:11">
      <c r="A206" s="220" t="s">
        <v>2830</v>
      </c>
      <c r="B206" s="220" t="s">
        <v>2716</v>
      </c>
      <c r="C206" s="220">
        <v>2068938</v>
      </c>
      <c r="E206" s="181">
        <v>9979</v>
      </c>
      <c r="F206" s="181"/>
      <c r="G206" s="181">
        <v>12079</v>
      </c>
      <c r="H206" s="42" t="s">
        <v>2717</v>
      </c>
      <c r="I206" s="42" t="s">
        <v>2784</v>
      </c>
      <c r="J206" s="42" t="s">
        <v>2785</v>
      </c>
      <c r="K206" s="181">
        <v>9617</v>
      </c>
    </row>
    <row r="207" spans="1:11">
      <c r="A207" s="220" t="s">
        <v>2830</v>
      </c>
      <c r="B207" s="220" t="s">
        <v>2716</v>
      </c>
      <c r="C207" s="220">
        <v>1929266</v>
      </c>
      <c r="E207" s="181">
        <v>10080</v>
      </c>
      <c r="F207" s="181"/>
      <c r="G207" s="181">
        <v>10868</v>
      </c>
      <c r="H207" s="42" t="s">
        <v>2717</v>
      </c>
      <c r="I207" s="42" t="s">
        <v>2784</v>
      </c>
      <c r="J207" s="42" t="s">
        <v>2785</v>
      </c>
      <c r="K207" s="181">
        <v>9722</v>
      </c>
    </row>
    <row r="208" spans="1:11">
      <c r="A208" s="220" t="s">
        <v>2830</v>
      </c>
      <c r="B208" s="220" t="s">
        <v>2886</v>
      </c>
      <c r="C208" s="220">
        <v>1898348</v>
      </c>
      <c r="E208" s="181">
        <v>10112</v>
      </c>
      <c r="F208" s="181"/>
      <c r="G208" s="181">
        <v>10644</v>
      </c>
      <c r="H208" s="42" t="s">
        <v>2820</v>
      </c>
      <c r="I208" s="42" t="s">
        <v>2989</v>
      </c>
      <c r="J208" s="42" t="s">
        <v>702</v>
      </c>
      <c r="K208" s="181">
        <v>9790</v>
      </c>
    </row>
    <row r="209" spans="1:11">
      <c r="A209" s="220" t="s">
        <v>2830</v>
      </c>
      <c r="B209" s="220" t="s">
        <v>2886</v>
      </c>
      <c r="C209" s="220">
        <v>1967157</v>
      </c>
      <c r="E209" s="181">
        <v>10210</v>
      </c>
      <c r="F209" s="181"/>
      <c r="G209" s="181">
        <v>11155</v>
      </c>
      <c r="I209" s="42" t="s">
        <v>2996</v>
      </c>
      <c r="J209" s="42" t="s">
        <v>702</v>
      </c>
      <c r="K209" s="181">
        <v>9848</v>
      </c>
    </row>
    <row r="210" spans="1:11">
      <c r="A210" s="220" t="s">
        <v>2830</v>
      </c>
      <c r="B210" s="220" t="s">
        <v>2716</v>
      </c>
      <c r="C210" s="220">
        <v>2013932</v>
      </c>
      <c r="E210" s="181">
        <v>10840</v>
      </c>
      <c r="F210" s="181"/>
      <c r="G210" s="181">
        <v>11575</v>
      </c>
      <c r="H210" s="42" t="s">
        <v>2717</v>
      </c>
      <c r="I210" s="42" t="s">
        <v>2784</v>
      </c>
      <c r="J210" s="42" t="s">
        <v>2785</v>
      </c>
      <c r="K210" s="181">
        <v>10478</v>
      </c>
    </row>
    <row r="211" spans="1:11">
      <c r="A211" s="220" t="s">
        <v>2830</v>
      </c>
      <c r="B211" s="220" t="s">
        <v>2886</v>
      </c>
      <c r="C211" s="220">
        <v>1959987</v>
      </c>
      <c r="E211" s="181">
        <v>10893</v>
      </c>
      <c r="F211" s="181"/>
      <c r="G211" s="181">
        <v>11099</v>
      </c>
      <c r="I211" s="42" t="s">
        <v>2990</v>
      </c>
      <c r="J211" s="42" t="s">
        <v>702</v>
      </c>
      <c r="K211" s="181">
        <v>10213</v>
      </c>
    </row>
    <row r="212" spans="1:11">
      <c r="A212" s="220" t="s">
        <v>2830</v>
      </c>
      <c r="B212" s="220" t="s">
        <v>2751</v>
      </c>
      <c r="C212" s="220">
        <v>2206018</v>
      </c>
      <c r="E212" s="181">
        <v>10955</v>
      </c>
      <c r="F212" s="181"/>
      <c r="G212" s="181">
        <v>13332</v>
      </c>
      <c r="H212" s="42" t="s">
        <v>2842</v>
      </c>
      <c r="I212" s="42" t="s">
        <v>2759</v>
      </c>
      <c r="K212" s="181"/>
    </row>
    <row r="213" spans="1:11">
      <c r="A213" s="220" t="s">
        <v>2830</v>
      </c>
      <c r="B213" s="220" t="s">
        <v>2751</v>
      </c>
      <c r="C213" s="220">
        <v>2051820</v>
      </c>
      <c r="E213" s="181">
        <v>11011</v>
      </c>
      <c r="F213" s="181"/>
      <c r="G213" s="181">
        <v>11925</v>
      </c>
      <c r="H213" s="42" t="s">
        <v>2899</v>
      </c>
      <c r="I213" s="42" t="s">
        <v>2901</v>
      </c>
      <c r="K213" s="181"/>
    </row>
    <row r="214" spans="1:11">
      <c r="A214" s="220" t="s">
        <v>2830</v>
      </c>
      <c r="B214" s="220" t="s">
        <v>2716</v>
      </c>
      <c r="C214" s="220">
        <v>2092685</v>
      </c>
      <c r="E214" s="181">
        <v>11053</v>
      </c>
      <c r="F214" s="181"/>
      <c r="G214" s="181">
        <v>12303</v>
      </c>
      <c r="H214" s="42" t="s">
        <v>2717</v>
      </c>
      <c r="I214" s="42" t="s">
        <v>2784</v>
      </c>
      <c r="J214" s="42" t="s">
        <v>2781</v>
      </c>
      <c r="K214" s="181">
        <v>10689</v>
      </c>
    </row>
    <row r="215" spans="1:11">
      <c r="A215" s="220" t="s">
        <v>2830</v>
      </c>
      <c r="B215" s="220" t="s">
        <v>2886</v>
      </c>
      <c r="C215" s="220">
        <v>2017183</v>
      </c>
      <c r="E215" s="181">
        <v>11179</v>
      </c>
      <c r="F215" s="181"/>
      <c r="G215" s="181">
        <v>11610</v>
      </c>
      <c r="H215" s="42" t="s">
        <v>2889</v>
      </c>
      <c r="I215" s="42" t="s">
        <v>2998</v>
      </c>
      <c r="J215" s="42" t="s">
        <v>702</v>
      </c>
      <c r="K215" s="181">
        <v>10818</v>
      </c>
    </row>
    <row r="216" spans="1:11">
      <c r="A216" s="220" t="s">
        <v>2830</v>
      </c>
      <c r="B216" s="220" t="s">
        <v>2751</v>
      </c>
      <c r="C216" s="220">
        <v>2127735</v>
      </c>
      <c r="E216" s="181">
        <v>11217</v>
      </c>
      <c r="F216" s="181"/>
      <c r="G216" s="181">
        <v>12653</v>
      </c>
      <c r="H216" s="42" t="s">
        <v>2899</v>
      </c>
      <c r="I216" s="42" t="s">
        <v>2900</v>
      </c>
      <c r="K216" s="181"/>
    </row>
    <row r="217" spans="1:11">
      <c r="A217" s="220" t="s">
        <v>2830</v>
      </c>
      <c r="B217" s="220" t="s">
        <v>2751</v>
      </c>
      <c r="C217" s="220">
        <v>2031709</v>
      </c>
      <c r="E217" s="181">
        <v>11268</v>
      </c>
      <c r="F217" s="181"/>
      <c r="G217" s="181">
        <v>11743</v>
      </c>
      <c r="H217" s="42" t="s">
        <v>2899</v>
      </c>
      <c r="I217" s="42" t="s">
        <v>2900</v>
      </c>
      <c r="K217" s="181"/>
    </row>
    <row r="218" spans="1:11">
      <c r="A218" s="220" t="s">
        <v>2830</v>
      </c>
      <c r="B218" s="220" t="s">
        <v>2751</v>
      </c>
      <c r="C218" s="220">
        <v>2132573</v>
      </c>
      <c r="E218" s="181">
        <v>11282</v>
      </c>
      <c r="F218" s="181"/>
      <c r="G218" s="181">
        <v>12702</v>
      </c>
      <c r="H218" s="42" t="s">
        <v>2842</v>
      </c>
      <c r="I218" s="42" t="s">
        <v>2757</v>
      </c>
      <c r="K218" s="181"/>
    </row>
    <row r="219" spans="1:11">
      <c r="A219" s="220" t="s">
        <v>2830</v>
      </c>
      <c r="B219" s="220" t="s">
        <v>2716</v>
      </c>
      <c r="C219" s="220">
        <v>2093218</v>
      </c>
      <c r="E219" s="181">
        <v>11318</v>
      </c>
      <c r="F219" s="181"/>
      <c r="G219" s="181">
        <v>12310</v>
      </c>
      <c r="H219" s="42" t="s">
        <v>2717</v>
      </c>
      <c r="I219" s="42" t="s">
        <v>2805</v>
      </c>
      <c r="J219" s="42" t="s">
        <v>2785</v>
      </c>
      <c r="K219" s="181">
        <v>10961</v>
      </c>
    </row>
    <row r="220" spans="1:11">
      <c r="A220" s="220" t="s">
        <v>2830</v>
      </c>
      <c r="B220" s="220" t="s">
        <v>2751</v>
      </c>
      <c r="C220" s="220">
        <v>2156104</v>
      </c>
      <c r="E220" s="181">
        <v>11331</v>
      </c>
      <c r="F220" s="181"/>
      <c r="G220" s="181">
        <v>12898</v>
      </c>
      <c r="H220" s="42" t="s">
        <v>2899</v>
      </c>
      <c r="I220" s="42" t="s">
        <v>2902</v>
      </c>
      <c r="K220" s="181"/>
    </row>
    <row r="221" spans="1:11">
      <c r="A221" s="220" t="s">
        <v>2830</v>
      </c>
      <c r="B221" s="220" t="s">
        <v>2886</v>
      </c>
      <c r="C221" s="220">
        <v>2006682</v>
      </c>
      <c r="E221" s="181">
        <v>11339</v>
      </c>
      <c r="F221" s="181"/>
      <c r="G221" s="181">
        <v>11505</v>
      </c>
      <c r="I221" s="42" t="s">
        <v>2997</v>
      </c>
      <c r="J221" s="42" t="s">
        <v>702</v>
      </c>
      <c r="K221" s="181">
        <v>10826</v>
      </c>
    </row>
    <row r="222" spans="1:11">
      <c r="A222" s="220" t="s">
        <v>2830</v>
      </c>
      <c r="B222" s="220" t="s">
        <v>2716</v>
      </c>
      <c r="C222" s="220">
        <v>2156132</v>
      </c>
      <c r="E222" s="181">
        <v>11393</v>
      </c>
      <c r="F222" s="181" t="s">
        <v>2792</v>
      </c>
      <c r="G222" s="181">
        <v>12898</v>
      </c>
      <c r="H222" s="42" t="s">
        <v>2717</v>
      </c>
      <c r="I222" s="42" t="s">
        <v>2793</v>
      </c>
      <c r="J222" s="42" t="s">
        <v>2785</v>
      </c>
      <c r="K222" s="181">
        <v>11032</v>
      </c>
    </row>
    <row r="223" spans="1:11">
      <c r="A223" s="220" t="s">
        <v>2830</v>
      </c>
      <c r="B223" s="220" t="s">
        <v>2751</v>
      </c>
      <c r="C223" s="220">
        <v>2156129</v>
      </c>
      <c r="E223" s="181">
        <v>11455</v>
      </c>
      <c r="F223" s="181"/>
      <c r="G223" s="181">
        <v>12898</v>
      </c>
      <c r="H223" s="42" t="s">
        <v>2899</v>
      </c>
      <c r="I223" s="42" t="s">
        <v>2903</v>
      </c>
      <c r="K223" s="181"/>
    </row>
    <row r="224" spans="1:11">
      <c r="A224" s="220" t="s">
        <v>2830</v>
      </c>
      <c r="B224" s="220" t="s">
        <v>2886</v>
      </c>
      <c r="C224" s="220">
        <v>2036229</v>
      </c>
      <c r="E224" s="181">
        <v>11498</v>
      </c>
      <c r="F224" s="181"/>
      <c r="G224" s="181">
        <v>11785</v>
      </c>
      <c r="I224" s="42" t="s">
        <v>2999</v>
      </c>
      <c r="J224" s="42" t="s">
        <v>702</v>
      </c>
      <c r="K224" s="181">
        <v>11122</v>
      </c>
    </row>
    <row r="225" spans="1:11">
      <c r="A225" s="220" t="s">
        <v>2830</v>
      </c>
      <c r="B225" s="220" t="s">
        <v>2716</v>
      </c>
      <c r="C225" s="220">
        <v>2234001</v>
      </c>
      <c r="E225" s="181">
        <v>11556</v>
      </c>
      <c r="F225" s="181" t="s">
        <v>2797</v>
      </c>
      <c r="G225" s="181">
        <v>13577</v>
      </c>
      <c r="H225" s="42" t="s">
        <v>2717</v>
      </c>
      <c r="I225" s="42" t="s">
        <v>2806</v>
      </c>
      <c r="J225" s="42" t="s">
        <v>2785</v>
      </c>
      <c r="K225" s="181">
        <v>11199</v>
      </c>
    </row>
    <row r="226" spans="1:11">
      <c r="A226" s="220" t="s">
        <v>2830</v>
      </c>
      <c r="B226" s="220" t="s">
        <v>2716</v>
      </c>
      <c r="C226" s="220">
        <v>2297550</v>
      </c>
      <c r="D226" s="42" t="s">
        <v>2731</v>
      </c>
      <c r="E226" s="181">
        <v>11556</v>
      </c>
      <c r="F226" s="181"/>
      <c r="G226" s="181">
        <v>14151</v>
      </c>
      <c r="H226" s="42" t="s">
        <v>2717</v>
      </c>
      <c r="I226" s="42" t="s">
        <v>2806</v>
      </c>
      <c r="J226" s="42" t="s">
        <v>2785</v>
      </c>
      <c r="K226" s="181">
        <v>11199</v>
      </c>
    </row>
    <row r="227" spans="1:11">
      <c r="A227" s="220" t="s">
        <v>2830</v>
      </c>
      <c r="B227" s="220" t="s">
        <v>2716</v>
      </c>
      <c r="C227" s="220">
        <v>2081741</v>
      </c>
      <c r="E227" s="181">
        <v>11662</v>
      </c>
      <c r="F227" s="181"/>
      <c r="G227" s="181">
        <v>12198</v>
      </c>
      <c r="H227" s="42" t="s">
        <v>2717</v>
      </c>
      <c r="I227" s="42" t="s">
        <v>2910</v>
      </c>
      <c r="J227" s="42" t="s">
        <v>2781</v>
      </c>
      <c r="K227" s="181">
        <v>11297</v>
      </c>
    </row>
    <row r="228" spans="1:11">
      <c r="A228" s="42" t="s">
        <v>2830</v>
      </c>
      <c r="B228" s="42" t="s">
        <v>2716</v>
      </c>
      <c r="C228" s="42">
        <v>2197476</v>
      </c>
      <c r="E228" s="181">
        <v>11723</v>
      </c>
      <c r="F228" s="181"/>
      <c r="G228" s="181">
        <v>13255</v>
      </c>
      <c r="H228" s="42" t="s">
        <v>2717</v>
      </c>
      <c r="I228" s="42" t="s">
        <v>2795</v>
      </c>
      <c r="J228" s="42" t="s">
        <v>2785</v>
      </c>
      <c r="K228" s="181">
        <v>11361</v>
      </c>
    </row>
    <row r="229" spans="1:11">
      <c r="A229" s="42" t="s">
        <v>2830</v>
      </c>
      <c r="B229" s="42" t="s">
        <v>2716</v>
      </c>
      <c r="C229" s="42">
        <v>2269275</v>
      </c>
      <c r="D229" s="42" t="s">
        <v>2798</v>
      </c>
      <c r="E229" s="181">
        <v>11723</v>
      </c>
      <c r="F229" s="181">
        <v>13153</v>
      </c>
      <c r="G229" s="181">
        <v>13885</v>
      </c>
      <c r="H229" s="42" t="s">
        <v>2717</v>
      </c>
      <c r="I229" s="42" t="s">
        <v>2794</v>
      </c>
      <c r="J229" s="42" t="s">
        <v>2785</v>
      </c>
      <c r="K229" s="181">
        <v>11361</v>
      </c>
    </row>
    <row r="230" spans="1:11">
      <c r="A230" s="42" t="s">
        <v>2830</v>
      </c>
      <c r="B230" s="42" t="s">
        <v>2716</v>
      </c>
      <c r="C230" s="42">
        <v>2269276</v>
      </c>
      <c r="D230" s="42" t="s">
        <v>2799</v>
      </c>
      <c r="E230" s="181">
        <v>11723</v>
      </c>
      <c r="F230" s="181">
        <v>13153</v>
      </c>
      <c r="G230" s="181">
        <v>13885</v>
      </c>
      <c r="H230" s="42" t="s">
        <v>2717</v>
      </c>
      <c r="I230" s="42" t="s">
        <v>2794</v>
      </c>
      <c r="J230" s="42" t="s">
        <v>2785</v>
      </c>
      <c r="K230" s="181">
        <v>11361</v>
      </c>
    </row>
    <row r="231" spans="1:11">
      <c r="A231" s="42" t="s">
        <v>2830</v>
      </c>
      <c r="B231" s="42" t="s">
        <v>2716</v>
      </c>
      <c r="C231" s="42">
        <v>2269277</v>
      </c>
      <c r="D231" s="42" t="s">
        <v>2730</v>
      </c>
      <c r="E231" s="181">
        <v>11723</v>
      </c>
      <c r="F231" s="181">
        <v>13153</v>
      </c>
      <c r="G231" s="181">
        <v>13885</v>
      </c>
      <c r="H231" s="42" t="s">
        <v>2717</v>
      </c>
      <c r="I231" s="42" t="s">
        <v>2794</v>
      </c>
      <c r="J231" s="42" t="s">
        <v>2785</v>
      </c>
      <c r="K231" s="181">
        <v>11361</v>
      </c>
    </row>
    <row r="232" spans="1:11">
      <c r="A232" s="42" t="s">
        <v>2830</v>
      </c>
      <c r="B232" s="42" t="s">
        <v>2716</v>
      </c>
      <c r="C232" s="42">
        <v>2173281</v>
      </c>
      <c r="E232" s="181">
        <v>11737</v>
      </c>
      <c r="F232" s="181"/>
      <c r="G232" s="181">
        <v>13045</v>
      </c>
      <c r="H232" s="42" t="s">
        <v>2717</v>
      </c>
      <c r="I232" s="42" t="s">
        <v>2795</v>
      </c>
      <c r="J232" s="42" t="s">
        <v>2785</v>
      </c>
      <c r="K232" s="181">
        <v>11372</v>
      </c>
    </row>
    <row r="233" spans="1:11">
      <c r="A233" s="42" t="s">
        <v>2830</v>
      </c>
      <c r="B233" s="42" t="s">
        <v>2716</v>
      </c>
      <c r="C233" s="42">
        <v>2144017</v>
      </c>
      <c r="E233" s="181">
        <v>11819</v>
      </c>
      <c r="F233" s="181"/>
      <c r="G233" s="181">
        <v>12800</v>
      </c>
      <c r="H233" s="42" t="s">
        <v>2717</v>
      </c>
      <c r="I233" s="42" t="s">
        <v>2806</v>
      </c>
      <c r="J233" s="42" t="s">
        <v>2785</v>
      </c>
      <c r="K233" s="181">
        <v>11460</v>
      </c>
    </row>
    <row r="234" spans="1:11">
      <c r="A234" s="42" t="s">
        <v>2830</v>
      </c>
      <c r="B234" s="42" t="s">
        <v>2751</v>
      </c>
      <c r="C234" s="42">
        <v>2152635</v>
      </c>
      <c r="E234" s="181">
        <v>11834</v>
      </c>
      <c r="F234" s="181"/>
      <c r="G234" s="181">
        <v>12877</v>
      </c>
      <c r="I234" s="42" t="s">
        <v>2855</v>
      </c>
      <c r="K234" s="181"/>
    </row>
    <row r="235" spans="1:11">
      <c r="A235" s="42" t="s">
        <v>2830</v>
      </c>
      <c r="B235" s="42" t="s">
        <v>2716</v>
      </c>
      <c r="C235" s="42">
        <v>2156115</v>
      </c>
      <c r="E235" s="181">
        <v>11863</v>
      </c>
      <c r="F235" s="181"/>
      <c r="G235" s="181">
        <v>12898</v>
      </c>
      <c r="H235" s="42" t="s">
        <v>2717</v>
      </c>
      <c r="I235" s="42" t="s">
        <v>2910</v>
      </c>
      <c r="J235" s="42" t="s">
        <v>2785</v>
      </c>
      <c r="K235" s="181">
        <v>11543</v>
      </c>
    </row>
    <row r="236" spans="1:11">
      <c r="A236" s="42" t="s">
        <v>2830</v>
      </c>
      <c r="B236" s="42" t="s">
        <v>2716</v>
      </c>
      <c r="C236" s="42">
        <v>2160067</v>
      </c>
      <c r="E236" s="181">
        <v>11863</v>
      </c>
      <c r="F236" s="181"/>
      <c r="G236" s="181">
        <v>12933</v>
      </c>
      <c r="H236" s="42" t="s">
        <v>2717</v>
      </c>
      <c r="I236" s="42" t="s">
        <v>2806</v>
      </c>
      <c r="J236" s="42" t="s">
        <v>2785</v>
      </c>
      <c r="K236" s="181">
        <v>11558</v>
      </c>
    </row>
    <row r="237" spans="1:11">
      <c r="A237" s="42" t="s">
        <v>2830</v>
      </c>
      <c r="B237" s="42" t="s">
        <v>2751</v>
      </c>
      <c r="C237" s="42">
        <v>2162308</v>
      </c>
      <c r="E237" s="181">
        <v>11890</v>
      </c>
      <c r="F237" s="181"/>
      <c r="G237" s="181">
        <v>12947</v>
      </c>
      <c r="H237" s="42" t="s">
        <v>2842</v>
      </c>
      <c r="I237" s="42" t="s">
        <v>2856</v>
      </c>
      <c r="K237" s="181"/>
    </row>
    <row r="238" spans="1:11">
      <c r="A238" s="42" t="s">
        <v>2830</v>
      </c>
      <c r="B238" s="42" t="s">
        <v>2751</v>
      </c>
      <c r="C238" s="42">
        <v>2273979</v>
      </c>
      <c r="E238" s="181">
        <v>11931</v>
      </c>
      <c r="F238" s="181"/>
      <c r="G238" s="181">
        <v>13934</v>
      </c>
      <c r="H238" s="42" t="s">
        <v>2899</v>
      </c>
      <c r="I238" s="42" t="s">
        <v>2800</v>
      </c>
      <c r="K238" s="181"/>
    </row>
    <row r="239" spans="1:11">
      <c r="A239" s="42" t="s">
        <v>2830</v>
      </c>
      <c r="B239" s="42" t="s">
        <v>2751</v>
      </c>
      <c r="C239" s="42">
        <v>2212926</v>
      </c>
      <c r="E239" s="181">
        <v>11935</v>
      </c>
      <c r="F239" s="181"/>
      <c r="G239" s="181">
        <v>13388</v>
      </c>
      <c r="H239" s="42" t="s">
        <v>2899</v>
      </c>
      <c r="I239" s="42" t="s">
        <v>2801</v>
      </c>
      <c r="K239" s="181"/>
    </row>
    <row r="240" spans="1:11">
      <c r="A240" s="42" t="s">
        <v>2830</v>
      </c>
      <c r="B240" s="42" t="s">
        <v>2751</v>
      </c>
      <c r="C240" s="42">
        <v>2147108</v>
      </c>
      <c r="E240" s="181">
        <v>11947</v>
      </c>
      <c r="F240" s="181"/>
      <c r="G240" s="181">
        <v>12828</v>
      </c>
      <c r="H240" s="42" t="s">
        <v>2842</v>
      </c>
      <c r="I240" s="42" t="s">
        <v>2857</v>
      </c>
      <c r="K240" s="181"/>
    </row>
    <row r="241" spans="1:11">
      <c r="A241" s="42" t="s">
        <v>2830</v>
      </c>
      <c r="B241" s="42" t="s">
        <v>2751</v>
      </c>
      <c r="C241" s="42">
        <v>2127833</v>
      </c>
      <c r="E241" s="181">
        <v>11948</v>
      </c>
      <c r="F241" s="181"/>
      <c r="G241" s="181">
        <v>12653</v>
      </c>
      <c r="H241" s="42" t="s">
        <v>2842</v>
      </c>
      <c r="I241" s="42" t="s">
        <v>2857</v>
      </c>
      <c r="K241" s="181"/>
    </row>
    <row r="242" spans="1:11">
      <c r="A242" s="42" t="s">
        <v>2830</v>
      </c>
      <c r="B242" s="42" t="s">
        <v>2751</v>
      </c>
      <c r="C242" s="42">
        <v>2147962</v>
      </c>
      <c r="E242" s="181">
        <v>11948</v>
      </c>
      <c r="F242" s="181"/>
      <c r="G242" s="181">
        <v>12835</v>
      </c>
      <c r="H242" s="42" t="s">
        <v>2842</v>
      </c>
      <c r="I242" s="42" t="s">
        <v>3047</v>
      </c>
      <c r="K242" s="181"/>
    </row>
    <row r="243" spans="1:11">
      <c r="A243" s="42" t="s">
        <v>2830</v>
      </c>
      <c r="B243" s="42" t="s">
        <v>2751</v>
      </c>
      <c r="C243" s="42">
        <v>2161531</v>
      </c>
      <c r="E243" s="181">
        <v>12050</v>
      </c>
      <c r="F243" s="181"/>
      <c r="G243" s="181">
        <v>12940</v>
      </c>
      <c r="H243" s="42" t="s">
        <v>2842</v>
      </c>
      <c r="I243" s="42" t="s">
        <v>2857</v>
      </c>
      <c r="K243" s="181"/>
    </row>
    <row r="244" spans="1:11">
      <c r="A244" s="42" t="s">
        <v>2830</v>
      </c>
      <c r="B244" s="42" t="s">
        <v>2716</v>
      </c>
      <c r="C244" s="42">
        <v>2233319</v>
      </c>
      <c r="E244" s="181">
        <v>12088</v>
      </c>
      <c r="F244" s="181"/>
      <c r="G244" s="181">
        <v>13570</v>
      </c>
      <c r="H244" s="42" t="s">
        <v>2717</v>
      </c>
      <c r="I244" s="42" t="s">
        <v>2796</v>
      </c>
      <c r="J244" s="42" t="s">
        <v>2785</v>
      </c>
      <c r="K244" s="181">
        <v>11729</v>
      </c>
    </row>
    <row r="245" spans="1:11">
      <c r="A245" s="42" t="s">
        <v>2830</v>
      </c>
      <c r="B245" s="42" t="s">
        <v>2751</v>
      </c>
      <c r="C245" s="42">
        <v>2127831</v>
      </c>
      <c r="E245" s="181">
        <v>12088</v>
      </c>
      <c r="F245" s="181"/>
      <c r="G245" s="181">
        <v>12653</v>
      </c>
      <c r="H245" s="42" t="s">
        <v>2842</v>
      </c>
      <c r="I245" s="42" t="s">
        <v>3048</v>
      </c>
      <c r="K245" s="181"/>
    </row>
    <row r="246" spans="1:11">
      <c r="A246" s="42" t="s">
        <v>2830</v>
      </c>
      <c r="B246" s="42" t="s">
        <v>2751</v>
      </c>
      <c r="C246" s="42">
        <v>2197922</v>
      </c>
      <c r="E246" s="181">
        <v>12095</v>
      </c>
      <c r="F246" s="181"/>
      <c r="G246" s="181">
        <v>13262</v>
      </c>
      <c r="H246" s="42" t="s">
        <v>2842</v>
      </c>
      <c r="I246" s="42" t="s">
        <v>3049</v>
      </c>
      <c r="K246" s="181"/>
    </row>
    <row r="247" spans="1:11">
      <c r="A247" s="42" t="s">
        <v>2830</v>
      </c>
      <c r="B247" s="42" t="s">
        <v>2751</v>
      </c>
      <c r="C247" s="42">
        <v>2142338</v>
      </c>
      <c r="E247" s="181">
        <v>12118</v>
      </c>
      <c r="F247" s="181"/>
      <c r="G247" s="181">
        <v>12786</v>
      </c>
      <c r="H247" s="42" t="s">
        <v>2842</v>
      </c>
      <c r="I247" s="42" t="s">
        <v>2912</v>
      </c>
      <c r="K247" s="181"/>
    </row>
    <row r="248" spans="1:11">
      <c r="A248" s="42" t="s">
        <v>2830</v>
      </c>
      <c r="B248" s="42" t="s">
        <v>2751</v>
      </c>
      <c r="C248" s="42">
        <v>2212946</v>
      </c>
      <c r="E248" s="181">
        <v>12183</v>
      </c>
      <c r="F248" s="181"/>
      <c r="G248" s="181">
        <v>13388</v>
      </c>
      <c r="H248" s="42" t="s">
        <v>2899</v>
      </c>
      <c r="I248" s="42" t="s">
        <v>2802</v>
      </c>
      <c r="K248" s="181"/>
    </row>
    <row r="249" spans="1:11">
      <c r="A249" s="42" t="s">
        <v>2830</v>
      </c>
      <c r="B249" s="42" t="s">
        <v>2751</v>
      </c>
      <c r="C249" s="42">
        <v>2189375</v>
      </c>
      <c r="E249" s="181">
        <v>12188</v>
      </c>
      <c r="F249" s="181"/>
      <c r="G249" s="181">
        <v>13185</v>
      </c>
      <c r="H249" s="42" t="s">
        <v>2842</v>
      </c>
      <c r="I249" s="42" t="s">
        <v>2913</v>
      </c>
      <c r="K249" s="181"/>
    </row>
    <row r="250" spans="1:11">
      <c r="A250" s="42" t="s">
        <v>2830</v>
      </c>
      <c r="B250" s="42" t="s">
        <v>2751</v>
      </c>
      <c r="C250" s="42">
        <v>2166603</v>
      </c>
      <c r="E250" s="181">
        <v>12194</v>
      </c>
      <c r="F250" s="181"/>
      <c r="G250" s="181">
        <v>12982</v>
      </c>
      <c r="H250" s="42" t="s">
        <v>2842</v>
      </c>
      <c r="I250" s="42" t="s">
        <v>2914</v>
      </c>
      <c r="K250" s="181"/>
    </row>
    <row r="251" spans="1:11">
      <c r="A251" s="42" t="s">
        <v>2830</v>
      </c>
      <c r="B251" s="42" t="s">
        <v>2751</v>
      </c>
      <c r="C251" s="42">
        <v>2178799</v>
      </c>
      <c r="E251" s="181">
        <v>12194</v>
      </c>
      <c r="F251" s="181"/>
      <c r="G251" s="181">
        <v>13094</v>
      </c>
      <c r="H251" s="42" t="s">
        <v>2842</v>
      </c>
      <c r="I251" s="42" t="s">
        <v>2915</v>
      </c>
      <c r="K251" s="181"/>
    </row>
    <row r="252" spans="1:11">
      <c r="A252" s="42" t="s">
        <v>2830</v>
      </c>
      <c r="B252" s="42" t="s">
        <v>2886</v>
      </c>
      <c r="C252" s="42">
        <v>2220457</v>
      </c>
      <c r="E252" s="181">
        <v>12219</v>
      </c>
      <c r="F252" s="181"/>
      <c r="G252" s="181">
        <v>13458</v>
      </c>
      <c r="H252" s="42" t="s">
        <v>3007</v>
      </c>
      <c r="I252" s="42" t="s">
        <v>2999</v>
      </c>
      <c r="J252" s="42" t="s">
        <v>702</v>
      </c>
      <c r="K252" s="181">
        <v>11858</v>
      </c>
    </row>
    <row r="253" spans="1:11">
      <c r="A253" s="42" t="s">
        <v>2830</v>
      </c>
      <c r="B253" s="42" t="s">
        <v>2751</v>
      </c>
      <c r="C253" s="42">
        <v>2144696</v>
      </c>
      <c r="E253" s="181">
        <v>12229</v>
      </c>
      <c r="F253" s="181"/>
      <c r="G253" s="181">
        <v>12807</v>
      </c>
      <c r="H253" s="42" t="s">
        <v>2842</v>
      </c>
      <c r="I253" s="42" t="s">
        <v>2755</v>
      </c>
      <c r="K253" s="181"/>
    </row>
    <row r="254" spans="1:11">
      <c r="A254" s="42" t="s">
        <v>2830</v>
      </c>
      <c r="B254" s="42" t="s">
        <v>2886</v>
      </c>
      <c r="C254" s="42">
        <v>2145347</v>
      </c>
      <c r="D254" s="42" t="s">
        <v>3223</v>
      </c>
      <c r="E254" s="181">
        <v>12267</v>
      </c>
      <c r="F254" s="181">
        <v>13346</v>
      </c>
      <c r="G254" s="181">
        <v>12267</v>
      </c>
      <c r="H254" s="42" t="s">
        <v>3019</v>
      </c>
      <c r="I254" s="42" t="s">
        <v>3009</v>
      </c>
      <c r="J254" s="42" t="s">
        <v>702</v>
      </c>
      <c r="K254" s="181">
        <v>11918</v>
      </c>
    </row>
    <row r="255" spans="1:11">
      <c r="A255" s="42" t="s">
        <v>2830</v>
      </c>
      <c r="B255" s="42" t="s">
        <v>2886</v>
      </c>
      <c r="C255" s="42">
        <v>2140579</v>
      </c>
      <c r="E255" s="181">
        <v>12285</v>
      </c>
      <c r="F255" s="181"/>
      <c r="G255" s="181">
        <v>12772</v>
      </c>
      <c r="I255" s="42" t="s">
        <v>3000</v>
      </c>
      <c r="K255" s="181"/>
    </row>
    <row r="256" spans="1:11">
      <c r="A256" s="42" t="s">
        <v>2830</v>
      </c>
      <c r="B256" s="42" t="s">
        <v>2751</v>
      </c>
      <c r="C256" s="42">
        <v>2215683</v>
      </c>
      <c r="E256" s="181">
        <v>12298</v>
      </c>
      <c r="F256" s="181"/>
      <c r="G256" s="181">
        <v>13416</v>
      </c>
      <c r="H256" s="42" t="s">
        <v>2899</v>
      </c>
      <c r="I256" s="42" t="s">
        <v>2801</v>
      </c>
      <c r="K256" s="181"/>
    </row>
    <row r="257" spans="1:11">
      <c r="A257" s="42" t="s">
        <v>2830</v>
      </c>
      <c r="B257" s="42" t="s">
        <v>2751</v>
      </c>
      <c r="C257" s="42">
        <v>2215565</v>
      </c>
      <c r="E257" s="181">
        <v>12313</v>
      </c>
      <c r="F257" s="181"/>
      <c r="G257" s="181">
        <v>13416</v>
      </c>
      <c r="H257" s="42" t="s">
        <v>2842</v>
      </c>
      <c r="I257" s="42" t="s">
        <v>2756</v>
      </c>
      <c r="K257" s="181"/>
    </row>
    <row r="258" spans="1:11">
      <c r="A258" s="42" t="s">
        <v>2830</v>
      </c>
      <c r="B258" s="42" t="s">
        <v>2751</v>
      </c>
      <c r="C258" s="42">
        <v>2130367</v>
      </c>
      <c r="E258" s="181">
        <v>12414</v>
      </c>
      <c r="F258" s="181"/>
      <c r="G258" s="181">
        <v>12681</v>
      </c>
      <c r="H258" s="42" t="s">
        <v>2842</v>
      </c>
      <c r="I258" s="42" t="s">
        <v>2758</v>
      </c>
      <c r="K258" s="181"/>
    </row>
    <row r="259" spans="1:11">
      <c r="A259" s="42" t="s">
        <v>2830</v>
      </c>
      <c r="B259" s="42" t="s">
        <v>2751</v>
      </c>
      <c r="C259" s="42">
        <v>2205544</v>
      </c>
      <c r="E259" s="181">
        <v>12438</v>
      </c>
      <c r="F259" s="181"/>
      <c r="G259" s="181">
        <v>13325</v>
      </c>
      <c r="H259" s="42" t="s">
        <v>2842</v>
      </c>
      <c r="I259" s="42" t="s">
        <v>2857</v>
      </c>
      <c r="K259" s="181"/>
    </row>
    <row r="260" spans="1:11">
      <c r="A260" s="42" t="s">
        <v>2830</v>
      </c>
      <c r="B260" s="42" t="s">
        <v>3020</v>
      </c>
      <c r="C260" s="42">
        <v>2165196</v>
      </c>
      <c r="E260" s="181">
        <v>12473</v>
      </c>
      <c r="F260" s="181"/>
      <c r="G260" s="181">
        <v>12975</v>
      </c>
      <c r="H260" s="42" t="s">
        <v>3021</v>
      </c>
      <c r="I260" s="42" t="s">
        <v>3022</v>
      </c>
      <c r="J260" s="42" t="s">
        <v>702</v>
      </c>
      <c r="K260" s="181">
        <v>12120</v>
      </c>
    </row>
    <row r="261" spans="1:11">
      <c r="A261" s="42" t="s">
        <v>2830</v>
      </c>
      <c r="B261" s="42" t="s">
        <v>2886</v>
      </c>
      <c r="C261" s="42">
        <v>2252341</v>
      </c>
      <c r="E261" s="181">
        <v>12485</v>
      </c>
      <c r="F261" s="181"/>
      <c r="G261" s="181">
        <v>13738</v>
      </c>
      <c r="H261" s="42" t="s">
        <v>3008</v>
      </c>
      <c r="I261" s="42" t="s">
        <v>3009</v>
      </c>
      <c r="J261" s="42" t="s">
        <v>702</v>
      </c>
      <c r="K261" s="181">
        <v>12211</v>
      </c>
    </row>
    <row r="262" spans="1:11">
      <c r="A262" s="42" t="s">
        <v>2830</v>
      </c>
      <c r="B262" s="42" t="s">
        <v>2751</v>
      </c>
      <c r="C262" s="42">
        <v>2347134</v>
      </c>
      <c r="E262" s="181">
        <v>12598</v>
      </c>
      <c r="F262" s="181"/>
      <c r="G262" s="181">
        <v>14718</v>
      </c>
      <c r="H262" s="42" t="s">
        <v>2842</v>
      </c>
      <c r="I262" s="42" t="s">
        <v>2912</v>
      </c>
      <c r="K262" s="181"/>
    </row>
    <row r="263" spans="1:11">
      <c r="A263" s="42" t="s">
        <v>2830</v>
      </c>
      <c r="B263" s="42" t="s">
        <v>2886</v>
      </c>
      <c r="C263" s="42">
        <v>2285856</v>
      </c>
      <c r="E263" s="181">
        <v>12633</v>
      </c>
      <c r="F263" s="181"/>
      <c r="G263" s="181">
        <v>14039</v>
      </c>
      <c r="H263" s="42" t="s">
        <v>3008</v>
      </c>
      <c r="I263" s="42" t="s">
        <v>3009</v>
      </c>
      <c r="J263" s="42" t="s">
        <v>702</v>
      </c>
      <c r="K263" s="181">
        <v>12274</v>
      </c>
    </row>
    <row r="264" spans="1:11">
      <c r="A264" s="42" t="s">
        <v>2830</v>
      </c>
      <c r="B264" s="42" t="s">
        <v>2716</v>
      </c>
      <c r="C264" s="42">
        <v>2227267</v>
      </c>
      <c r="E264" s="181">
        <v>12656</v>
      </c>
      <c r="F264" s="181"/>
      <c r="G264" s="181">
        <v>13514</v>
      </c>
      <c r="H264" s="42" t="s">
        <v>2717</v>
      </c>
      <c r="I264" s="42" t="s">
        <v>2796</v>
      </c>
      <c r="J264" s="42" t="s">
        <v>2781</v>
      </c>
      <c r="K264" s="181">
        <v>12297</v>
      </c>
    </row>
    <row r="265" spans="1:11">
      <c r="A265" s="42" t="s">
        <v>2830</v>
      </c>
      <c r="B265" s="42" t="s">
        <v>2751</v>
      </c>
      <c r="C265" s="42">
        <v>2214181</v>
      </c>
      <c r="E265" s="181">
        <v>12663</v>
      </c>
      <c r="F265" s="181"/>
      <c r="G265" s="181">
        <v>13402</v>
      </c>
      <c r="H265" s="42" t="s">
        <v>2842</v>
      </c>
      <c r="I265" s="42" t="s">
        <v>2857</v>
      </c>
      <c r="K265" s="181"/>
    </row>
    <row r="266" spans="1:11">
      <c r="A266" s="42" t="s">
        <v>2830</v>
      </c>
      <c r="B266" s="42" t="s">
        <v>2751</v>
      </c>
      <c r="C266" s="42">
        <v>2259910</v>
      </c>
      <c r="E266" s="181">
        <v>12674</v>
      </c>
      <c r="F266" s="181"/>
      <c r="G266" s="181">
        <v>13808</v>
      </c>
      <c r="H266" s="42" t="s">
        <v>2842</v>
      </c>
      <c r="I266" s="42" t="s">
        <v>2857</v>
      </c>
      <c r="K266" s="181"/>
    </row>
    <row r="267" spans="1:11">
      <c r="A267" s="42" t="s">
        <v>2830</v>
      </c>
      <c r="B267" s="42" t="s">
        <v>2716</v>
      </c>
      <c r="C267" s="42">
        <v>2168958</v>
      </c>
      <c r="E267" s="181">
        <v>12687</v>
      </c>
      <c r="F267" s="181"/>
      <c r="G267" s="181">
        <v>13003</v>
      </c>
      <c r="H267" s="42" t="s">
        <v>2717</v>
      </c>
      <c r="I267" s="42" t="s">
        <v>2794</v>
      </c>
      <c r="J267" s="42" t="s">
        <v>2781</v>
      </c>
      <c r="K267" s="181">
        <v>12327</v>
      </c>
    </row>
    <row r="268" spans="1:11">
      <c r="A268" s="42" t="s">
        <v>2830</v>
      </c>
      <c r="B268" s="42" t="s">
        <v>2716</v>
      </c>
      <c r="C268" s="42">
        <v>2226345</v>
      </c>
      <c r="E268" s="181">
        <v>12695</v>
      </c>
      <c r="F268" s="181"/>
      <c r="G268" s="181">
        <v>13507</v>
      </c>
      <c r="H268" s="42" t="s">
        <v>2717</v>
      </c>
      <c r="I268" s="42" t="s">
        <v>2796</v>
      </c>
      <c r="J268" s="42" t="s">
        <v>2781</v>
      </c>
      <c r="K268" s="181">
        <v>12330</v>
      </c>
    </row>
    <row r="269" spans="1:11">
      <c r="A269" s="42" t="s">
        <v>2830</v>
      </c>
      <c r="B269" s="42" t="s">
        <v>2751</v>
      </c>
      <c r="C269" s="42">
        <v>2188821</v>
      </c>
      <c r="E269" s="181">
        <v>12775</v>
      </c>
      <c r="F269" s="181"/>
      <c r="G269" s="181">
        <v>13178</v>
      </c>
      <c r="H269" s="42" t="s">
        <v>2842</v>
      </c>
      <c r="I269" s="42" t="s">
        <v>2857</v>
      </c>
      <c r="K269" s="181"/>
    </row>
    <row r="270" spans="1:11">
      <c r="A270" s="42" t="s">
        <v>2830</v>
      </c>
      <c r="B270" s="42" t="s">
        <v>2751</v>
      </c>
      <c r="C270" s="42">
        <v>2246741</v>
      </c>
      <c r="E270" s="181">
        <v>12775</v>
      </c>
      <c r="F270" s="181"/>
      <c r="G270" s="181">
        <v>13689</v>
      </c>
      <c r="H270" s="42" t="s">
        <v>2842</v>
      </c>
      <c r="I270" s="42" t="s">
        <v>2915</v>
      </c>
      <c r="K270" s="181"/>
    </row>
    <row r="271" spans="1:11">
      <c r="A271" s="42" t="s">
        <v>2830</v>
      </c>
      <c r="B271" s="42" t="s">
        <v>2751</v>
      </c>
      <c r="C271" s="42">
        <v>2240680</v>
      </c>
      <c r="E271" s="181">
        <v>12781</v>
      </c>
      <c r="F271" s="181"/>
      <c r="G271" s="181">
        <v>13640</v>
      </c>
      <c r="H271" s="42" t="s">
        <v>2842</v>
      </c>
      <c r="I271" s="42" t="s">
        <v>2760</v>
      </c>
      <c r="K271" s="181"/>
    </row>
    <row r="272" spans="1:11">
      <c r="A272" s="42" t="s">
        <v>2830</v>
      </c>
      <c r="B272" s="42" t="s">
        <v>2886</v>
      </c>
      <c r="C272" s="42">
        <v>2272604</v>
      </c>
      <c r="E272" s="181">
        <v>12782</v>
      </c>
      <c r="F272" s="181"/>
      <c r="G272" s="181">
        <v>13920</v>
      </c>
      <c r="H272" s="42" t="s">
        <v>3008</v>
      </c>
      <c r="I272" s="42" t="s">
        <v>3009</v>
      </c>
      <c r="J272" s="42" t="s">
        <v>702</v>
      </c>
      <c r="K272" s="181">
        <v>12760</v>
      </c>
    </row>
    <row r="273" spans="1:11">
      <c r="A273" s="42" t="s">
        <v>2830</v>
      </c>
      <c r="B273" s="42" t="s">
        <v>2886</v>
      </c>
      <c r="C273" s="42">
        <v>2199290</v>
      </c>
      <c r="E273" s="181">
        <v>12820</v>
      </c>
      <c r="F273" s="181"/>
      <c r="G273" s="181">
        <v>13269</v>
      </c>
      <c r="H273" s="42" t="s">
        <v>2889</v>
      </c>
      <c r="I273" s="42" t="s">
        <v>3001</v>
      </c>
      <c r="J273" s="42" t="s">
        <v>702</v>
      </c>
      <c r="K273" s="181">
        <v>12458</v>
      </c>
    </row>
    <row r="274" spans="1:11">
      <c r="A274" s="42" t="s">
        <v>2830</v>
      </c>
      <c r="B274" s="42" t="s">
        <v>3020</v>
      </c>
      <c r="C274" s="42">
        <v>2259213</v>
      </c>
      <c r="E274" s="181">
        <v>12894</v>
      </c>
      <c r="F274" s="181"/>
      <c r="G274" s="181">
        <v>13801</v>
      </c>
      <c r="H274" s="42" t="s">
        <v>3023</v>
      </c>
      <c r="I274" s="42" t="s">
        <v>3029</v>
      </c>
      <c r="J274" s="42" t="s">
        <v>702</v>
      </c>
      <c r="K274" s="181">
        <v>12544</v>
      </c>
    </row>
    <row r="275" spans="1:11">
      <c r="A275" s="42" t="s">
        <v>2830</v>
      </c>
      <c r="B275" s="42" t="s">
        <v>2716</v>
      </c>
      <c r="C275" s="42">
        <v>2291048</v>
      </c>
      <c r="E275" s="181">
        <v>12963</v>
      </c>
      <c r="F275" s="181"/>
      <c r="G275" s="181">
        <v>14088</v>
      </c>
      <c r="H275" s="42" t="s">
        <v>2717</v>
      </c>
      <c r="I275" s="42" t="s">
        <v>2794</v>
      </c>
      <c r="J275" s="42" t="s">
        <v>2781</v>
      </c>
      <c r="K275" s="181">
        <v>12604</v>
      </c>
    </row>
    <row r="276" spans="1:11">
      <c r="A276" s="42" t="s">
        <v>2830</v>
      </c>
      <c r="B276" s="42" t="s">
        <v>2751</v>
      </c>
      <c r="C276" s="42">
        <v>2260766</v>
      </c>
      <c r="E276" s="181">
        <v>13032</v>
      </c>
      <c r="F276" s="181"/>
      <c r="G276" s="181">
        <v>13815</v>
      </c>
      <c r="H276" s="42" t="s">
        <v>2842</v>
      </c>
      <c r="I276" s="42" t="s">
        <v>2777</v>
      </c>
      <c r="K276" s="181"/>
    </row>
    <row r="277" spans="1:11">
      <c r="A277" s="42" t="s">
        <v>2830</v>
      </c>
      <c r="B277" s="42" t="s">
        <v>2751</v>
      </c>
      <c r="C277" s="42">
        <v>2281126</v>
      </c>
      <c r="E277" s="181">
        <v>13116</v>
      </c>
      <c r="F277" s="181"/>
      <c r="G277" s="181">
        <v>13997</v>
      </c>
      <c r="H277" s="42" t="s">
        <v>2899</v>
      </c>
      <c r="I277" s="42" t="s">
        <v>2803</v>
      </c>
      <c r="K277" s="181"/>
    </row>
    <row r="278" spans="1:11">
      <c r="A278" s="42" t="s">
        <v>2830</v>
      </c>
      <c r="B278" s="42" t="s">
        <v>2751</v>
      </c>
      <c r="C278" s="42">
        <v>2281124</v>
      </c>
      <c r="E278" s="181">
        <v>13186</v>
      </c>
      <c r="F278" s="181"/>
      <c r="G278" s="181">
        <v>13997</v>
      </c>
      <c r="H278" s="42" t="s">
        <v>2899</v>
      </c>
      <c r="I278" s="42" t="s">
        <v>2977</v>
      </c>
      <c r="K278" s="181"/>
    </row>
    <row r="279" spans="1:11">
      <c r="A279" s="42" t="s">
        <v>2830</v>
      </c>
      <c r="B279" s="42" t="s">
        <v>3020</v>
      </c>
      <c r="C279" s="42">
        <v>2256292</v>
      </c>
      <c r="E279" s="181">
        <v>13238</v>
      </c>
      <c r="F279" s="181"/>
      <c r="G279" s="181">
        <v>13773</v>
      </c>
      <c r="H279" s="42" t="s">
        <v>3023</v>
      </c>
      <c r="I279" s="42" t="s">
        <v>3029</v>
      </c>
      <c r="J279" s="42" t="s">
        <v>702</v>
      </c>
      <c r="K279" s="181">
        <v>12886</v>
      </c>
    </row>
    <row r="280" spans="1:11">
      <c r="A280" s="42" t="s">
        <v>2830</v>
      </c>
      <c r="B280" s="42" t="s">
        <v>2886</v>
      </c>
      <c r="C280" s="42">
        <v>2232518</v>
      </c>
      <c r="E280" s="181">
        <v>13255</v>
      </c>
      <c r="F280" s="181"/>
      <c r="G280" s="181">
        <v>13563</v>
      </c>
      <c r="H280" s="42" t="s">
        <v>3008</v>
      </c>
      <c r="I280" s="42" t="s">
        <v>3009</v>
      </c>
      <c r="J280" s="42" t="s">
        <v>702</v>
      </c>
      <c r="K280" s="181">
        <v>12866</v>
      </c>
    </row>
    <row r="281" spans="1:11">
      <c r="A281" s="42" t="s">
        <v>2830</v>
      </c>
      <c r="B281" s="42" t="s">
        <v>2751</v>
      </c>
      <c r="C281" s="42">
        <v>2345168</v>
      </c>
      <c r="E281" s="181">
        <v>13350</v>
      </c>
      <c r="F281" s="181"/>
      <c r="G281" s="181">
        <v>14697</v>
      </c>
      <c r="H281" s="42" t="s">
        <v>2899</v>
      </c>
      <c r="I281" s="42" t="s">
        <v>2978</v>
      </c>
      <c r="K281" s="181"/>
    </row>
    <row r="282" spans="1:11">
      <c r="A282" s="42" t="s">
        <v>2830</v>
      </c>
      <c r="B282" s="42" t="s">
        <v>2751</v>
      </c>
      <c r="C282" s="42">
        <v>2328764</v>
      </c>
      <c r="E282" s="181">
        <v>13356</v>
      </c>
      <c r="F282" s="181"/>
      <c r="G282" s="181">
        <v>14494</v>
      </c>
      <c r="H282" s="42" t="s">
        <v>2899</v>
      </c>
      <c r="I282" s="42" t="s">
        <v>2801</v>
      </c>
      <c r="K282" s="181"/>
    </row>
    <row r="283" spans="1:11">
      <c r="A283" s="42" t="s">
        <v>2830</v>
      </c>
      <c r="B283" s="42" t="s">
        <v>2751</v>
      </c>
      <c r="C283" s="42">
        <v>2347427</v>
      </c>
      <c r="E283" s="181">
        <v>13364</v>
      </c>
      <c r="F283" s="181"/>
      <c r="G283" s="181">
        <v>14725</v>
      </c>
      <c r="H283" s="42" t="s">
        <v>2899</v>
      </c>
      <c r="I283" s="42" t="s">
        <v>2802</v>
      </c>
      <c r="K283" s="181"/>
    </row>
    <row r="284" spans="1:11">
      <c r="A284" s="42" t="s">
        <v>2830</v>
      </c>
      <c r="B284" s="42" t="s">
        <v>3085</v>
      </c>
      <c r="C284" s="165">
        <v>2420925</v>
      </c>
      <c r="D284" s="42">
        <v>357860</v>
      </c>
      <c r="E284" s="181">
        <v>13415</v>
      </c>
      <c r="F284" s="181"/>
      <c r="G284" s="181">
        <v>15845</v>
      </c>
      <c r="H284" s="42" t="s">
        <v>2842</v>
      </c>
      <c r="I284" s="42" t="s">
        <v>2801</v>
      </c>
      <c r="K284" s="181"/>
    </row>
    <row r="285" spans="1:11">
      <c r="A285" s="42" t="s">
        <v>2830</v>
      </c>
      <c r="B285" s="42" t="s">
        <v>2751</v>
      </c>
      <c r="C285" s="42">
        <v>2313249</v>
      </c>
      <c r="E285" s="181">
        <v>13426</v>
      </c>
      <c r="F285" s="181"/>
      <c r="G285" s="181">
        <v>14312</v>
      </c>
      <c r="H285" s="42" t="s">
        <v>2899</v>
      </c>
      <c r="I285" s="42" t="s">
        <v>2904</v>
      </c>
      <c r="K285" s="181"/>
    </row>
    <row r="286" spans="1:11">
      <c r="A286" s="42" t="s">
        <v>2830</v>
      </c>
      <c r="B286" s="42" t="s">
        <v>2751</v>
      </c>
      <c r="C286" s="189">
        <v>2390019</v>
      </c>
      <c r="E286" s="181">
        <v>13593</v>
      </c>
      <c r="F286" s="181"/>
      <c r="G286" s="181">
        <v>15306</v>
      </c>
      <c r="H286" s="42" t="s">
        <v>2899</v>
      </c>
      <c r="I286" s="42" t="s">
        <v>2959</v>
      </c>
      <c r="K286" s="181"/>
    </row>
    <row r="287" spans="1:11">
      <c r="A287" s="42" t="s">
        <v>2830</v>
      </c>
      <c r="B287" s="42" t="s">
        <v>2751</v>
      </c>
      <c r="C287" s="42">
        <v>2322109</v>
      </c>
      <c r="E287" s="181">
        <v>13608</v>
      </c>
      <c r="F287" s="181"/>
      <c r="G287" s="181">
        <v>14410</v>
      </c>
      <c r="H287" s="42" t="s">
        <v>2899</v>
      </c>
      <c r="I287" s="42" t="s">
        <v>3082</v>
      </c>
      <c r="K287" s="181"/>
    </row>
    <row r="288" spans="1:11">
      <c r="A288" s="42" t="s">
        <v>2830</v>
      </c>
      <c r="B288" s="42" t="s">
        <v>2886</v>
      </c>
      <c r="C288" s="42">
        <v>2277632</v>
      </c>
      <c r="E288" s="181">
        <v>13629</v>
      </c>
      <c r="F288" s="181"/>
      <c r="G288" s="181">
        <v>13962</v>
      </c>
      <c r="H288" s="42" t="s">
        <v>2889</v>
      </c>
      <c r="I288" s="42" t="s">
        <v>3011</v>
      </c>
      <c r="J288" s="42" t="s">
        <v>702</v>
      </c>
      <c r="K288" s="181">
        <v>13212</v>
      </c>
    </row>
    <row r="289" spans="1:11">
      <c r="A289" s="42" t="s">
        <v>2830</v>
      </c>
      <c r="B289" s="42" t="s">
        <v>2886</v>
      </c>
      <c r="C289" s="42">
        <v>2279861</v>
      </c>
      <c r="E289" s="181">
        <v>13634</v>
      </c>
      <c r="F289" s="181"/>
      <c r="G289" s="181">
        <v>13983</v>
      </c>
      <c r="H289" s="42" t="s">
        <v>2889</v>
      </c>
      <c r="I289" s="42" t="s">
        <v>3012</v>
      </c>
      <c r="J289" s="42" t="s">
        <v>702</v>
      </c>
      <c r="K289" s="181">
        <v>13195</v>
      </c>
    </row>
    <row r="290" spans="1:11">
      <c r="A290" s="42" t="s">
        <v>2830</v>
      </c>
      <c r="B290" s="42" t="s">
        <v>2751</v>
      </c>
      <c r="C290" s="42">
        <v>2328763</v>
      </c>
      <c r="E290" s="181">
        <v>13650</v>
      </c>
      <c r="F290" s="181"/>
      <c r="G290" s="181">
        <v>14494</v>
      </c>
      <c r="H290" s="42" t="s">
        <v>2899</v>
      </c>
      <c r="I290" s="42" t="s">
        <v>2957</v>
      </c>
      <c r="K290" s="181"/>
    </row>
    <row r="291" spans="1:11">
      <c r="A291" s="42" t="s">
        <v>2830</v>
      </c>
      <c r="B291" s="42" t="s">
        <v>2751</v>
      </c>
      <c r="C291" s="42">
        <v>2376732</v>
      </c>
      <c r="E291" s="181">
        <v>13700</v>
      </c>
      <c r="F291" s="181"/>
      <c r="G291" s="181">
        <v>15117</v>
      </c>
      <c r="H291" s="42" t="s">
        <v>2899</v>
      </c>
      <c r="I291" s="42" t="s">
        <v>2958</v>
      </c>
      <c r="K291" s="181"/>
    </row>
    <row r="292" spans="1:11">
      <c r="A292" s="42" t="s">
        <v>2830</v>
      </c>
      <c r="B292" s="42" t="s">
        <v>2886</v>
      </c>
      <c r="C292" s="42">
        <v>2276734</v>
      </c>
      <c r="E292" s="181">
        <v>13773</v>
      </c>
      <c r="F292" s="181"/>
      <c r="G292" s="181">
        <v>13955</v>
      </c>
      <c r="H292" s="42" t="s">
        <v>2889</v>
      </c>
      <c r="I292" s="42" t="s">
        <v>3010</v>
      </c>
      <c r="J292" s="42" t="s">
        <v>702</v>
      </c>
      <c r="K292" s="181">
        <v>13277</v>
      </c>
    </row>
    <row r="293" spans="1:11">
      <c r="A293" s="42" t="s">
        <v>2830</v>
      </c>
      <c r="B293" s="42" t="s">
        <v>3085</v>
      </c>
      <c r="C293" s="165">
        <v>2420917</v>
      </c>
      <c r="D293" s="42">
        <v>413432</v>
      </c>
      <c r="E293" s="181">
        <v>13790</v>
      </c>
      <c r="F293" s="181"/>
      <c r="G293" s="181">
        <v>15845</v>
      </c>
      <c r="H293" s="42" t="s">
        <v>2842</v>
      </c>
      <c r="I293" s="42" t="s">
        <v>3086</v>
      </c>
      <c r="K293" s="181"/>
    </row>
    <row r="294" spans="1:11">
      <c r="A294" s="42" t="s">
        <v>2830</v>
      </c>
      <c r="B294" s="42" t="s">
        <v>3020</v>
      </c>
      <c r="C294" s="42">
        <v>2356676</v>
      </c>
      <c r="E294" s="181">
        <v>13921</v>
      </c>
      <c r="F294" s="181"/>
      <c r="G294" s="181">
        <v>14844</v>
      </c>
      <c r="H294" s="42" t="s">
        <v>2842</v>
      </c>
      <c r="I294" s="42" t="s">
        <v>2843</v>
      </c>
      <c r="J294" s="42" t="s">
        <v>702</v>
      </c>
      <c r="K294" s="181">
        <v>13530</v>
      </c>
    </row>
    <row r="295" spans="1:11">
      <c r="A295" s="42" t="s">
        <v>2830</v>
      </c>
      <c r="B295" s="42" t="s">
        <v>3085</v>
      </c>
      <c r="C295" s="165">
        <v>2399384</v>
      </c>
      <c r="D295" s="42">
        <v>435255</v>
      </c>
      <c r="E295" s="181">
        <v>13957</v>
      </c>
      <c r="F295" s="181"/>
      <c r="G295" s="181">
        <v>15460</v>
      </c>
      <c r="H295" s="42" t="s">
        <v>2842</v>
      </c>
      <c r="I295" s="42" t="s">
        <v>3220</v>
      </c>
      <c r="K295" s="181"/>
    </row>
    <row r="296" spans="1:11">
      <c r="A296" s="42" t="s">
        <v>2830</v>
      </c>
      <c r="B296" s="42" t="s">
        <v>3085</v>
      </c>
      <c r="C296" s="165">
        <v>2406114</v>
      </c>
      <c r="D296" s="42">
        <v>445864</v>
      </c>
      <c r="E296" s="181">
        <v>14035</v>
      </c>
      <c r="F296" s="181"/>
      <c r="G296" s="181">
        <v>15572</v>
      </c>
      <c r="H296" s="42" t="s">
        <v>2842</v>
      </c>
      <c r="I296" s="42" t="s">
        <v>3087</v>
      </c>
      <c r="K296" s="181"/>
    </row>
    <row r="297" spans="1:11">
      <c r="A297" s="42" t="s">
        <v>2830</v>
      </c>
      <c r="B297" s="42" t="s">
        <v>3085</v>
      </c>
      <c r="C297" s="165">
        <v>2410758</v>
      </c>
      <c r="D297" s="42">
        <v>451548</v>
      </c>
      <c r="E297" s="181">
        <v>14080</v>
      </c>
      <c r="F297" s="181"/>
      <c r="G297" s="181">
        <v>15649</v>
      </c>
      <c r="H297" s="42" t="s">
        <v>2842</v>
      </c>
      <c r="I297" s="42" t="s">
        <v>3219</v>
      </c>
      <c r="K297" s="181"/>
    </row>
    <row r="298" spans="1:11">
      <c r="A298" s="42" t="s">
        <v>2830</v>
      </c>
      <c r="B298" s="42" t="s">
        <v>3020</v>
      </c>
      <c r="C298" s="42">
        <v>2351682</v>
      </c>
      <c r="E298" s="181">
        <v>14158</v>
      </c>
      <c r="F298" s="181"/>
      <c r="G298" s="181">
        <v>14781</v>
      </c>
      <c r="H298" s="42" t="s">
        <v>3021</v>
      </c>
      <c r="I298" s="42" t="s">
        <v>3032</v>
      </c>
      <c r="J298" s="42" t="s">
        <v>702</v>
      </c>
      <c r="K298" s="181">
        <v>13793</v>
      </c>
    </row>
    <row r="299" spans="1:11">
      <c r="A299" s="42" t="s">
        <v>2830</v>
      </c>
      <c r="B299" s="42" t="s">
        <v>3020</v>
      </c>
      <c r="C299" s="42">
        <v>2330320</v>
      </c>
      <c r="E299" s="181">
        <v>14179</v>
      </c>
      <c r="F299" s="181"/>
      <c r="G299" s="181">
        <v>14515</v>
      </c>
      <c r="H299" s="42" t="s">
        <v>3021</v>
      </c>
      <c r="I299" s="42" t="s">
        <v>2890</v>
      </c>
      <c r="J299" s="42" t="s">
        <v>702</v>
      </c>
      <c r="K299" s="181">
        <v>13809</v>
      </c>
    </row>
    <row r="300" spans="1:11">
      <c r="A300" s="42" t="s">
        <v>2830</v>
      </c>
      <c r="B300" s="42" t="s">
        <v>2886</v>
      </c>
      <c r="C300" s="42">
        <v>2334116</v>
      </c>
      <c r="E300" s="181">
        <v>14202</v>
      </c>
      <c r="F300" s="181"/>
      <c r="G300" s="181">
        <v>14557</v>
      </c>
      <c r="H300" s="42" t="s">
        <v>2889</v>
      </c>
      <c r="I300" s="42" t="s">
        <v>3010</v>
      </c>
      <c r="J300" s="42" t="s">
        <v>702</v>
      </c>
      <c r="K300" s="181">
        <v>13734</v>
      </c>
    </row>
    <row r="301" spans="1:11">
      <c r="A301" s="42" t="s">
        <v>2830</v>
      </c>
      <c r="B301" s="42" t="s">
        <v>3085</v>
      </c>
      <c r="C301" s="165">
        <v>2423059</v>
      </c>
      <c r="D301" s="42">
        <v>476263</v>
      </c>
      <c r="E301" s="181">
        <v>14293</v>
      </c>
      <c r="F301" s="181"/>
      <c r="G301" s="181">
        <v>15880</v>
      </c>
      <c r="H301" s="42" t="s">
        <v>2842</v>
      </c>
      <c r="I301" s="42" t="s">
        <v>2957</v>
      </c>
      <c r="K301" s="181"/>
    </row>
    <row r="302" spans="1:11">
      <c r="A302" s="42" t="s">
        <v>2830</v>
      </c>
      <c r="B302" s="42" t="s">
        <v>3020</v>
      </c>
      <c r="C302" s="42">
        <v>2357561</v>
      </c>
      <c r="E302" s="181">
        <v>14336</v>
      </c>
      <c r="F302" s="181"/>
      <c r="G302" s="181">
        <v>14858</v>
      </c>
      <c r="H302" s="42" t="s">
        <v>3030</v>
      </c>
      <c r="I302" s="42" t="s">
        <v>2844</v>
      </c>
      <c r="J302" s="42" t="s">
        <v>702</v>
      </c>
      <c r="K302" s="181">
        <v>13945</v>
      </c>
    </row>
    <row r="303" spans="1:11">
      <c r="A303" s="42" t="s">
        <v>2830</v>
      </c>
      <c r="B303" s="42" t="s">
        <v>3020</v>
      </c>
      <c r="C303" s="42">
        <v>2379004</v>
      </c>
      <c r="E303" s="181">
        <v>14371</v>
      </c>
      <c r="F303" s="181"/>
      <c r="G303" s="181">
        <v>15152</v>
      </c>
      <c r="H303" s="42" t="s">
        <v>3030</v>
      </c>
      <c r="I303" s="42" t="s">
        <v>3031</v>
      </c>
      <c r="J303" s="42" t="s">
        <v>702</v>
      </c>
      <c r="K303" s="181">
        <v>14017</v>
      </c>
    </row>
    <row r="304" spans="1:11">
      <c r="A304" s="42" t="s">
        <v>2830</v>
      </c>
      <c r="B304" s="42" t="s">
        <v>3020</v>
      </c>
      <c r="C304" s="42">
        <v>2390338</v>
      </c>
      <c r="E304" s="181">
        <v>14371</v>
      </c>
      <c r="F304" s="181"/>
      <c r="G304" s="181">
        <v>15313</v>
      </c>
      <c r="H304" s="42" t="s">
        <v>3030</v>
      </c>
      <c r="I304" s="42" t="s">
        <v>2746</v>
      </c>
      <c r="J304" s="42" t="s">
        <v>702</v>
      </c>
      <c r="K304" s="181">
        <v>14020</v>
      </c>
    </row>
    <row r="305" spans="1:12">
      <c r="A305" s="42" t="s">
        <v>2830</v>
      </c>
      <c r="B305" s="42" t="s">
        <v>3020</v>
      </c>
      <c r="C305" s="42">
        <v>2348298</v>
      </c>
      <c r="E305" s="181">
        <v>14406</v>
      </c>
      <c r="F305" s="181"/>
      <c r="G305" s="181">
        <v>14739</v>
      </c>
      <c r="H305" s="42" t="s">
        <v>3030</v>
      </c>
      <c r="I305" s="42" t="s">
        <v>3031</v>
      </c>
      <c r="J305" s="42" t="s">
        <v>702</v>
      </c>
      <c r="K305" s="181">
        <v>14047</v>
      </c>
    </row>
    <row r="306" spans="1:12">
      <c r="A306" s="42" t="s">
        <v>2830</v>
      </c>
      <c r="B306" s="42" t="s">
        <v>3085</v>
      </c>
      <c r="C306" s="165">
        <v>2447791</v>
      </c>
      <c r="D306" s="42">
        <v>499987</v>
      </c>
      <c r="E306" s="181">
        <v>14481</v>
      </c>
      <c r="F306" s="181"/>
      <c r="G306" s="181">
        <v>16307</v>
      </c>
      <c r="H306" s="42" t="s">
        <v>2842</v>
      </c>
      <c r="I306" s="42" t="s">
        <v>2902</v>
      </c>
      <c r="K306" s="181"/>
    </row>
    <row r="307" spans="1:12">
      <c r="A307" s="42" t="s">
        <v>2830</v>
      </c>
      <c r="B307" s="42" t="s">
        <v>3020</v>
      </c>
      <c r="C307" s="42">
        <v>2385678</v>
      </c>
      <c r="E307" s="181">
        <v>14558</v>
      </c>
      <c r="F307" s="181"/>
      <c r="G307" s="181">
        <v>15243</v>
      </c>
      <c r="H307" s="42" t="s">
        <v>3030</v>
      </c>
      <c r="I307" s="42" t="s">
        <v>2745</v>
      </c>
      <c r="J307" s="42" t="s">
        <v>702</v>
      </c>
      <c r="K307" s="181">
        <v>14186</v>
      </c>
    </row>
    <row r="308" spans="1:12">
      <c r="A308" s="42" t="s">
        <v>2830</v>
      </c>
      <c r="B308" s="42" t="s">
        <v>3085</v>
      </c>
      <c r="C308" s="165">
        <v>2662757</v>
      </c>
      <c r="D308" s="42">
        <v>524534</v>
      </c>
      <c r="E308" s="181">
        <v>14670</v>
      </c>
      <c r="F308" s="181"/>
      <c r="G308" s="181">
        <v>18246</v>
      </c>
      <c r="H308" s="42" t="s">
        <v>2842</v>
      </c>
      <c r="I308" s="42" t="s">
        <v>2800</v>
      </c>
      <c r="K308" s="181"/>
    </row>
    <row r="309" spans="1:12">
      <c r="A309" s="42" t="s">
        <v>2830</v>
      </c>
      <c r="B309" s="42" t="s">
        <v>2747</v>
      </c>
      <c r="C309" s="165">
        <v>2400757</v>
      </c>
      <c r="D309" s="189">
        <v>534923</v>
      </c>
      <c r="E309" s="266">
        <v>14740</v>
      </c>
      <c r="F309" s="181"/>
      <c r="G309" s="181">
        <v>15481</v>
      </c>
      <c r="H309" s="42" t="s">
        <v>3030</v>
      </c>
      <c r="I309" s="42" t="s">
        <v>3031</v>
      </c>
      <c r="J309" s="42" t="s">
        <v>702</v>
      </c>
      <c r="K309" s="181">
        <v>14293</v>
      </c>
    </row>
    <row r="310" spans="1:12">
      <c r="A310" s="42" t="s">
        <v>2830</v>
      </c>
      <c r="B310" s="42" t="s">
        <v>2747</v>
      </c>
      <c r="C310" s="165">
        <v>2453910</v>
      </c>
      <c r="D310" s="189">
        <v>571337</v>
      </c>
      <c r="E310" s="202">
        <v>14979</v>
      </c>
      <c r="F310" s="181"/>
      <c r="G310" s="181">
        <v>16391</v>
      </c>
      <c r="H310" s="42" t="s">
        <v>3030</v>
      </c>
      <c r="I310" s="42" t="s">
        <v>2748</v>
      </c>
      <c r="J310" s="42" t="s">
        <v>702</v>
      </c>
      <c r="K310" s="181">
        <v>14579</v>
      </c>
      <c r="L310" s="42" t="s">
        <v>2749</v>
      </c>
    </row>
    <row r="311" spans="1:12">
      <c r="A311" s="42" t="s">
        <v>2830</v>
      </c>
      <c r="B311" s="42" t="s">
        <v>3020</v>
      </c>
      <c r="C311" s="42">
        <v>2378791</v>
      </c>
      <c r="E311" s="181">
        <v>15145</v>
      </c>
      <c r="F311" s="181"/>
      <c r="G311" s="181">
        <v>14584</v>
      </c>
      <c r="H311" s="42" t="s">
        <v>3030</v>
      </c>
      <c r="I311" s="42" t="s">
        <v>2744</v>
      </c>
      <c r="J311" s="42" t="s">
        <v>702</v>
      </c>
      <c r="K311" s="181">
        <v>14155</v>
      </c>
    </row>
    <row r="312" spans="1:12">
      <c r="A312" s="42" t="s">
        <v>2830</v>
      </c>
      <c r="B312" s="42" t="s">
        <v>2747</v>
      </c>
      <c r="C312" s="165">
        <v>2491979</v>
      </c>
      <c r="D312" s="189">
        <v>600345</v>
      </c>
      <c r="E312" s="202">
        <v>15145</v>
      </c>
      <c r="F312" s="181"/>
      <c r="G312" s="181">
        <v>16790</v>
      </c>
      <c r="H312" s="42" t="s">
        <v>3030</v>
      </c>
      <c r="I312" s="42" t="s">
        <v>3032</v>
      </c>
      <c r="J312" s="42" t="s">
        <v>702</v>
      </c>
      <c r="K312" s="181">
        <v>14780</v>
      </c>
    </row>
    <row r="313" spans="1:12">
      <c r="A313" s="42" t="s">
        <v>2830</v>
      </c>
      <c r="B313" s="42" t="s">
        <v>2747</v>
      </c>
      <c r="C313" s="165">
        <v>2508278</v>
      </c>
      <c r="D313" s="189">
        <v>629720</v>
      </c>
      <c r="E313" s="202">
        <v>15298</v>
      </c>
      <c r="F313" s="181"/>
      <c r="G313" s="181">
        <v>16937</v>
      </c>
      <c r="H313" s="42" t="s">
        <v>3030</v>
      </c>
      <c r="I313" s="42" t="s">
        <v>2750</v>
      </c>
      <c r="J313" s="42" t="s">
        <v>702</v>
      </c>
      <c r="K313" s="181">
        <v>14920</v>
      </c>
    </row>
    <row r="314" spans="1:12">
      <c r="A314" s="42" t="s">
        <v>2830</v>
      </c>
      <c r="B314" s="42" t="s">
        <v>2716</v>
      </c>
      <c r="C314" s="42">
        <v>1740221</v>
      </c>
      <c r="E314" s="181" t="s">
        <v>2782</v>
      </c>
      <c r="F314" s="181"/>
      <c r="G314" s="181">
        <v>9482</v>
      </c>
      <c r="H314" s="42" t="s">
        <v>2717</v>
      </c>
      <c r="I314" s="189" t="s">
        <v>2780</v>
      </c>
      <c r="J314" s="181" t="s">
        <v>2781</v>
      </c>
      <c r="K314" s="181">
        <v>7932</v>
      </c>
    </row>
    <row r="315" spans="1:12">
      <c r="C315" s="165"/>
      <c r="E315" s="181"/>
      <c r="F315" s="181"/>
      <c r="G315" s="181"/>
      <c r="K315" s="181"/>
    </row>
    <row r="316" spans="1:12">
      <c r="A316" t="s">
        <v>2830</v>
      </c>
      <c r="B316" s="383" t="s">
        <v>2732</v>
      </c>
      <c r="C316" s="383"/>
      <c r="D316">
        <v>742959</v>
      </c>
      <c r="E316" s="267"/>
      <c r="F316" s="267"/>
      <c r="G316" s="267"/>
      <c r="H316"/>
      <c r="I316"/>
      <c r="J316"/>
      <c r="K316" s="267"/>
      <c r="L316"/>
    </row>
    <row r="317" spans="1:12">
      <c r="A317" t="s">
        <v>2830</v>
      </c>
      <c r="B317" s="383" t="s">
        <v>2732</v>
      </c>
      <c r="C317" s="383"/>
      <c r="D317">
        <v>53187</v>
      </c>
      <c r="E317" s="267"/>
      <c r="F317" s="267"/>
      <c r="G317" s="267"/>
      <c r="H317"/>
      <c r="I317"/>
      <c r="J317"/>
      <c r="K317" s="267"/>
      <c r="L317"/>
    </row>
    <row r="318" spans="1:12">
      <c r="A318" t="s">
        <v>2830</v>
      </c>
      <c r="B318" s="383" t="s">
        <v>2732</v>
      </c>
      <c r="C318" s="383"/>
      <c r="D318">
        <v>87092</v>
      </c>
      <c r="E318" s="267"/>
      <c r="F318" s="267"/>
      <c r="G318" s="267"/>
      <c r="H318"/>
      <c r="I318"/>
      <c r="J318"/>
      <c r="K318" s="267"/>
      <c r="L318"/>
    </row>
    <row r="319" spans="1:12">
      <c r="A319" s="42" t="s">
        <v>2830</v>
      </c>
      <c r="B319" s="42" t="s">
        <v>2747</v>
      </c>
      <c r="D319" s="42">
        <v>444949</v>
      </c>
      <c r="E319" s="181"/>
      <c r="F319" s="181"/>
      <c r="G319" s="181"/>
      <c r="K319" s="181"/>
    </row>
    <row r="320" spans="1:12">
      <c r="A320" s="42" t="s">
        <v>2830</v>
      </c>
      <c r="B320" s="42" t="s">
        <v>3085</v>
      </c>
      <c r="C320" s="189"/>
      <c r="D320" s="42">
        <v>437345</v>
      </c>
      <c r="E320" s="181"/>
      <c r="F320" s="181"/>
      <c r="G320" s="181"/>
      <c r="K320" s="181"/>
    </row>
    <row r="321" spans="1:12">
      <c r="A321" s="42" t="s">
        <v>2830</v>
      </c>
      <c r="B321" s="42" t="s">
        <v>2751</v>
      </c>
      <c r="C321" s="189" t="s">
        <v>2960</v>
      </c>
      <c r="E321" s="181">
        <v>12795</v>
      </c>
      <c r="F321" s="181"/>
      <c r="G321" s="181">
        <v>13017</v>
      </c>
      <c r="H321" s="42" t="s">
        <v>2899</v>
      </c>
      <c r="I321" s="42" t="s">
        <v>2961</v>
      </c>
      <c r="K321" s="181"/>
      <c r="L321" s="42" t="s">
        <v>93</v>
      </c>
    </row>
    <row r="322" spans="1:12">
      <c r="A322" s="42" t="s">
        <v>2830</v>
      </c>
      <c r="B322" s="42" t="s">
        <v>3085</v>
      </c>
      <c r="C322" s="189"/>
      <c r="D322" s="42">
        <v>547057</v>
      </c>
      <c r="E322" s="181"/>
      <c r="F322" s="181"/>
      <c r="G322" s="181"/>
      <c r="K322" s="181"/>
    </row>
    <row r="325" spans="1:12">
      <c r="A325" s="126" t="s">
        <v>2271</v>
      </c>
    </row>
    <row r="326" spans="1:12">
      <c r="A326" s="125" t="s">
        <v>2341</v>
      </c>
    </row>
    <row r="328" spans="1:12">
      <c r="A328" s="42" t="s">
        <v>841</v>
      </c>
    </row>
    <row r="329" spans="1:12">
      <c r="A329" s="42" t="s">
        <v>804</v>
      </c>
    </row>
    <row r="330" spans="1:12">
      <c r="A330" s="42" t="s">
        <v>806</v>
      </c>
    </row>
    <row r="331" spans="1:12">
      <c r="A331" s="42" t="s">
        <v>805</v>
      </c>
    </row>
    <row r="332" spans="1:12">
      <c r="A332" s="42" t="s">
        <v>3961</v>
      </c>
    </row>
    <row r="333" spans="1:12">
      <c r="A333" s="42" t="s">
        <v>1369</v>
      </c>
    </row>
    <row r="334" spans="1:12">
      <c r="A334" s="42" t="s">
        <v>1370</v>
      </c>
    </row>
    <row r="335" spans="1:12">
      <c r="A335" s="42" t="s">
        <v>648</v>
      </c>
    </row>
    <row r="336" spans="1:12">
      <c r="A336" s="42" t="s">
        <v>754</v>
      </c>
    </row>
    <row r="337" spans="1:4">
      <c r="A337" s="42" t="s">
        <v>755</v>
      </c>
    </row>
    <row r="338" spans="1:4">
      <c r="A338" s="42" t="s">
        <v>38</v>
      </c>
    </row>
    <row r="340" spans="1:4">
      <c r="A340" s="126" t="s">
        <v>1407</v>
      </c>
    </row>
    <row r="341" spans="1:4">
      <c r="A341" s="42" t="s">
        <v>801</v>
      </c>
    </row>
    <row r="342" spans="1:4">
      <c r="A342" s="42" t="s">
        <v>721</v>
      </c>
    </row>
    <row r="344" spans="1:4">
      <c r="A344" s="126" t="s">
        <v>649</v>
      </c>
    </row>
    <row r="345" spans="1:4">
      <c r="A345" s="258" t="s">
        <v>847</v>
      </c>
      <c r="B345" s="258">
        <v>1936</v>
      </c>
      <c r="C345" s="258"/>
      <c r="D345" s="42" t="s">
        <v>853</v>
      </c>
    </row>
    <row r="346" spans="1:4">
      <c r="A346" s="42" t="s">
        <v>753</v>
      </c>
      <c r="B346" s="42">
        <v>1936</v>
      </c>
      <c r="D346" s="42" t="s">
        <v>853</v>
      </c>
    </row>
    <row r="347" spans="1:4">
      <c r="A347" s="42" t="s">
        <v>11</v>
      </c>
      <c r="B347" s="42">
        <v>1940</v>
      </c>
      <c r="D347" s="42" t="s">
        <v>853</v>
      </c>
    </row>
    <row r="348" spans="1:4">
      <c r="A348" s="42" t="s">
        <v>12</v>
      </c>
      <c r="B348" s="42">
        <v>1937</v>
      </c>
      <c r="D348" s="42" t="s">
        <v>849</v>
      </c>
    </row>
    <row r="349" spans="1:4">
      <c r="A349" s="42" t="s">
        <v>711</v>
      </c>
      <c r="B349" s="42">
        <v>1935</v>
      </c>
      <c r="D349" s="42" t="s">
        <v>850</v>
      </c>
    </row>
    <row r="350" spans="1:4">
      <c r="A350" s="42" t="s">
        <v>752</v>
      </c>
      <c r="B350" s="42">
        <v>1935</v>
      </c>
      <c r="D350" s="42" t="s">
        <v>850</v>
      </c>
    </row>
    <row r="351" spans="1:4">
      <c r="A351" s="42" t="s">
        <v>750</v>
      </c>
      <c r="B351" s="42">
        <v>1936</v>
      </c>
      <c r="D351" s="42" t="s">
        <v>730</v>
      </c>
    </row>
    <row r="352" spans="1:4">
      <c r="A352" s="42" t="s">
        <v>751</v>
      </c>
      <c r="B352" s="42">
        <v>1936</v>
      </c>
      <c r="D352" s="42" t="s">
        <v>730</v>
      </c>
    </row>
    <row r="353" spans="1:4">
      <c r="A353" s="42" t="s">
        <v>13</v>
      </c>
      <c r="B353" s="42">
        <v>1938</v>
      </c>
      <c r="D353" s="42" t="s">
        <v>730</v>
      </c>
    </row>
    <row r="354" spans="1:4">
      <c r="A354" s="42" t="s">
        <v>14</v>
      </c>
      <c r="B354" s="42">
        <v>1938</v>
      </c>
      <c r="D354" s="42" t="s">
        <v>730</v>
      </c>
    </row>
    <row r="355" spans="1:4">
      <c r="A355" s="42" t="s">
        <v>15</v>
      </c>
      <c r="B355" s="42">
        <v>1938</v>
      </c>
      <c r="D355" s="42" t="s">
        <v>730</v>
      </c>
    </row>
    <row r="356" spans="1:4">
      <c r="A356" s="42" t="s">
        <v>710</v>
      </c>
      <c r="B356" s="42">
        <v>1936</v>
      </c>
      <c r="D356" s="42" t="s">
        <v>730</v>
      </c>
    </row>
    <row r="357" spans="1:4">
      <c r="A357" s="42" t="s">
        <v>749</v>
      </c>
      <c r="B357" s="42">
        <v>1936</v>
      </c>
      <c r="D357" s="42" t="s">
        <v>730</v>
      </c>
    </row>
    <row r="358" spans="1:4">
      <c r="A358" s="42" t="s">
        <v>634</v>
      </c>
      <c r="B358" s="42">
        <v>1936</v>
      </c>
      <c r="D358" s="42" t="s">
        <v>743</v>
      </c>
    </row>
    <row r="359" spans="1:4">
      <c r="A359" s="42" t="s">
        <v>747</v>
      </c>
      <c r="B359" s="42">
        <v>1936</v>
      </c>
      <c r="D359" s="42" t="s">
        <v>685</v>
      </c>
    </row>
    <row r="360" spans="1:4">
      <c r="A360" s="42" t="s">
        <v>748</v>
      </c>
      <c r="B360" s="42">
        <v>1936</v>
      </c>
      <c r="D360" s="42" t="s">
        <v>685</v>
      </c>
    </row>
    <row r="361" spans="1:4">
      <c r="A361" s="42" t="s">
        <v>16</v>
      </c>
      <c r="B361" s="42">
        <v>1935</v>
      </c>
      <c r="D361" s="42" t="s">
        <v>760</v>
      </c>
    </row>
    <row r="362" spans="1:4">
      <c r="A362" s="42" t="s">
        <v>1</v>
      </c>
      <c r="B362" s="42">
        <v>1940</v>
      </c>
      <c r="D362" s="42" t="s">
        <v>760</v>
      </c>
    </row>
  </sheetData>
  <sheetCalcPr fullCalcOnLoad="1"/>
  <sortState ref="A173:XFD313">
    <sortCondition ref="E173:E313"/>
  </sortState>
  <mergeCells count="3">
    <mergeCell ref="B316:C316"/>
    <mergeCell ref="B317:C317"/>
    <mergeCell ref="B318:C318"/>
  </mergeCells>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19"/>
  <sheetViews>
    <sheetView workbookViewId="0">
      <selection activeCell="H16" sqref="H16"/>
    </sheetView>
  </sheetViews>
  <sheetFormatPr baseColWidth="10" defaultRowHeight="13"/>
  <cols>
    <col min="1" max="1" width="10.7109375" style="293"/>
    <col min="2" max="2" width="18.28515625" style="293" customWidth="1"/>
    <col min="3" max="3" width="8.7109375" style="293" customWidth="1"/>
    <col min="4" max="16384" width="10.7109375" style="293"/>
  </cols>
  <sheetData>
    <row r="1" spans="1:12" ht="52">
      <c r="A1" s="281" t="s">
        <v>1869</v>
      </c>
      <c r="B1" s="281" t="s">
        <v>2847</v>
      </c>
      <c r="C1" s="281" t="s">
        <v>1890</v>
      </c>
      <c r="D1" s="281" t="s">
        <v>820</v>
      </c>
      <c r="E1" s="282" t="s">
        <v>1891</v>
      </c>
      <c r="F1" s="281" t="s">
        <v>807</v>
      </c>
      <c r="G1" s="281" t="s">
        <v>1892</v>
      </c>
      <c r="H1" s="281" t="s">
        <v>808</v>
      </c>
      <c r="I1" s="281" t="s">
        <v>809</v>
      </c>
      <c r="J1" s="281" t="s">
        <v>810</v>
      </c>
      <c r="K1" s="282" t="s">
        <v>756</v>
      </c>
      <c r="L1" s="281" t="s">
        <v>757</v>
      </c>
    </row>
    <row r="2" spans="1:12" s="299" customFormat="1">
      <c r="A2" s="241" t="s">
        <v>2848</v>
      </c>
      <c r="B2" s="241" t="s">
        <v>3056</v>
      </c>
      <c r="C2" s="241">
        <v>2330215</v>
      </c>
      <c r="D2" s="241"/>
      <c r="E2" s="298">
        <v>11247</v>
      </c>
      <c r="F2" s="241" t="s">
        <v>2956</v>
      </c>
      <c r="G2" s="298">
        <v>14515</v>
      </c>
      <c r="H2" s="241" t="s">
        <v>599</v>
      </c>
      <c r="I2" s="241" t="s">
        <v>3075</v>
      </c>
      <c r="J2" s="241" t="s">
        <v>845</v>
      </c>
      <c r="K2" s="298">
        <v>10886</v>
      </c>
      <c r="L2" s="241"/>
    </row>
    <row r="3" spans="1:12" s="299" customFormat="1">
      <c r="A3" s="241" t="s">
        <v>2848</v>
      </c>
      <c r="B3" s="241" t="s">
        <v>3056</v>
      </c>
      <c r="C3" s="241">
        <v>2160719</v>
      </c>
      <c r="D3" s="241"/>
      <c r="E3" s="298">
        <v>11315</v>
      </c>
      <c r="F3" s="241"/>
      <c r="G3" s="298">
        <v>12933</v>
      </c>
      <c r="H3" s="241" t="s">
        <v>3057</v>
      </c>
      <c r="I3" s="241" t="s">
        <v>2968</v>
      </c>
      <c r="J3" s="241" t="s">
        <v>845</v>
      </c>
      <c r="K3" s="298">
        <v>10949</v>
      </c>
      <c r="L3" s="241"/>
    </row>
    <row r="4" spans="1:12" s="299" customFormat="1">
      <c r="A4" s="241" t="s">
        <v>2848</v>
      </c>
      <c r="B4" s="241" t="s">
        <v>3056</v>
      </c>
      <c r="C4" s="241">
        <v>2153700</v>
      </c>
      <c r="D4" s="241"/>
      <c r="E4" s="298">
        <v>11574</v>
      </c>
      <c r="F4" s="241"/>
      <c r="G4" s="298">
        <v>12884</v>
      </c>
      <c r="H4" s="241" t="s">
        <v>3057</v>
      </c>
      <c r="I4" s="241" t="s">
        <v>2950</v>
      </c>
      <c r="J4" s="241" t="s">
        <v>845</v>
      </c>
      <c r="K4" s="298">
        <v>11212</v>
      </c>
      <c r="L4" s="241"/>
    </row>
    <row r="5" spans="1:12" s="299" customFormat="1">
      <c r="A5" s="241" t="s">
        <v>2848</v>
      </c>
      <c r="B5" s="241" t="s">
        <v>3056</v>
      </c>
      <c r="C5" s="241">
        <v>2323584</v>
      </c>
      <c r="D5" s="241"/>
      <c r="E5" s="298">
        <v>11584</v>
      </c>
      <c r="F5" s="241"/>
      <c r="G5" s="298">
        <v>14431</v>
      </c>
      <c r="H5" s="241" t="s">
        <v>599</v>
      </c>
      <c r="I5" s="241" t="s">
        <v>2955</v>
      </c>
      <c r="J5" s="241" t="s">
        <v>845</v>
      </c>
      <c r="K5" s="298">
        <v>11229</v>
      </c>
      <c r="L5" s="241"/>
    </row>
    <row r="6" spans="1:12" s="299" customFormat="1">
      <c r="A6" s="241" t="s">
        <v>2848</v>
      </c>
      <c r="B6" s="241" t="s">
        <v>3056</v>
      </c>
      <c r="C6" s="241">
        <v>2243887</v>
      </c>
      <c r="D6" s="241"/>
      <c r="E6" s="298">
        <v>11633</v>
      </c>
      <c r="F6" s="241"/>
      <c r="G6" s="298">
        <v>13668</v>
      </c>
      <c r="H6" s="241" t="s">
        <v>599</v>
      </c>
      <c r="I6" s="241" t="s">
        <v>2969</v>
      </c>
      <c r="J6" s="241" t="s">
        <v>845</v>
      </c>
      <c r="K6" s="298">
        <v>11635</v>
      </c>
      <c r="L6" s="241"/>
    </row>
    <row r="7" spans="1:12" s="299" customFormat="1">
      <c r="A7" s="241" t="s">
        <v>2848</v>
      </c>
      <c r="B7" s="241" t="s">
        <v>3056</v>
      </c>
      <c r="C7" s="241">
        <v>2201121</v>
      </c>
      <c r="D7" s="241"/>
      <c r="E7" s="298">
        <v>12044</v>
      </c>
      <c r="F7" s="241"/>
      <c r="G7" s="298">
        <v>13283</v>
      </c>
      <c r="H7" s="241" t="s">
        <v>599</v>
      </c>
      <c r="I7" s="241" t="s">
        <v>2968</v>
      </c>
      <c r="J7" s="241" t="s">
        <v>845</v>
      </c>
      <c r="K7" s="298">
        <v>11680</v>
      </c>
      <c r="L7" s="241"/>
    </row>
    <row r="8" spans="1:12" s="299" customFormat="1">
      <c r="A8" s="241" t="s">
        <v>2848</v>
      </c>
      <c r="B8" s="241" t="s">
        <v>3056</v>
      </c>
      <c r="C8" s="241">
        <v>2244968</v>
      </c>
      <c r="D8" s="241"/>
      <c r="E8" s="298">
        <v>12117</v>
      </c>
      <c r="F8" s="241"/>
      <c r="G8" s="298">
        <v>13675</v>
      </c>
      <c r="H8" s="241" t="s">
        <v>599</v>
      </c>
      <c r="I8" s="241" t="s">
        <v>3100</v>
      </c>
      <c r="J8" s="241"/>
      <c r="K8" s="241"/>
      <c r="L8" s="241"/>
    </row>
    <row r="9" spans="1:12" s="299" customFormat="1">
      <c r="A9" s="241" t="s">
        <v>2848</v>
      </c>
      <c r="B9" s="241" t="s">
        <v>3157</v>
      </c>
      <c r="C9" s="241">
        <v>2216837</v>
      </c>
      <c r="D9" s="241"/>
      <c r="E9" s="298">
        <v>12129</v>
      </c>
      <c r="F9" s="241"/>
      <c r="G9" s="298">
        <v>13430</v>
      </c>
      <c r="H9" s="241" t="s">
        <v>3158</v>
      </c>
      <c r="I9" s="241" t="s">
        <v>3024</v>
      </c>
      <c r="J9" s="241" t="s">
        <v>3025</v>
      </c>
      <c r="K9" s="298">
        <v>11770</v>
      </c>
      <c r="L9" s="241"/>
    </row>
    <row r="10" spans="1:12" s="299" customFormat="1">
      <c r="A10" s="241" t="s">
        <v>2848</v>
      </c>
      <c r="B10" s="241" t="s">
        <v>3056</v>
      </c>
      <c r="C10" s="241">
        <v>2312344</v>
      </c>
      <c r="D10" s="241"/>
      <c r="E10" s="298">
        <v>12244</v>
      </c>
      <c r="F10" s="241"/>
      <c r="G10" s="298">
        <v>14305</v>
      </c>
      <c r="H10" s="241" t="s">
        <v>599</v>
      </c>
      <c r="I10" s="241" t="s">
        <v>2897</v>
      </c>
      <c r="J10" s="241" t="s">
        <v>845</v>
      </c>
      <c r="K10" s="298">
        <v>11883</v>
      </c>
      <c r="L10" s="241"/>
    </row>
    <row r="11" spans="1:12" s="299" customFormat="1">
      <c r="A11" s="241" t="s">
        <v>2848</v>
      </c>
      <c r="B11" s="241" t="s">
        <v>2943</v>
      </c>
      <c r="C11" s="241">
        <v>2183589</v>
      </c>
      <c r="D11" s="241"/>
      <c r="E11" s="298">
        <v>12407</v>
      </c>
      <c r="F11" s="241"/>
      <c r="G11" s="298">
        <v>13146</v>
      </c>
      <c r="H11" s="241" t="s">
        <v>2868</v>
      </c>
      <c r="I11" s="241" t="s">
        <v>2948</v>
      </c>
      <c r="J11" s="241" t="s">
        <v>3025</v>
      </c>
      <c r="K11" s="298">
        <v>12044</v>
      </c>
      <c r="L11" s="241"/>
    </row>
    <row r="12" spans="1:12">
      <c r="A12" s="283" t="s">
        <v>2848</v>
      </c>
      <c r="B12" s="31" t="s">
        <v>2943</v>
      </c>
      <c r="C12" s="31">
        <v>2232730</v>
      </c>
      <c r="D12" s="31"/>
      <c r="E12" s="284">
        <v>12487</v>
      </c>
      <c r="F12" s="31"/>
      <c r="G12" s="284">
        <v>13570</v>
      </c>
      <c r="H12" s="31" t="s">
        <v>2868</v>
      </c>
      <c r="I12" s="31" t="s">
        <v>2949</v>
      </c>
      <c r="J12" s="31" t="s">
        <v>3025</v>
      </c>
      <c r="K12" s="284">
        <v>12141</v>
      </c>
      <c r="L12" s="31"/>
    </row>
    <row r="13" spans="1:12">
      <c r="A13" s="283" t="s">
        <v>2848</v>
      </c>
      <c r="B13" s="31" t="s">
        <v>2943</v>
      </c>
      <c r="C13" s="31">
        <v>2248284</v>
      </c>
      <c r="D13" s="31" t="s">
        <v>3050</v>
      </c>
      <c r="E13" s="284">
        <v>12487</v>
      </c>
      <c r="F13" s="285">
        <v>12823</v>
      </c>
      <c r="G13" s="284">
        <v>13703</v>
      </c>
      <c r="H13" s="31" t="s">
        <v>2868</v>
      </c>
      <c r="I13" s="31" t="s">
        <v>2949</v>
      </c>
      <c r="J13" s="31" t="s">
        <v>3025</v>
      </c>
      <c r="K13" s="284">
        <v>12134</v>
      </c>
      <c r="L13" s="31"/>
    </row>
    <row r="14" spans="1:12">
      <c r="A14" s="283" t="s">
        <v>2848</v>
      </c>
      <c r="B14" s="31" t="s">
        <v>2943</v>
      </c>
      <c r="C14" s="31">
        <v>2312480</v>
      </c>
      <c r="D14" s="31"/>
      <c r="E14" s="284">
        <v>12487</v>
      </c>
      <c r="F14" s="31"/>
      <c r="G14" s="284">
        <v>14305</v>
      </c>
      <c r="H14" s="31" t="s">
        <v>2868</v>
      </c>
      <c r="I14" s="31" t="s">
        <v>2949</v>
      </c>
      <c r="J14" s="31" t="s">
        <v>3025</v>
      </c>
      <c r="K14" s="284">
        <v>12134</v>
      </c>
      <c r="L14" s="31"/>
    </row>
    <row r="15" spans="1:12">
      <c r="A15" s="283" t="s">
        <v>2848</v>
      </c>
      <c r="B15" s="31" t="s">
        <v>2943</v>
      </c>
      <c r="C15" s="31">
        <v>2312481</v>
      </c>
      <c r="D15" s="31"/>
      <c r="E15" s="284">
        <v>12487</v>
      </c>
      <c r="F15" s="31"/>
      <c r="G15" s="284">
        <v>14305</v>
      </c>
      <c r="H15" s="31" t="s">
        <v>2868</v>
      </c>
      <c r="I15" s="31" t="s">
        <v>2949</v>
      </c>
      <c r="J15" s="31" t="s">
        <v>3025</v>
      </c>
      <c r="K15" s="284">
        <v>12136</v>
      </c>
      <c r="L15" s="31"/>
    </row>
    <row r="16" spans="1:12">
      <c r="A16" s="283" t="s">
        <v>2848</v>
      </c>
      <c r="B16" s="31" t="s">
        <v>3157</v>
      </c>
      <c r="C16" s="31">
        <v>2267257</v>
      </c>
      <c r="D16" s="31"/>
      <c r="E16" s="284">
        <v>12590</v>
      </c>
      <c r="F16" s="31"/>
      <c r="G16" s="284">
        <v>13871</v>
      </c>
      <c r="H16" s="31" t="s">
        <v>773</v>
      </c>
      <c r="I16" s="31" t="s">
        <v>3027</v>
      </c>
      <c r="J16" s="31" t="s">
        <v>3025</v>
      </c>
      <c r="K16" s="284">
        <v>12230</v>
      </c>
      <c r="L16" s="31"/>
    </row>
    <row r="17" spans="1:12">
      <c r="A17" s="283" t="s">
        <v>2848</v>
      </c>
      <c r="B17" s="31" t="s">
        <v>3056</v>
      </c>
      <c r="C17" s="31">
        <v>2321690</v>
      </c>
      <c r="D17" s="31"/>
      <c r="E17" s="284">
        <v>12590</v>
      </c>
      <c r="F17" s="31"/>
      <c r="G17" s="284">
        <v>14410</v>
      </c>
      <c r="H17" s="31" t="s">
        <v>599</v>
      </c>
      <c r="I17" s="31" t="s">
        <v>2897</v>
      </c>
      <c r="J17" s="31" t="s">
        <v>845</v>
      </c>
      <c r="K17" s="284">
        <v>12241</v>
      </c>
      <c r="L17" s="31"/>
    </row>
    <row r="18" spans="1:12">
      <c r="A18" s="283" t="s">
        <v>2848</v>
      </c>
      <c r="B18" s="31" t="s">
        <v>3157</v>
      </c>
      <c r="C18" s="31">
        <v>2239012</v>
      </c>
      <c r="D18" s="31"/>
      <c r="E18" s="284">
        <v>12604</v>
      </c>
      <c r="F18" s="31"/>
      <c r="G18" s="284">
        <v>13626</v>
      </c>
      <c r="H18" s="31" t="s">
        <v>773</v>
      </c>
      <c r="I18" s="31" t="s">
        <v>3026</v>
      </c>
      <c r="J18" s="31" t="s">
        <v>3025</v>
      </c>
      <c r="K18" s="284">
        <v>12251</v>
      </c>
      <c r="L18" s="31"/>
    </row>
    <row r="19" spans="1:12">
      <c r="A19" s="283" t="s">
        <v>2848</v>
      </c>
      <c r="B19" s="31" t="s">
        <v>3157</v>
      </c>
      <c r="C19" s="31">
        <v>2309408</v>
      </c>
      <c r="D19" s="31"/>
      <c r="E19" s="284">
        <v>12604</v>
      </c>
      <c r="F19" s="31"/>
      <c r="G19" s="284">
        <v>14270</v>
      </c>
      <c r="H19" s="31" t="s">
        <v>773</v>
      </c>
      <c r="I19" s="31" t="s">
        <v>3026</v>
      </c>
      <c r="J19" s="31" t="s">
        <v>3025</v>
      </c>
      <c r="K19" s="284">
        <v>12243</v>
      </c>
      <c r="L19" s="31"/>
    </row>
    <row r="20" spans="1:12">
      <c r="A20" s="283" t="s">
        <v>2848</v>
      </c>
      <c r="B20" s="31" t="s">
        <v>2943</v>
      </c>
      <c r="C20" s="31">
        <v>2296572</v>
      </c>
      <c r="D20" s="31"/>
      <c r="E20" s="284">
        <v>12618</v>
      </c>
      <c r="F20" s="31"/>
      <c r="G20" s="284">
        <v>14144</v>
      </c>
      <c r="H20" s="31" t="s">
        <v>2868</v>
      </c>
      <c r="I20" s="31" t="s">
        <v>2949</v>
      </c>
      <c r="J20" s="31" t="s">
        <v>3025</v>
      </c>
      <c r="K20" s="284">
        <v>12259</v>
      </c>
      <c r="L20" s="31"/>
    </row>
    <row r="21" spans="1:12">
      <c r="A21" s="283" t="s">
        <v>2848</v>
      </c>
      <c r="B21" s="31" t="s">
        <v>3157</v>
      </c>
      <c r="C21" s="31">
        <v>2267258</v>
      </c>
      <c r="D21" s="31"/>
      <c r="E21" s="284">
        <v>12632</v>
      </c>
      <c r="F21" s="31"/>
      <c r="G21" s="284">
        <v>13871</v>
      </c>
      <c r="H21" s="31" t="s">
        <v>773</v>
      </c>
      <c r="I21" s="31" t="s">
        <v>3027</v>
      </c>
      <c r="J21" s="31" t="s">
        <v>3025</v>
      </c>
      <c r="K21" s="284">
        <v>12277</v>
      </c>
      <c r="L21" s="31"/>
    </row>
    <row r="22" spans="1:12">
      <c r="A22" s="283" t="s">
        <v>2848</v>
      </c>
      <c r="B22" s="31" t="s">
        <v>3056</v>
      </c>
      <c r="C22" s="31">
        <v>2266778</v>
      </c>
      <c r="D22" s="31"/>
      <c r="E22" s="284">
        <v>12741</v>
      </c>
      <c r="F22" s="31"/>
      <c r="G22" s="284">
        <v>13871</v>
      </c>
      <c r="H22" s="31" t="s">
        <v>599</v>
      </c>
      <c r="I22" s="31" t="s">
        <v>2896</v>
      </c>
      <c r="J22" s="31" t="s">
        <v>845</v>
      </c>
      <c r="K22" s="284">
        <v>12331</v>
      </c>
      <c r="L22" s="31"/>
    </row>
    <row r="23" spans="1:12">
      <c r="A23" s="283" t="s">
        <v>2848</v>
      </c>
      <c r="B23" s="31" t="s">
        <v>3056</v>
      </c>
      <c r="C23" s="31">
        <v>2322809</v>
      </c>
      <c r="D23" s="31"/>
      <c r="E23" s="284">
        <v>12774</v>
      </c>
      <c r="F23" s="31"/>
      <c r="G23" s="284">
        <v>14424</v>
      </c>
      <c r="H23" s="31" t="s">
        <v>599</v>
      </c>
      <c r="I23" s="31" t="s">
        <v>2898</v>
      </c>
      <c r="J23" s="31" t="s">
        <v>845</v>
      </c>
      <c r="K23" s="284">
        <v>12409</v>
      </c>
      <c r="L23" s="31"/>
    </row>
    <row r="24" spans="1:12">
      <c r="A24" s="283" t="s">
        <v>2848</v>
      </c>
      <c r="B24" s="31" t="s">
        <v>2943</v>
      </c>
      <c r="C24" s="31">
        <v>2312482</v>
      </c>
      <c r="D24" s="31"/>
      <c r="E24" s="284">
        <v>12792</v>
      </c>
      <c r="F24" s="31"/>
      <c r="G24" s="284">
        <v>14305</v>
      </c>
      <c r="H24" s="31" t="s">
        <v>2868</v>
      </c>
      <c r="I24" s="31" t="s">
        <v>2949</v>
      </c>
      <c r="J24" s="31" t="s">
        <v>786</v>
      </c>
      <c r="K24" s="284">
        <v>12431</v>
      </c>
      <c r="L24" s="31"/>
    </row>
    <row r="25" spans="1:12">
      <c r="A25" s="283" t="s">
        <v>2848</v>
      </c>
      <c r="B25" s="31" t="s">
        <v>3157</v>
      </c>
      <c r="C25" s="31">
        <v>2270379</v>
      </c>
      <c r="D25" s="31"/>
      <c r="E25" s="284">
        <v>12834</v>
      </c>
      <c r="F25" s="31"/>
      <c r="G25" s="284">
        <v>13899</v>
      </c>
      <c r="H25" s="31" t="s">
        <v>773</v>
      </c>
      <c r="I25" s="31" t="s">
        <v>3152</v>
      </c>
      <c r="J25" s="31" t="s">
        <v>3025</v>
      </c>
      <c r="K25" s="284">
        <v>12472</v>
      </c>
      <c r="L25" s="31"/>
    </row>
    <row r="26" spans="1:12">
      <c r="A26" s="283" t="s">
        <v>2848</v>
      </c>
      <c r="B26" s="31" t="s">
        <v>3056</v>
      </c>
      <c r="C26" s="31">
        <v>2265143</v>
      </c>
      <c r="D26" s="31"/>
      <c r="E26" s="284">
        <v>12930</v>
      </c>
      <c r="F26" s="31"/>
      <c r="G26" s="284">
        <v>13857</v>
      </c>
      <c r="H26" s="31" t="s">
        <v>599</v>
      </c>
      <c r="I26" s="31" t="s">
        <v>2895</v>
      </c>
      <c r="J26" s="31" t="s">
        <v>845</v>
      </c>
      <c r="K26" s="284">
        <v>12569</v>
      </c>
      <c r="L26" s="31"/>
    </row>
    <row r="27" spans="1:12">
      <c r="A27" s="283" t="s">
        <v>2848</v>
      </c>
      <c r="B27" s="31" t="s">
        <v>3157</v>
      </c>
      <c r="C27" s="31">
        <v>2305727</v>
      </c>
      <c r="D27" s="31"/>
      <c r="E27" s="284">
        <v>13051</v>
      </c>
      <c r="F27" s="31"/>
      <c r="G27" s="284">
        <v>14235</v>
      </c>
      <c r="H27" s="31" t="s">
        <v>773</v>
      </c>
      <c r="I27" s="31" t="s">
        <v>3153</v>
      </c>
      <c r="J27" s="31" t="s">
        <v>3025</v>
      </c>
      <c r="K27" s="284">
        <v>12691</v>
      </c>
      <c r="L27" s="31"/>
    </row>
    <row r="28" spans="1:12">
      <c r="A28" s="283" t="s">
        <v>2848</v>
      </c>
      <c r="B28" s="31" t="s">
        <v>3056</v>
      </c>
      <c r="C28" s="31">
        <v>2409043</v>
      </c>
      <c r="D28" s="31"/>
      <c r="E28" s="284">
        <v>13167</v>
      </c>
      <c r="F28" s="31"/>
      <c r="G28" s="284">
        <v>15621</v>
      </c>
      <c r="H28" s="31" t="s">
        <v>599</v>
      </c>
      <c r="I28" s="31" t="s">
        <v>3076</v>
      </c>
      <c r="J28" s="31" t="s">
        <v>845</v>
      </c>
      <c r="K28" s="284">
        <v>12796</v>
      </c>
      <c r="L28" s="31"/>
    </row>
    <row r="29" spans="1:12">
      <c r="A29" s="283" t="s">
        <v>2848</v>
      </c>
      <c r="B29" s="31" t="s">
        <v>2928</v>
      </c>
      <c r="C29" s="31">
        <v>2492188</v>
      </c>
      <c r="D29" s="31"/>
      <c r="E29" s="284">
        <v>13202</v>
      </c>
      <c r="F29" s="31"/>
      <c r="G29" s="284">
        <v>16797</v>
      </c>
      <c r="H29" s="31" t="s">
        <v>2930</v>
      </c>
      <c r="I29" s="31" t="s">
        <v>2931</v>
      </c>
      <c r="J29" s="31"/>
      <c r="K29" s="284"/>
      <c r="L29" s="31"/>
    </row>
    <row r="30" spans="1:12">
      <c r="A30" s="283" t="s">
        <v>2848</v>
      </c>
      <c r="B30" s="31" t="s">
        <v>2943</v>
      </c>
      <c r="C30" s="31">
        <v>2268084</v>
      </c>
      <c r="D30" s="31"/>
      <c r="E30" s="284">
        <v>13209</v>
      </c>
      <c r="F30" s="31"/>
      <c r="G30" s="284">
        <v>13878</v>
      </c>
      <c r="H30" s="31" t="s">
        <v>2868</v>
      </c>
      <c r="I30" s="31" t="s">
        <v>2949</v>
      </c>
      <c r="J30" s="31" t="s">
        <v>786</v>
      </c>
      <c r="K30" s="284">
        <v>12879</v>
      </c>
      <c r="L30" s="31"/>
    </row>
    <row r="31" spans="1:12">
      <c r="A31" s="283" t="s">
        <v>2848</v>
      </c>
      <c r="B31" s="31" t="s">
        <v>2943</v>
      </c>
      <c r="C31" s="31">
        <v>2312483</v>
      </c>
      <c r="D31" s="31"/>
      <c r="E31" s="284">
        <v>13552</v>
      </c>
      <c r="F31" s="31"/>
      <c r="G31" s="284">
        <v>14305</v>
      </c>
      <c r="H31" s="31" t="s">
        <v>2868</v>
      </c>
      <c r="I31" s="31" t="s">
        <v>2949</v>
      </c>
      <c r="J31" s="31"/>
      <c r="K31" s="284"/>
      <c r="L31" s="31"/>
    </row>
    <row r="32" spans="1:12">
      <c r="A32" s="283" t="s">
        <v>2848</v>
      </c>
      <c r="B32" s="31" t="s">
        <v>2943</v>
      </c>
      <c r="C32" s="31">
        <v>2312484</v>
      </c>
      <c r="D32" s="31"/>
      <c r="E32" s="284">
        <v>13650</v>
      </c>
      <c r="F32" s="31"/>
      <c r="G32" s="284">
        <v>14305</v>
      </c>
      <c r="H32" s="31" t="s">
        <v>2868</v>
      </c>
      <c r="I32" s="31" t="s">
        <v>2949</v>
      </c>
      <c r="J32" s="31" t="s">
        <v>3025</v>
      </c>
      <c r="K32" s="284">
        <v>13377</v>
      </c>
      <c r="L32" s="31"/>
    </row>
    <row r="33" spans="1:12" s="294" customFormat="1">
      <c r="A33" s="290" t="s">
        <v>2848</v>
      </c>
      <c r="B33" s="290" t="s">
        <v>2849</v>
      </c>
      <c r="C33" s="290">
        <v>2419220</v>
      </c>
      <c r="D33" s="290" t="s">
        <v>2850</v>
      </c>
      <c r="E33" s="291">
        <v>13846</v>
      </c>
      <c r="F33" s="292">
        <v>14206</v>
      </c>
      <c r="G33" s="291">
        <v>15817</v>
      </c>
      <c r="H33" s="290" t="s">
        <v>283</v>
      </c>
      <c r="I33" s="290" t="s">
        <v>2851</v>
      </c>
      <c r="J33" s="290"/>
      <c r="K33" s="291"/>
      <c r="L33" s="290"/>
    </row>
    <row r="34" spans="1:12">
      <c r="A34" s="283" t="s">
        <v>2848</v>
      </c>
      <c r="B34" s="31" t="s">
        <v>3056</v>
      </c>
      <c r="C34" s="31">
        <v>2445006</v>
      </c>
      <c r="D34" s="31"/>
      <c r="E34" s="284">
        <v>14148</v>
      </c>
      <c r="F34" s="31"/>
      <c r="G34" s="284">
        <v>16265</v>
      </c>
      <c r="H34" s="31" t="s">
        <v>599</v>
      </c>
      <c r="I34" s="31" t="s">
        <v>3077</v>
      </c>
      <c r="J34" s="31"/>
      <c r="K34" s="284"/>
      <c r="L34" s="31"/>
    </row>
    <row r="35" spans="1:12">
      <c r="A35" s="283" t="s">
        <v>2848</v>
      </c>
      <c r="B35" s="31" t="s">
        <v>2943</v>
      </c>
      <c r="C35" s="31">
        <v>2387706</v>
      </c>
      <c r="D35" s="31"/>
      <c r="E35" s="284">
        <v>14256</v>
      </c>
      <c r="F35" s="31"/>
      <c r="G35" s="284">
        <v>15271</v>
      </c>
      <c r="H35" s="287"/>
      <c r="I35" s="31" t="s">
        <v>2949</v>
      </c>
      <c r="J35" s="31" t="s">
        <v>3025</v>
      </c>
      <c r="K35" s="284">
        <v>13984</v>
      </c>
      <c r="L35" s="31"/>
    </row>
    <row r="36" spans="1:12">
      <c r="A36" s="283" t="s">
        <v>2848</v>
      </c>
      <c r="B36" s="31" t="s">
        <v>2943</v>
      </c>
      <c r="C36" s="31">
        <v>2403683</v>
      </c>
      <c r="D36" s="31"/>
      <c r="E36" s="284">
        <v>14279</v>
      </c>
      <c r="F36" s="31"/>
      <c r="G36" s="284">
        <v>15530</v>
      </c>
      <c r="H36" s="287"/>
      <c r="I36" s="31" t="s">
        <v>2949</v>
      </c>
      <c r="J36" s="31" t="s">
        <v>3025</v>
      </c>
      <c r="K36" s="284">
        <v>13994</v>
      </c>
      <c r="L36" s="31"/>
    </row>
    <row r="37" spans="1:12">
      <c r="A37" s="283" t="s">
        <v>2848</v>
      </c>
      <c r="B37" s="31" t="s">
        <v>2943</v>
      </c>
      <c r="C37" s="31">
        <v>2440874</v>
      </c>
      <c r="D37" s="31"/>
      <c r="E37" s="284">
        <v>14279</v>
      </c>
      <c r="F37" s="31"/>
      <c r="G37" s="284">
        <v>16195</v>
      </c>
      <c r="H37" s="287"/>
      <c r="I37" s="31" t="s">
        <v>2949</v>
      </c>
      <c r="J37" s="31" t="s">
        <v>3025</v>
      </c>
      <c r="K37" s="284">
        <v>14159</v>
      </c>
      <c r="L37" s="31"/>
    </row>
    <row r="38" spans="1:12">
      <c r="A38" s="283" t="s">
        <v>2848</v>
      </c>
      <c r="B38" s="31" t="s">
        <v>2943</v>
      </c>
      <c r="C38" s="31">
        <v>2503842</v>
      </c>
      <c r="D38" s="31" t="s">
        <v>3053</v>
      </c>
      <c r="E38" s="284">
        <v>14279</v>
      </c>
      <c r="F38" s="285">
        <v>15398</v>
      </c>
      <c r="G38" s="284">
        <v>16902</v>
      </c>
      <c r="H38" s="287"/>
      <c r="I38" s="31" t="s">
        <v>2949</v>
      </c>
      <c r="J38" s="31" t="s">
        <v>3025</v>
      </c>
      <c r="K38" s="284">
        <v>13994</v>
      </c>
      <c r="L38" s="31"/>
    </row>
    <row r="39" spans="1:12">
      <c r="A39" s="283" t="s">
        <v>2848</v>
      </c>
      <c r="B39" s="31" t="s">
        <v>2943</v>
      </c>
      <c r="C39" s="31">
        <v>2479966</v>
      </c>
      <c r="D39" s="31" t="s">
        <v>3051</v>
      </c>
      <c r="E39" s="284">
        <v>14280</v>
      </c>
      <c r="F39" s="285">
        <v>15398</v>
      </c>
      <c r="G39" s="284">
        <v>16671</v>
      </c>
      <c r="H39" s="31" t="s">
        <v>3052</v>
      </c>
      <c r="I39" s="31" t="s">
        <v>2949</v>
      </c>
      <c r="J39" s="31" t="s">
        <v>3025</v>
      </c>
      <c r="K39" s="284">
        <v>14157</v>
      </c>
      <c r="L39" s="31"/>
    </row>
    <row r="40" spans="1:12">
      <c r="A40" s="283" t="s">
        <v>2848</v>
      </c>
      <c r="B40" s="31" t="s">
        <v>2943</v>
      </c>
      <c r="C40" s="31" t="s">
        <v>3054</v>
      </c>
      <c r="D40" s="31"/>
      <c r="E40" s="284">
        <v>14280</v>
      </c>
      <c r="F40" s="285">
        <v>15593</v>
      </c>
      <c r="G40" s="284">
        <v>16034</v>
      </c>
      <c r="H40" s="287"/>
      <c r="I40" s="31" t="s">
        <v>2949</v>
      </c>
      <c r="J40" s="31" t="s">
        <v>3025</v>
      </c>
      <c r="K40" s="284">
        <v>14157</v>
      </c>
      <c r="L40" s="31"/>
    </row>
    <row r="41" spans="1:12">
      <c r="A41" s="283" t="s">
        <v>2848</v>
      </c>
      <c r="B41" s="31" t="s">
        <v>3157</v>
      </c>
      <c r="C41" s="31">
        <v>2411631</v>
      </c>
      <c r="D41" s="31"/>
      <c r="E41" s="284">
        <v>14406</v>
      </c>
      <c r="F41" s="31"/>
      <c r="G41" s="284">
        <v>15670</v>
      </c>
      <c r="H41" s="31" t="s">
        <v>773</v>
      </c>
      <c r="I41" s="31" t="s">
        <v>3154</v>
      </c>
      <c r="J41" s="31" t="s">
        <v>3025</v>
      </c>
      <c r="K41" s="284">
        <v>14237</v>
      </c>
      <c r="L41" s="31"/>
    </row>
    <row r="42" spans="1:12">
      <c r="A42" s="283" t="s">
        <v>2848</v>
      </c>
      <c r="B42" s="31" t="s">
        <v>3157</v>
      </c>
      <c r="C42" s="31">
        <v>2461563</v>
      </c>
      <c r="D42" s="31"/>
      <c r="E42" s="284">
        <v>14461</v>
      </c>
      <c r="F42" s="31"/>
      <c r="G42" s="284">
        <v>16482</v>
      </c>
      <c r="H42" s="31" t="s">
        <v>773</v>
      </c>
      <c r="I42" s="31" t="s">
        <v>3285</v>
      </c>
      <c r="J42" s="31" t="s">
        <v>3025</v>
      </c>
      <c r="K42" s="284">
        <v>14109</v>
      </c>
      <c r="L42" s="31"/>
    </row>
    <row r="43" spans="1:12">
      <c r="A43" s="283" t="s">
        <v>2848</v>
      </c>
      <c r="B43" s="31" t="s">
        <v>3157</v>
      </c>
      <c r="C43" s="31">
        <v>2479761</v>
      </c>
      <c r="D43" s="31"/>
      <c r="E43" s="284">
        <v>14895</v>
      </c>
      <c r="F43" s="31"/>
      <c r="G43" s="284">
        <v>16671</v>
      </c>
      <c r="H43" s="31" t="s">
        <v>773</v>
      </c>
      <c r="I43" s="31" t="s">
        <v>3154</v>
      </c>
      <c r="J43" s="31" t="s">
        <v>3025</v>
      </c>
      <c r="K43" s="284">
        <v>14606</v>
      </c>
      <c r="L43" s="31"/>
    </row>
    <row r="44" spans="1:12">
      <c r="A44" s="283" t="s">
        <v>2848</v>
      </c>
      <c r="B44" s="31" t="s">
        <v>2928</v>
      </c>
      <c r="C44" s="31">
        <v>2462133</v>
      </c>
      <c r="D44" s="31" t="s">
        <v>2929</v>
      </c>
      <c r="E44" s="284">
        <v>15170</v>
      </c>
      <c r="F44" s="285">
        <v>15394</v>
      </c>
      <c r="G44" s="284">
        <v>16489</v>
      </c>
      <c r="H44" s="31" t="s">
        <v>2930</v>
      </c>
      <c r="I44" s="31" t="s">
        <v>2931</v>
      </c>
      <c r="J44" s="31"/>
      <c r="K44" s="284"/>
      <c r="L44" s="31"/>
    </row>
    <row r="45" spans="1:12">
      <c r="A45" s="283" t="s">
        <v>2848</v>
      </c>
      <c r="B45" s="31" t="s">
        <v>2928</v>
      </c>
      <c r="C45" s="31">
        <v>2492189</v>
      </c>
      <c r="D45" s="31" t="s">
        <v>2933</v>
      </c>
      <c r="E45" s="284">
        <v>15170</v>
      </c>
      <c r="F45" s="285">
        <v>15394</v>
      </c>
      <c r="G45" s="284">
        <v>16797</v>
      </c>
      <c r="H45" s="31" t="s">
        <v>2930</v>
      </c>
      <c r="I45" s="31" t="s">
        <v>2931</v>
      </c>
      <c r="J45" s="31"/>
      <c r="K45" s="284"/>
      <c r="L45" s="31"/>
    </row>
    <row r="46" spans="1:12">
      <c r="A46" s="283" t="s">
        <v>2848</v>
      </c>
      <c r="B46" s="31" t="s">
        <v>2928</v>
      </c>
      <c r="C46" s="31">
        <v>2492190</v>
      </c>
      <c r="D46" s="31" t="s">
        <v>2934</v>
      </c>
      <c r="E46" s="284">
        <v>15170</v>
      </c>
      <c r="F46" s="285">
        <v>15394</v>
      </c>
      <c r="G46" s="284">
        <v>16797</v>
      </c>
      <c r="H46" s="31" t="s">
        <v>2930</v>
      </c>
      <c r="I46" s="31" t="s">
        <v>2931</v>
      </c>
      <c r="J46" s="31"/>
      <c r="K46" s="284"/>
      <c r="L46" s="31"/>
    </row>
    <row r="47" spans="1:12">
      <c r="A47" s="283" t="s">
        <v>2848</v>
      </c>
      <c r="B47" s="31" t="s">
        <v>2928</v>
      </c>
      <c r="C47" s="31">
        <v>2492191</v>
      </c>
      <c r="D47" s="31" t="s">
        <v>2935</v>
      </c>
      <c r="E47" s="284">
        <v>15170</v>
      </c>
      <c r="F47" s="285">
        <v>15394</v>
      </c>
      <c r="G47" s="284">
        <v>16797</v>
      </c>
      <c r="H47" s="31" t="s">
        <v>2930</v>
      </c>
      <c r="I47" s="31" t="s">
        <v>2931</v>
      </c>
      <c r="J47" s="31"/>
      <c r="K47" s="284"/>
      <c r="L47" s="31"/>
    </row>
    <row r="48" spans="1:12">
      <c r="A48" s="283" t="s">
        <v>2848</v>
      </c>
      <c r="B48" s="31" t="s">
        <v>2928</v>
      </c>
      <c r="C48" s="31">
        <v>2492193</v>
      </c>
      <c r="D48" s="31" t="s">
        <v>2936</v>
      </c>
      <c r="E48" s="284">
        <v>15170</v>
      </c>
      <c r="F48" s="285">
        <v>15394</v>
      </c>
      <c r="G48" s="284">
        <v>16797</v>
      </c>
      <c r="H48" s="31" t="s">
        <v>2930</v>
      </c>
      <c r="I48" s="31" t="s">
        <v>2931</v>
      </c>
      <c r="J48" s="31"/>
      <c r="K48" s="284"/>
      <c r="L48" s="31"/>
    </row>
    <row r="49" spans="1:12">
      <c r="A49" s="283" t="s">
        <v>2848</v>
      </c>
      <c r="B49" s="31" t="s">
        <v>2928</v>
      </c>
      <c r="C49" s="31">
        <v>2492194</v>
      </c>
      <c r="D49" s="31" t="s">
        <v>2937</v>
      </c>
      <c r="E49" s="284">
        <v>15170</v>
      </c>
      <c r="F49" s="285">
        <v>15394</v>
      </c>
      <c r="G49" s="284">
        <v>16797</v>
      </c>
      <c r="H49" s="31" t="s">
        <v>2930</v>
      </c>
      <c r="I49" s="31" t="s">
        <v>2931</v>
      </c>
      <c r="J49" s="31"/>
      <c r="K49" s="284"/>
      <c r="L49" s="31"/>
    </row>
    <row r="50" spans="1:12">
      <c r="A50" s="283" t="s">
        <v>2848</v>
      </c>
      <c r="B50" s="31" t="s">
        <v>2928</v>
      </c>
      <c r="C50" s="31">
        <v>2492195</v>
      </c>
      <c r="D50" s="31" t="s">
        <v>2938</v>
      </c>
      <c r="E50" s="284">
        <v>15170</v>
      </c>
      <c r="F50" s="285">
        <v>15394</v>
      </c>
      <c r="G50" s="284">
        <v>16797</v>
      </c>
      <c r="H50" s="31" t="s">
        <v>2930</v>
      </c>
      <c r="I50" s="31" t="s">
        <v>2931</v>
      </c>
      <c r="J50" s="31"/>
      <c r="K50" s="284"/>
      <c r="L50" s="31"/>
    </row>
    <row r="51" spans="1:12">
      <c r="A51" s="283" t="s">
        <v>2848</v>
      </c>
      <c r="B51" s="31" t="s">
        <v>3157</v>
      </c>
      <c r="C51" s="31">
        <v>2497509</v>
      </c>
      <c r="D51" s="31"/>
      <c r="E51" s="284">
        <v>15300</v>
      </c>
      <c r="F51" s="31"/>
      <c r="G51" s="284">
        <v>16846</v>
      </c>
      <c r="H51" s="31" t="s">
        <v>773</v>
      </c>
      <c r="I51" s="31" t="s">
        <v>3154</v>
      </c>
      <c r="J51" s="31" t="s">
        <v>3025</v>
      </c>
      <c r="K51" s="284">
        <v>14966</v>
      </c>
      <c r="L51" s="31"/>
    </row>
    <row r="52" spans="1:12">
      <c r="A52" s="283" t="s">
        <v>2848</v>
      </c>
      <c r="B52" s="31" t="s">
        <v>2928</v>
      </c>
      <c r="C52" s="31">
        <v>2492192</v>
      </c>
      <c r="D52" s="31"/>
      <c r="E52" s="284">
        <v>15394</v>
      </c>
      <c r="F52" s="31"/>
      <c r="G52" s="284">
        <v>16797</v>
      </c>
      <c r="H52" s="31" t="s">
        <v>2930</v>
      </c>
      <c r="I52" s="31" t="s">
        <v>2931</v>
      </c>
      <c r="J52" s="31"/>
      <c r="K52" s="284"/>
      <c r="L52" s="31"/>
    </row>
    <row r="53" spans="1:12" s="295" customFormat="1">
      <c r="A53" s="185" t="s">
        <v>2848</v>
      </c>
      <c r="B53" s="185" t="s">
        <v>2940</v>
      </c>
      <c r="C53" s="185"/>
      <c r="D53" s="185">
        <v>649760</v>
      </c>
      <c r="E53" s="289">
        <v>15394</v>
      </c>
      <c r="F53" s="185"/>
      <c r="G53" s="289"/>
      <c r="H53" s="185"/>
      <c r="I53" s="185"/>
      <c r="J53" s="185"/>
      <c r="K53" s="289"/>
      <c r="L53" s="185"/>
    </row>
    <row r="54" spans="1:12" s="295" customFormat="1">
      <c r="A54" s="185" t="s">
        <v>2848</v>
      </c>
      <c r="B54" s="185" t="s">
        <v>3055</v>
      </c>
      <c r="C54" s="185"/>
      <c r="D54" s="185">
        <v>650733</v>
      </c>
      <c r="E54" s="289">
        <v>15398</v>
      </c>
      <c r="F54" s="185"/>
      <c r="G54" s="289"/>
      <c r="H54" s="185"/>
      <c r="I54" s="185"/>
      <c r="J54" s="185"/>
      <c r="K54" s="289"/>
      <c r="L54" s="185"/>
    </row>
    <row r="55" spans="1:12">
      <c r="A55" s="283" t="s">
        <v>2848</v>
      </c>
      <c r="B55" s="31" t="s">
        <v>2853</v>
      </c>
      <c r="C55" s="31">
        <v>2541074</v>
      </c>
      <c r="D55" s="31">
        <v>653176</v>
      </c>
      <c r="E55" s="284">
        <v>15407</v>
      </c>
      <c r="F55" s="31"/>
      <c r="G55" s="284">
        <v>17210</v>
      </c>
      <c r="H55" s="31" t="s">
        <v>283</v>
      </c>
      <c r="I55" s="31" t="s">
        <v>2851</v>
      </c>
      <c r="J55" s="31"/>
      <c r="K55" s="284"/>
      <c r="L55" s="31"/>
    </row>
    <row r="56" spans="1:12">
      <c r="A56" s="283" t="s">
        <v>2848</v>
      </c>
      <c r="B56" s="31" t="s">
        <v>3157</v>
      </c>
      <c r="C56" s="31">
        <v>2461910</v>
      </c>
      <c r="D56" s="31"/>
      <c r="E56" s="284">
        <v>15427</v>
      </c>
      <c r="F56" s="31"/>
      <c r="G56" s="284">
        <v>16482</v>
      </c>
      <c r="H56" s="31" t="s">
        <v>773</v>
      </c>
      <c r="I56" s="31" t="s">
        <v>3285</v>
      </c>
      <c r="J56" s="31" t="s">
        <v>3025</v>
      </c>
      <c r="K56" s="284">
        <v>14109</v>
      </c>
      <c r="L56" s="31"/>
    </row>
    <row r="57" spans="1:12">
      <c r="A57" s="283" t="s">
        <v>2848</v>
      </c>
      <c r="B57" s="31" t="s">
        <v>3157</v>
      </c>
      <c r="C57" s="31">
        <v>2461911</v>
      </c>
      <c r="D57" s="31"/>
      <c r="E57" s="284">
        <v>15553</v>
      </c>
      <c r="F57" s="31"/>
      <c r="G57" s="284">
        <v>16482</v>
      </c>
      <c r="H57" s="31" t="s">
        <v>773</v>
      </c>
      <c r="I57" s="31" t="s">
        <v>3285</v>
      </c>
      <c r="J57" s="31"/>
      <c r="K57" s="31"/>
      <c r="L57" s="31"/>
    </row>
    <row r="58" spans="1:12">
      <c r="A58" s="283" t="s">
        <v>2848</v>
      </c>
      <c r="B58" s="31" t="s">
        <v>2928</v>
      </c>
      <c r="C58" s="31">
        <v>2471697</v>
      </c>
      <c r="D58" s="31"/>
      <c r="E58" s="284">
        <v>15652</v>
      </c>
      <c r="F58" s="31"/>
      <c r="G58" s="284">
        <v>16587</v>
      </c>
      <c r="H58" s="31" t="s">
        <v>2930</v>
      </c>
      <c r="I58" s="31" t="s">
        <v>2932</v>
      </c>
      <c r="J58" s="31"/>
      <c r="K58" s="284"/>
      <c r="L58" s="31"/>
    </row>
    <row r="59" spans="1:12" s="295" customFormat="1">
      <c r="A59" s="185" t="s">
        <v>2848</v>
      </c>
      <c r="B59" s="185" t="s">
        <v>2853</v>
      </c>
      <c r="C59" s="185"/>
      <c r="D59" s="185">
        <v>733188</v>
      </c>
      <c r="E59" s="289">
        <v>15771</v>
      </c>
      <c r="F59" s="185"/>
      <c r="G59" s="289"/>
      <c r="H59" s="185"/>
      <c r="I59" s="185"/>
      <c r="J59" s="185"/>
      <c r="K59" s="289"/>
      <c r="L59" s="185"/>
    </row>
    <row r="60" spans="1:12" s="295" customFormat="1">
      <c r="A60" s="185" t="s">
        <v>2848</v>
      </c>
      <c r="B60" s="185" t="s">
        <v>2853</v>
      </c>
      <c r="C60" s="185"/>
      <c r="D60" s="185">
        <v>734867</v>
      </c>
      <c r="E60" s="289">
        <v>15778</v>
      </c>
      <c r="F60" s="185"/>
      <c r="G60" s="289"/>
      <c r="H60" s="185"/>
      <c r="I60" s="185"/>
      <c r="J60" s="185"/>
      <c r="K60" s="289"/>
      <c r="L60" s="185"/>
    </row>
    <row r="61" spans="1:12">
      <c r="A61" s="283" t="s">
        <v>2848</v>
      </c>
      <c r="B61" s="31" t="s">
        <v>3286</v>
      </c>
      <c r="C61" s="31">
        <v>2599007</v>
      </c>
      <c r="D61" s="31">
        <v>741954</v>
      </c>
      <c r="E61" s="284">
        <v>15811</v>
      </c>
      <c r="F61" s="31"/>
      <c r="G61" s="284">
        <v>17686</v>
      </c>
      <c r="H61" s="31" t="s">
        <v>773</v>
      </c>
      <c r="I61" s="31" t="s">
        <v>3287</v>
      </c>
      <c r="J61" s="31" t="s">
        <v>3025</v>
      </c>
      <c r="K61" s="284">
        <v>15460</v>
      </c>
      <c r="L61" s="31"/>
    </row>
    <row r="62" spans="1:12">
      <c r="A62" s="283" t="s">
        <v>2848</v>
      </c>
      <c r="B62" s="31" t="s">
        <v>3286</v>
      </c>
      <c r="C62" s="31">
        <v>2566352</v>
      </c>
      <c r="D62" s="31">
        <v>743190</v>
      </c>
      <c r="E62" s="284">
        <v>15817</v>
      </c>
      <c r="F62" s="31"/>
      <c r="G62" s="284">
        <v>17413</v>
      </c>
      <c r="H62" s="31" t="s">
        <v>773</v>
      </c>
      <c r="I62" s="31" t="s">
        <v>3159</v>
      </c>
      <c r="J62" s="31" t="s">
        <v>3025</v>
      </c>
      <c r="K62" s="284">
        <v>15460</v>
      </c>
      <c r="L62" s="31"/>
    </row>
    <row r="63" spans="1:12">
      <c r="A63" s="283" t="s">
        <v>2848</v>
      </c>
      <c r="B63" s="31" t="s">
        <v>3157</v>
      </c>
      <c r="C63" s="31">
        <v>2461912</v>
      </c>
      <c r="D63" s="31"/>
      <c r="E63" s="284">
        <v>15823</v>
      </c>
      <c r="F63" s="31"/>
      <c r="G63" s="284">
        <v>16482</v>
      </c>
      <c r="H63" s="31" t="s">
        <v>773</v>
      </c>
      <c r="I63" s="31" t="s">
        <v>3285</v>
      </c>
      <c r="J63" s="31" t="s">
        <v>3025</v>
      </c>
      <c r="K63" s="284">
        <v>14109</v>
      </c>
      <c r="L63" s="31"/>
    </row>
    <row r="64" spans="1:12">
      <c r="A64" s="283" t="s">
        <v>2848</v>
      </c>
      <c r="B64" s="31" t="s">
        <v>3079</v>
      </c>
      <c r="C64" s="31">
        <v>2581448</v>
      </c>
      <c r="D64" s="31">
        <v>754278</v>
      </c>
      <c r="E64" s="284">
        <v>15868</v>
      </c>
      <c r="F64" s="31"/>
      <c r="G64" s="284">
        <v>17539</v>
      </c>
      <c r="H64" s="31" t="s">
        <v>599</v>
      </c>
      <c r="I64" s="31" t="s">
        <v>3077</v>
      </c>
      <c r="J64" s="31"/>
      <c r="K64" s="284"/>
      <c r="L64" s="31"/>
    </row>
    <row r="65" spans="1:12">
      <c r="A65" s="283" t="s">
        <v>2848</v>
      </c>
      <c r="B65" s="31" t="s">
        <v>3056</v>
      </c>
      <c r="C65" s="31">
        <v>2447463</v>
      </c>
      <c r="D65" s="31"/>
      <c r="E65" s="284">
        <v>15911</v>
      </c>
      <c r="F65" s="31"/>
      <c r="G65" s="284">
        <v>16300</v>
      </c>
      <c r="H65" s="31" t="s">
        <v>599</v>
      </c>
      <c r="I65" s="31" t="s">
        <v>3078</v>
      </c>
      <c r="J65" s="31"/>
      <c r="K65" s="284"/>
      <c r="L65" s="31"/>
    </row>
    <row r="66" spans="1:12" s="295" customFormat="1">
      <c r="A66" s="185" t="s">
        <v>2848</v>
      </c>
      <c r="B66" s="185" t="s">
        <v>2940</v>
      </c>
      <c r="C66" s="185"/>
      <c r="D66" s="185">
        <v>773525</v>
      </c>
      <c r="E66" s="289">
        <v>15959</v>
      </c>
      <c r="F66" s="185"/>
      <c r="G66" s="289"/>
      <c r="H66" s="185"/>
      <c r="I66" s="185"/>
      <c r="J66" s="185"/>
      <c r="K66" s="289"/>
      <c r="L66" s="185"/>
    </row>
    <row r="67" spans="1:12" s="295" customFormat="1">
      <c r="A67" s="185" t="s">
        <v>2848</v>
      </c>
      <c r="B67" s="185" t="s">
        <v>2853</v>
      </c>
      <c r="C67" s="185"/>
      <c r="D67" s="185">
        <v>774170</v>
      </c>
      <c r="E67" s="289">
        <v>15963</v>
      </c>
      <c r="F67" s="185"/>
      <c r="G67" s="289"/>
      <c r="H67" s="185"/>
      <c r="I67" s="185"/>
      <c r="J67" s="185"/>
      <c r="K67" s="289"/>
      <c r="L67" s="185"/>
    </row>
    <row r="68" spans="1:12" s="295" customFormat="1">
      <c r="A68" s="185" t="s">
        <v>2848</v>
      </c>
      <c r="B68" s="185" t="s">
        <v>2940</v>
      </c>
      <c r="C68" s="185"/>
      <c r="D68" s="185">
        <v>778465</v>
      </c>
      <c r="E68" s="289">
        <v>15985</v>
      </c>
      <c r="F68" s="185"/>
      <c r="G68" s="289"/>
      <c r="H68" s="185"/>
      <c r="I68" s="185"/>
      <c r="J68" s="185"/>
      <c r="K68" s="289"/>
      <c r="L68" s="185"/>
    </row>
    <row r="69" spans="1:12">
      <c r="A69" s="283" t="s">
        <v>2848</v>
      </c>
      <c r="B69" s="31" t="s">
        <v>3286</v>
      </c>
      <c r="C69" s="31">
        <v>2563697</v>
      </c>
      <c r="D69" s="31">
        <v>790441</v>
      </c>
      <c r="E69" s="284">
        <v>16047</v>
      </c>
      <c r="F69" s="31"/>
      <c r="G69" s="284">
        <v>17385</v>
      </c>
      <c r="H69" s="31" t="s">
        <v>773</v>
      </c>
      <c r="I69" s="31" t="s">
        <v>3160</v>
      </c>
      <c r="J69" s="31" t="s">
        <v>3025</v>
      </c>
      <c r="K69" s="284">
        <v>15687</v>
      </c>
      <c r="L69" s="31"/>
    </row>
    <row r="70" spans="1:12">
      <c r="A70" s="283" t="s">
        <v>2848</v>
      </c>
      <c r="B70" s="31" t="s">
        <v>3286</v>
      </c>
      <c r="C70" s="31">
        <v>2547917</v>
      </c>
      <c r="D70" s="31">
        <v>790442</v>
      </c>
      <c r="E70" s="284">
        <v>16047</v>
      </c>
      <c r="F70" s="31"/>
      <c r="G70" s="284">
        <v>15811</v>
      </c>
      <c r="H70" s="31" t="s">
        <v>773</v>
      </c>
      <c r="I70" s="31" t="s">
        <v>3160</v>
      </c>
      <c r="J70" s="31" t="s">
        <v>3025</v>
      </c>
      <c r="K70" s="284">
        <v>15687</v>
      </c>
      <c r="L70" s="31"/>
    </row>
    <row r="71" spans="1:12">
      <c r="A71" s="283" t="s">
        <v>2848</v>
      </c>
      <c r="B71" s="31" t="s">
        <v>2928</v>
      </c>
      <c r="C71" s="31">
        <v>2515482</v>
      </c>
      <c r="D71" s="31"/>
      <c r="E71" s="284">
        <v>16147</v>
      </c>
      <c r="F71" s="31"/>
      <c r="G71" s="284">
        <v>17000</v>
      </c>
      <c r="H71" s="31" t="s">
        <v>2930</v>
      </c>
      <c r="I71" s="31" t="s">
        <v>2939</v>
      </c>
      <c r="J71" s="31"/>
      <c r="K71" s="284"/>
      <c r="L71" s="31"/>
    </row>
    <row r="72" spans="1:12">
      <c r="A72" s="283" t="s">
        <v>2848</v>
      </c>
      <c r="B72" s="31" t="s">
        <v>3286</v>
      </c>
      <c r="C72" s="31">
        <v>2637735</v>
      </c>
      <c r="D72" s="31">
        <v>25796</v>
      </c>
      <c r="E72" s="284">
        <v>16198</v>
      </c>
      <c r="F72" s="31"/>
      <c r="G72" s="284">
        <v>18022</v>
      </c>
      <c r="H72" s="31" t="s">
        <v>773</v>
      </c>
      <c r="I72" s="31" t="s">
        <v>3160</v>
      </c>
      <c r="J72" s="31" t="s">
        <v>3025</v>
      </c>
      <c r="K72" s="284">
        <v>15839</v>
      </c>
      <c r="L72" s="31"/>
    </row>
    <row r="73" spans="1:12" s="295" customFormat="1">
      <c r="A73" s="185" t="s">
        <v>2848</v>
      </c>
      <c r="B73" s="185" t="s">
        <v>2940</v>
      </c>
      <c r="C73" s="185"/>
      <c r="D73" s="185">
        <v>50668</v>
      </c>
      <c r="E73" s="289">
        <v>16336</v>
      </c>
      <c r="F73" s="185"/>
      <c r="G73" s="289"/>
      <c r="H73" s="185"/>
      <c r="I73" s="185"/>
      <c r="J73" s="185"/>
      <c r="K73" s="289"/>
      <c r="L73" s="185"/>
    </row>
    <row r="74" spans="1:12">
      <c r="A74" s="283" t="s">
        <v>2848</v>
      </c>
      <c r="B74" s="31" t="s">
        <v>2940</v>
      </c>
      <c r="C74" s="31">
        <v>2558786</v>
      </c>
      <c r="D74" s="31" t="s">
        <v>2942</v>
      </c>
      <c r="E74" s="284">
        <v>16336</v>
      </c>
      <c r="F74" s="285">
        <v>17002</v>
      </c>
      <c r="G74" s="284">
        <v>17350</v>
      </c>
      <c r="H74" s="31" t="s">
        <v>2930</v>
      </c>
      <c r="I74" s="31" t="s">
        <v>2941</v>
      </c>
      <c r="J74" s="31"/>
      <c r="K74" s="284"/>
      <c r="L74" s="31"/>
    </row>
    <row r="75" spans="1:12" s="295" customFormat="1">
      <c r="A75" s="185" t="s">
        <v>2848</v>
      </c>
      <c r="B75" s="185" t="s">
        <v>2853</v>
      </c>
      <c r="C75" s="185"/>
      <c r="D75" s="185">
        <v>51488</v>
      </c>
      <c r="E75" s="289">
        <v>16341</v>
      </c>
      <c r="F75" s="185"/>
      <c r="G75" s="289"/>
      <c r="H75" s="185"/>
      <c r="I75" s="185"/>
      <c r="J75" s="185"/>
      <c r="K75" s="289"/>
      <c r="L75" s="185"/>
    </row>
    <row r="76" spans="1:12">
      <c r="A76" s="283" t="s">
        <v>2848</v>
      </c>
      <c r="B76" s="31" t="s">
        <v>2940</v>
      </c>
      <c r="C76" s="31">
        <v>2538109</v>
      </c>
      <c r="D76" s="31">
        <v>61314</v>
      </c>
      <c r="E76" s="284">
        <v>16395</v>
      </c>
      <c r="F76" s="31"/>
      <c r="G76" s="284">
        <v>17182</v>
      </c>
      <c r="H76" s="31" t="s">
        <v>2930</v>
      </c>
      <c r="I76" s="31" t="s">
        <v>3042</v>
      </c>
      <c r="J76" s="31"/>
      <c r="K76" s="31"/>
      <c r="L76" s="31"/>
    </row>
    <row r="77" spans="1:12" s="295" customFormat="1">
      <c r="A77" s="185" t="s">
        <v>2848</v>
      </c>
      <c r="B77" s="185" t="s">
        <v>2940</v>
      </c>
      <c r="C77" s="185"/>
      <c r="D77" s="185">
        <v>71046</v>
      </c>
      <c r="E77" s="289">
        <v>16450</v>
      </c>
      <c r="F77" s="185"/>
      <c r="G77" s="289"/>
      <c r="H77" s="185"/>
      <c r="I77" s="185"/>
      <c r="J77" s="185"/>
      <c r="K77" s="289"/>
      <c r="L77" s="185"/>
    </row>
    <row r="78" spans="1:12" s="295" customFormat="1">
      <c r="A78" s="185" t="s">
        <v>2848</v>
      </c>
      <c r="B78" s="185" t="s">
        <v>2940</v>
      </c>
      <c r="C78" s="185"/>
      <c r="D78" s="185">
        <v>72274</v>
      </c>
      <c r="E78" s="289">
        <v>16458</v>
      </c>
      <c r="F78" s="185"/>
      <c r="G78" s="289"/>
      <c r="H78" s="185"/>
      <c r="I78" s="185"/>
      <c r="J78" s="185"/>
      <c r="K78" s="289"/>
      <c r="L78" s="185"/>
    </row>
    <row r="79" spans="1:12">
      <c r="A79" s="283" t="s">
        <v>2848</v>
      </c>
      <c r="B79" s="31" t="s">
        <v>2940</v>
      </c>
      <c r="C79" s="31">
        <v>2541106</v>
      </c>
      <c r="D79" s="31">
        <v>76205</v>
      </c>
      <c r="E79" s="284">
        <v>16479</v>
      </c>
      <c r="F79" s="31"/>
      <c r="G79" s="284">
        <v>17210</v>
      </c>
      <c r="H79" s="31" t="s">
        <v>2930</v>
      </c>
      <c r="I79" s="31" t="s">
        <v>2941</v>
      </c>
      <c r="J79" s="31"/>
      <c r="K79" s="284"/>
      <c r="L79" s="31"/>
    </row>
    <row r="80" spans="1:12">
      <c r="A80" s="283" t="s">
        <v>2848</v>
      </c>
      <c r="B80" s="31" t="s">
        <v>2940</v>
      </c>
      <c r="C80" s="31">
        <v>2541439</v>
      </c>
      <c r="D80" s="31">
        <v>77267</v>
      </c>
      <c r="E80" s="284">
        <v>16485</v>
      </c>
      <c r="F80" s="31"/>
      <c r="G80" s="284">
        <v>17210</v>
      </c>
      <c r="H80" s="31" t="s">
        <v>2930</v>
      </c>
      <c r="I80" s="31" t="s">
        <v>2941</v>
      </c>
      <c r="J80" s="31"/>
      <c r="K80" s="284"/>
      <c r="L80" s="31"/>
    </row>
    <row r="81" spans="1:12">
      <c r="A81" s="283" t="s">
        <v>2848</v>
      </c>
      <c r="B81" s="31" t="s">
        <v>2940</v>
      </c>
      <c r="C81" s="31">
        <v>2558785</v>
      </c>
      <c r="D81" s="31">
        <v>77268</v>
      </c>
      <c r="E81" s="284">
        <v>16485</v>
      </c>
      <c r="F81" s="31"/>
      <c r="G81" s="284">
        <v>17350</v>
      </c>
      <c r="H81" s="31" t="s">
        <v>2930</v>
      </c>
      <c r="I81" s="31" t="s">
        <v>2941</v>
      </c>
      <c r="J81" s="31"/>
      <c r="K81" s="284"/>
      <c r="L81" s="31"/>
    </row>
    <row r="82" spans="1:12" s="295" customFormat="1">
      <c r="A82" s="185" t="s">
        <v>2848</v>
      </c>
      <c r="B82" s="185" t="s">
        <v>2853</v>
      </c>
      <c r="C82" s="185"/>
      <c r="D82" s="185">
        <v>90278</v>
      </c>
      <c r="E82" s="289">
        <v>16554</v>
      </c>
      <c r="F82" s="185"/>
      <c r="G82" s="289"/>
      <c r="H82" s="185"/>
      <c r="I82" s="185"/>
      <c r="J82" s="185"/>
      <c r="K82" s="289"/>
      <c r="L82" s="185"/>
    </row>
    <row r="83" spans="1:12">
      <c r="A83" s="283" t="s">
        <v>2848</v>
      </c>
      <c r="B83" s="31" t="s">
        <v>2853</v>
      </c>
      <c r="C83" s="31">
        <v>2569300</v>
      </c>
      <c r="D83" s="31">
        <v>99342</v>
      </c>
      <c r="E83" s="284">
        <v>16602</v>
      </c>
      <c r="F83" s="31"/>
      <c r="G83" s="284">
        <v>17434</v>
      </c>
      <c r="H83" s="31" t="s">
        <v>2854</v>
      </c>
      <c r="I83" s="31" t="s">
        <v>3155</v>
      </c>
      <c r="J83" s="31"/>
      <c r="K83" s="31"/>
      <c r="L83" s="31"/>
    </row>
    <row r="84" spans="1:12">
      <c r="A84" s="283" t="s">
        <v>2848</v>
      </c>
      <c r="B84" s="31" t="s">
        <v>2853</v>
      </c>
      <c r="C84" s="31">
        <v>2563247</v>
      </c>
      <c r="D84" s="31">
        <v>114462</v>
      </c>
      <c r="E84" s="284">
        <v>16686</v>
      </c>
      <c r="F84" s="31"/>
      <c r="G84" s="284">
        <v>17385</v>
      </c>
      <c r="H84" s="31" t="s">
        <v>283</v>
      </c>
      <c r="I84" s="31" t="s">
        <v>3156</v>
      </c>
      <c r="J84" s="31"/>
      <c r="K84" s="31"/>
      <c r="L84" s="31"/>
    </row>
    <row r="85" spans="1:12" s="295" customFormat="1">
      <c r="A85" s="185" t="s">
        <v>2848</v>
      </c>
      <c r="B85" s="185" t="s">
        <v>2853</v>
      </c>
      <c r="C85" s="185"/>
      <c r="D85" s="185">
        <v>128686</v>
      </c>
      <c r="E85" s="289">
        <v>16761</v>
      </c>
      <c r="F85" s="185"/>
      <c r="G85" s="289"/>
      <c r="H85" s="185"/>
      <c r="I85" s="185"/>
      <c r="J85" s="185"/>
      <c r="K85" s="289"/>
      <c r="L85" s="185"/>
    </row>
    <row r="86" spans="1:12">
      <c r="A86" s="283" t="s">
        <v>2848</v>
      </c>
      <c r="B86" s="31" t="s">
        <v>2853</v>
      </c>
      <c r="C86" s="31">
        <v>2598559</v>
      </c>
      <c r="D86" s="31">
        <v>128687</v>
      </c>
      <c r="E86" s="284">
        <v>16761</v>
      </c>
      <c r="F86" s="31"/>
      <c r="G86" s="284">
        <v>17679</v>
      </c>
      <c r="H86" s="31" t="s">
        <v>283</v>
      </c>
      <c r="I86" s="31" t="s">
        <v>2851</v>
      </c>
      <c r="J86" s="31"/>
      <c r="K86" s="284"/>
      <c r="L86" s="31"/>
    </row>
    <row r="87" spans="1:12">
      <c r="A87" s="283" t="s">
        <v>2848</v>
      </c>
      <c r="B87" s="31" t="s">
        <v>2853</v>
      </c>
      <c r="C87" s="31">
        <v>2623051</v>
      </c>
      <c r="D87" s="31">
        <v>136659</v>
      </c>
      <c r="E87" s="284">
        <v>16804</v>
      </c>
      <c r="F87" s="31"/>
      <c r="G87" s="284">
        <v>17889</v>
      </c>
      <c r="H87" s="31" t="s">
        <v>283</v>
      </c>
      <c r="I87" s="31" t="s">
        <v>2851</v>
      </c>
      <c r="J87" s="31"/>
      <c r="K87" s="284"/>
      <c r="L87" s="31"/>
    </row>
    <row r="88" spans="1:12">
      <c r="A88" s="283" t="s">
        <v>2848</v>
      </c>
      <c r="B88" s="31" t="s">
        <v>2940</v>
      </c>
      <c r="C88" s="31">
        <v>2597190</v>
      </c>
      <c r="D88" s="31">
        <v>174120</v>
      </c>
      <c r="E88" s="284">
        <v>16997</v>
      </c>
      <c r="F88" s="31"/>
      <c r="G88" s="284">
        <v>17672</v>
      </c>
      <c r="H88" s="31" t="s">
        <v>2930</v>
      </c>
      <c r="I88" s="31" t="s">
        <v>2941</v>
      </c>
      <c r="J88" s="31"/>
      <c r="K88" s="284"/>
      <c r="L88" s="31"/>
    </row>
    <row r="89" spans="1:12">
      <c r="A89" s="283" t="s">
        <v>2848</v>
      </c>
      <c r="B89" s="31" t="s">
        <v>3286</v>
      </c>
      <c r="C89" s="31">
        <v>2590637</v>
      </c>
      <c r="D89" s="31">
        <v>180098</v>
      </c>
      <c r="E89" s="284">
        <v>17030</v>
      </c>
      <c r="F89" s="31"/>
      <c r="G89" s="284">
        <v>17616</v>
      </c>
      <c r="H89" s="31" t="s">
        <v>773</v>
      </c>
      <c r="I89" s="31" t="s">
        <v>3028</v>
      </c>
      <c r="J89" s="31" t="s">
        <v>3025</v>
      </c>
      <c r="K89" s="284">
        <v>16674</v>
      </c>
      <c r="L89" s="31"/>
    </row>
    <row r="90" spans="1:12">
      <c r="A90" s="283" t="s">
        <v>2848</v>
      </c>
      <c r="B90" s="31" t="s">
        <v>2849</v>
      </c>
      <c r="C90" s="31">
        <v>2447325</v>
      </c>
      <c r="D90" s="31"/>
      <c r="E90" s="284"/>
      <c r="F90" s="31"/>
      <c r="G90" s="284">
        <v>16300</v>
      </c>
      <c r="H90" s="31" t="s">
        <v>283</v>
      </c>
      <c r="I90" s="31" t="s">
        <v>2852</v>
      </c>
      <c r="J90" s="31"/>
      <c r="K90" s="284"/>
      <c r="L90" s="31"/>
    </row>
    <row r="91" spans="1:12">
      <c r="A91" s="283" t="s">
        <v>2848</v>
      </c>
      <c r="B91" s="31" t="s">
        <v>2849</v>
      </c>
      <c r="C91" s="31">
        <v>2495735</v>
      </c>
      <c r="D91" s="31"/>
      <c r="E91" s="284"/>
      <c r="F91" s="31"/>
      <c r="G91" s="284">
        <v>16832</v>
      </c>
      <c r="H91" s="31" t="s">
        <v>283</v>
      </c>
      <c r="I91" s="31" t="s">
        <v>2851</v>
      </c>
      <c r="J91" s="31"/>
      <c r="K91" s="284"/>
      <c r="L91" s="31"/>
    </row>
    <row r="96" spans="1:12">
      <c r="A96" s="296" t="s">
        <v>1977</v>
      </c>
    </row>
    <row r="97" spans="1:1">
      <c r="A97" s="293" t="s">
        <v>651</v>
      </c>
    </row>
    <row r="99" spans="1:1">
      <c r="A99" s="60" t="s">
        <v>774</v>
      </c>
    </row>
    <row r="100" spans="1:1">
      <c r="A100" s="60" t="s">
        <v>804</v>
      </c>
    </row>
    <row r="101" spans="1:1">
      <c r="A101" s="60" t="s">
        <v>719</v>
      </c>
    </row>
    <row r="102" spans="1:1">
      <c r="A102" s="60" t="s">
        <v>720</v>
      </c>
    </row>
    <row r="103" spans="1:1">
      <c r="A103" s="60" t="s">
        <v>1368</v>
      </c>
    </row>
    <row r="104" spans="1:1">
      <c r="A104" s="60" t="s">
        <v>1369</v>
      </c>
    </row>
    <row r="105" spans="1:1">
      <c r="A105" s="60" t="s">
        <v>1370</v>
      </c>
    </row>
    <row r="106" spans="1:1">
      <c r="A106" s="60" t="s">
        <v>648</v>
      </c>
    </row>
    <row r="107" spans="1:1">
      <c r="A107" s="60" t="s">
        <v>598</v>
      </c>
    </row>
    <row r="108" spans="1:1">
      <c r="A108" s="60" t="s">
        <v>755</v>
      </c>
    </row>
    <row r="109" spans="1:1">
      <c r="A109" s="60" t="s">
        <v>114</v>
      </c>
    </row>
    <row r="110" spans="1:1">
      <c r="A110" s="60" t="s">
        <v>115</v>
      </c>
    </row>
    <row r="111" spans="1:1">
      <c r="A111" s="60"/>
    </row>
    <row r="112" spans="1:1">
      <c r="A112" s="296" t="s">
        <v>1407</v>
      </c>
    </row>
    <row r="113" spans="1:2">
      <c r="A113" s="60" t="s">
        <v>597</v>
      </c>
    </row>
    <row r="114" spans="1:2">
      <c r="A114" s="60"/>
    </row>
    <row r="115" spans="1:2">
      <c r="A115" s="296" t="s">
        <v>649</v>
      </c>
    </row>
    <row r="116" spans="1:2">
      <c r="A116" s="297" t="s">
        <v>600</v>
      </c>
      <c r="B116" s="293">
        <v>1938</v>
      </c>
    </row>
    <row r="117" spans="1:2">
      <c r="A117" s="297" t="s">
        <v>601</v>
      </c>
      <c r="B117" s="293">
        <v>1938</v>
      </c>
    </row>
    <row r="118" spans="1:2">
      <c r="A118" s="297" t="s">
        <v>603</v>
      </c>
      <c r="B118" s="293">
        <v>1938</v>
      </c>
    </row>
    <row r="119" spans="1:2">
      <c r="A119" s="297" t="s">
        <v>772</v>
      </c>
      <c r="B119" s="293">
        <v>1938</v>
      </c>
    </row>
  </sheetData>
  <sheetCalcPr fullCalcOnLoad="1"/>
  <sortState ref="A2:XFD91">
    <sortCondition ref="E3:E91"/>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W74"/>
  <sheetViews>
    <sheetView topLeftCell="A59" workbookViewId="0">
      <selection activeCell="A3" sqref="A3:D29"/>
    </sheetView>
  </sheetViews>
  <sheetFormatPr baseColWidth="10" defaultRowHeight="13"/>
  <cols>
    <col min="1" max="5" width="10.7109375" style="42"/>
    <col min="6" max="16384" width="10.7109375" style="120"/>
  </cols>
  <sheetData>
    <row r="1" spans="1:49" s="87" customFormat="1" ht="39">
      <c r="A1" s="100" t="s">
        <v>1869</v>
      </c>
      <c r="B1" s="100" t="s">
        <v>2173</v>
      </c>
      <c r="C1" s="100"/>
      <c r="D1" s="100" t="s">
        <v>2174</v>
      </c>
      <c r="E1" s="100" t="s">
        <v>2022</v>
      </c>
      <c r="F1" s="82" t="s">
        <v>2023</v>
      </c>
      <c r="G1" s="90" t="s">
        <v>1631</v>
      </c>
      <c r="H1" s="91" t="s">
        <v>1632</v>
      </c>
      <c r="I1" s="92" t="s">
        <v>1797</v>
      </c>
      <c r="J1" s="92" t="s">
        <v>1689</v>
      </c>
      <c r="K1" s="92" t="s">
        <v>1633</v>
      </c>
      <c r="L1" s="92" t="s">
        <v>1827</v>
      </c>
      <c r="M1" s="92" t="s">
        <v>1828</v>
      </c>
      <c r="N1" s="92" t="s">
        <v>1692</v>
      </c>
      <c r="O1" s="92" t="s">
        <v>1793</v>
      </c>
      <c r="P1" s="92" t="s">
        <v>1638</v>
      </c>
      <c r="Q1" s="92" t="s">
        <v>1801</v>
      </c>
      <c r="R1" s="92" t="s">
        <v>1700</v>
      </c>
      <c r="S1" s="93" t="s">
        <v>1683</v>
      </c>
      <c r="T1" s="94" t="s">
        <v>1684</v>
      </c>
      <c r="U1" s="94" t="s">
        <v>1900</v>
      </c>
      <c r="V1" s="94" t="s">
        <v>1901</v>
      </c>
      <c r="W1" s="94" t="s">
        <v>1685</v>
      </c>
      <c r="X1" s="94" t="s">
        <v>1686</v>
      </c>
      <c r="Y1" s="95" t="s">
        <v>1687</v>
      </c>
      <c r="Z1" s="96" t="s">
        <v>1688</v>
      </c>
      <c r="AA1" s="97" t="s">
        <v>1810</v>
      </c>
      <c r="AB1" s="97" t="s">
        <v>1728</v>
      </c>
      <c r="AC1" s="97" t="s">
        <v>1763</v>
      </c>
      <c r="AD1" s="97" t="s">
        <v>1764</v>
      </c>
      <c r="AE1" s="97" t="s">
        <v>1860</v>
      </c>
      <c r="AF1" s="97" t="s">
        <v>1861</v>
      </c>
      <c r="AG1" s="97" t="s">
        <v>1693</v>
      </c>
      <c r="AH1" s="93" t="s">
        <v>1694</v>
      </c>
      <c r="AI1" s="94" t="s">
        <v>1862</v>
      </c>
      <c r="AJ1" s="94" t="s">
        <v>1744</v>
      </c>
      <c r="AK1" s="95" t="s">
        <v>1758</v>
      </c>
      <c r="AL1" s="95" t="s">
        <v>1921</v>
      </c>
      <c r="AM1" s="95" t="s">
        <v>1835</v>
      </c>
      <c r="AN1" s="95" t="s">
        <v>1836</v>
      </c>
      <c r="AO1" s="95" t="s">
        <v>1893</v>
      </c>
      <c r="AP1" s="95" t="s">
        <v>1894</v>
      </c>
      <c r="AQ1" s="98" t="s">
        <v>1895</v>
      </c>
      <c r="AR1" s="98" t="s">
        <v>1745</v>
      </c>
      <c r="AS1" s="98" t="s">
        <v>2193</v>
      </c>
      <c r="AT1" s="99" t="s">
        <v>1746</v>
      </c>
      <c r="AU1" s="82" t="s">
        <v>1899</v>
      </c>
      <c r="AV1" s="82" t="s">
        <v>2194</v>
      </c>
      <c r="AW1" s="82" t="s">
        <v>2195</v>
      </c>
    </row>
    <row r="2" spans="1:49">
      <c r="A2" s="42" t="s">
        <v>1410</v>
      </c>
    </row>
    <row r="3" spans="1:49">
      <c r="A3" s="220" t="s">
        <v>2695</v>
      </c>
      <c r="B3" s="220">
        <v>1456313</v>
      </c>
      <c r="C3" s="221" t="s">
        <v>2665</v>
      </c>
      <c r="D3" s="112">
        <v>5309</v>
      </c>
      <c r="E3" s="112">
        <v>7081</v>
      </c>
      <c r="F3" s="163" t="s">
        <v>2666</v>
      </c>
    </row>
    <row r="4" spans="1:49">
      <c r="A4" s="220" t="s">
        <v>2695</v>
      </c>
      <c r="B4" s="220">
        <v>1749977</v>
      </c>
      <c r="C4" s="221" t="s">
        <v>2665</v>
      </c>
      <c r="D4" s="112">
        <v>7301</v>
      </c>
      <c r="E4" s="112">
        <v>9566</v>
      </c>
      <c r="F4" s="109" t="s">
        <v>2668</v>
      </c>
      <c r="H4"/>
      <c r="I4"/>
      <c r="J4"/>
      <c r="K4"/>
      <c r="L4"/>
      <c r="M4"/>
      <c r="N4"/>
    </row>
    <row r="5" spans="1:49">
      <c r="A5" s="220" t="s">
        <v>2695</v>
      </c>
      <c r="B5" s="220">
        <v>1620098</v>
      </c>
      <c r="C5" s="221" t="s">
        <v>2665</v>
      </c>
      <c r="D5" s="112">
        <v>7848</v>
      </c>
      <c r="E5" s="112">
        <v>8467</v>
      </c>
      <c r="F5" s="207" t="s">
        <v>2667</v>
      </c>
      <c r="H5"/>
      <c r="I5"/>
      <c r="J5"/>
      <c r="K5"/>
      <c r="L5"/>
      <c r="M5"/>
      <c r="N5"/>
    </row>
    <row r="6" spans="1:49">
      <c r="A6" s="220" t="s">
        <v>2695</v>
      </c>
      <c r="B6" s="220">
        <v>1752071</v>
      </c>
      <c r="C6" s="221" t="s">
        <v>2665</v>
      </c>
      <c r="D6" s="112">
        <v>8188</v>
      </c>
      <c r="E6" s="112">
        <v>9580</v>
      </c>
      <c r="F6" s="120" t="s">
        <v>1251</v>
      </c>
      <c r="H6"/>
      <c r="I6"/>
      <c r="J6"/>
      <c r="K6"/>
      <c r="L6"/>
      <c r="M6"/>
      <c r="N6"/>
    </row>
    <row r="7" spans="1:49">
      <c r="A7" s="220" t="s">
        <v>2695</v>
      </c>
      <c r="B7" s="220">
        <v>1905875</v>
      </c>
      <c r="C7" s="221" t="s">
        <v>2665</v>
      </c>
      <c r="D7" s="112">
        <v>8347</v>
      </c>
      <c r="E7" s="112">
        <v>10707</v>
      </c>
      <c r="F7" s="163" t="s">
        <v>2668</v>
      </c>
      <c r="H7"/>
      <c r="I7"/>
      <c r="J7"/>
      <c r="K7"/>
      <c r="L7"/>
      <c r="M7"/>
      <c r="N7"/>
    </row>
    <row r="8" spans="1:49">
      <c r="A8" s="220" t="s">
        <v>2695</v>
      </c>
      <c r="B8" s="220">
        <v>1879438</v>
      </c>
      <c r="C8" s="221" t="s">
        <v>2665</v>
      </c>
      <c r="D8" s="112">
        <v>9745</v>
      </c>
      <c r="E8" s="112">
        <v>10497</v>
      </c>
      <c r="F8" s="163" t="s">
        <v>2669</v>
      </c>
      <c r="H8"/>
      <c r="I8"/>
      <c r="J8"/>
      <c r="K8"/>
      <c r="L8"/>
      <c r="M8"/>
      <c r="N8"/>
    </row>
    <row r="9" spans="1:49">
      <c r="A9" s="220" t="s">
        <v>2695</v>
      </c>
      <c r="B9" s="220">
        <v>2038963</v>
      </c>
      <c r="C9" s="221" t="s">
        <v>2665</v>
      </c>
      <c r="D9" s="112">
        <v>10226</v>
      </c>
      <c r="E9" s="112">
        <v>11806</v>
      </c>
      <c r="F9" s="120" t="s">
        <v>1252</v>
      </c>
      <c r="H9"/>
      <c r="I9"/>
      <c r="J9"/>
      <c r="K9"/>
      <c r="L9"/>
      <c r="M9"/>
      <c r="N9"/>
    </row>
    <row r="10" spans="1:49">
      <c r="A10" s="220" t="s">
        <v>2695</v>
      </c>
      <c r="B10" s="220">
        <v>2039544</v>
      </c>
      <c r="C10" s="221" t="s">
        <v>2665</v>
      </c>
      <c r="D10" s="112">
        <v>10582</v>
      </c>
      <c r="E10" s="112">
        <v>11813</v>
      </c>
      <c r="F10" s="120" t="s">
        <v>1305</v>
      </c>
      <c r="H10"/>
      <c r="I10"/>
      <c r="J10"/>
      <c r="K10"/>
      <c r="L10"/>
      <c r="M10"/>
      <c r="N10"/>
    </row>
    <row r="11" spans="1:49">
      <c r="A11" s="220" t="s">
        <v>2695</v>
      </c>
      <c r="B11" s="220">
        <v>2088300</v>
      </c>
      <c r="C11" s="221" t="s">
        <v>2665</v>
      </c>
      <c r="D11" s="112">
        <v>10909</v>
      </c>
      <c r="E11" s="112">
        <v>12261</v>
      </c>
      <c r="F11" s="120" t="s">
        <v>1305</v>
      </c>
      <c r="H11"/>
      <c r="I11"/>
      <c r="J11"/>
      <c r="K11"/>
      <c r="L11"/>
      <c r="M11"/>
      <c r="N11"/>
    </row>
    <row r="12" spans="1:49">
      <c r="A12" s="220" t="s">
        <v>2664</v>
      </c>
      <c r="B12" s="220">
        <v>2118318</v>
      </c>
      <c r="C12" s="221" t="s">
        <v>2665</v>
      </c>
      <c r="D12" s="112">
        <v>11455</v>
      </c>
      <c r="E12" s="112">
        <v>12562</v>
      </c>
      <c r="F12" s="120" t="s">
        <v>1263</v>
      </c>
      <c r="H12"/>
      <c r="I12"/>
      <c r="J12"/>
      <c r="K12"/>
      <c r="L12"/>
      <c r="M12"/>
      <c r="N12"/>
    </row>
    <row r="13" spans="1:49">
      <c r="A13" s="220" t="s">
        <v>2695</v>
      </c>
      <c r="B13" s="220">
        <v>2065075</v>
      </c>
      <c r="C13" s="221" t="s">
        <v>2665</v>
      </c>
      <c r="D13" s="112">
        <v>11618</v>
      </c>
      <c r="E13" s="112">
        <v>12044</v>
      </c>
      <c r="F13" s="120" t="s">
        <v>1358</v>
      </c>
      <c r="H13"/>
      <c r="I13"/>
      <c r="J13"/>
      <c r="K13"/>
      <c r="L13"/>
      <c r="M13"/>
      <c r="N13"/>
    </row>
    <row r="14" spans="1:49">
      <c r="A14" s="220" t="s">
        <v>2695</v>
      </c>
      <c r="B14" s="220">
        <v>2088154</v>
      </c>
      <c r="C14" s="221" t="s">
        <v>2665</v>
      </c>
      <c r="D14" s="112">
        <v>11662</v>
      </c>
      <c r="E14" s="112">
        <v>12261</v>
      </c>
      <c r="F14" s="120" t="s">
        <v>1358</v>
      </c>
      <c r="H14"/>
      <c r="I14"/>
      <c r="J14"/>
      <c r="K14"/>
      <c r="L14"/>
      <c r="M14"/>
      <c r="N14"/>
    </row>
    <row r="15" spans="1:49">
      <c r="A15" s="220" t="s">
        <v>2695</v>
      </c>
      <c r="B15" s="220">
        <v>2114534</v>
      </c>
      <c r="C15" s="221" t="s">
        <v>2665</v>
      </c>
      <c r="D15" s="112">
        <v>11662</v>
      </c>
      <c r="E15" s="112">
        <v>12527</v>
      </c>
      <c r="F15" s="120" t="s">
        <v>1358</v>
      </c>
      <c r="H15"/>
      <c r="I15"/>
      <c r="J15"/>
      <c r="K15"/>
      <c r="L15"/>
      <c r="M15"/>
      <c r="N15"/>
    </row>
    <row r="16" spans="1:49">
      <c r="A16" s="220" t="s">
        <v>2695</v>
      </c>
      <c r="B16" s="220">
        <v>2061875</v>
      </c>
      <c r="C16" s="221" t="s">
        <v>2665</v>
      </c>
      <c r="D16" s="112">
        <v>11677</v>
      </c>
      <c r="E16" s="112">
        <v>12016</v>
      </c>
      <c r="F16" s="120" t="s">
        <v>1358</v>
      </c>
      <c r="H16"/>
      <c r="I16"/>
      <c r="J16"/>
      <c r="K16"/>
      <c r="L16"/>
      <c r="M16"/>
      <c r="N16"/>
    </row>
    <row r="17" spans="1:14">
      <c r="A17" s="220" t="s">
        <v>2664</v>
      </c>
      <c r="B17" s="220">
        <v>2137111</v>
      </c>
      <c r="C17" s="221" t="s">
        <v>2665</v>
      </c>
      <c r="D17" s="112">
        <v>11756</v>
      </c>
      <c r="E17" s="112">
        <v>12737</v>
      </c>
      <c r="F17" s="120" t="s">
        <v>1268</v>
      </c>
      <c r="H17"/>
      <c r="I17"/>
      <c r="J17"/>
      <c r="K17"/>
      <c r="L17"/>
      <c r="M17"/>
      <c r="N17"/>
    </row>
    <row r="18" spans="1:14">
      <c r="A18" s="220" t="s">
        <v>2695</v>
      </c>
      <c r="B18" s="220">
        <v>2198422</v>
      </c>
      <c r="C18" s="221" t="s">
        <v>2665</v>
      </c>
      <c r="D18" s="112">
        <v>11763</v>
      </c>
      <c r="E18" s="112">
        <v>13262</v>
      </c>
      <c r="F18" s="120" t="s">
        <v>1251</v>
      </c>
      <c r="G18" s="120" t="s">
        <v>1281</v>
      </c>
      <c r="H18"/>
      <c r="I18"/>
      <c r="J18"/>
      <c r="K18"/>
      <c r="L18"/>
      <c r="M18"/>
      <c r="N18"/>
    </row>
    <row r="19" spans="1:14">
      <c r="A19" s="220" t="s">
        <v>2664</v>
      </c>
      <c r="B19" s="220">
        <v>2168302</v>
      </c>
      <c r="C19" s="221" t="s">
        <v>2665</v>
      </c>
      <c r="D19" s="112">
        <v>11763</v>
      </c>
      <c r="E19" s="112">
        <v>12996</v>
      </c>
      <c r="F19" s="163" t="s">
        <v>1267</v>
      </c>
      <c r="H19"/>
      <c r="I19"/>
      <c r="J19"/>
      <c r="K19"/>
      <c r="L19"/>
      <c r="M19"/>
      <c r="N19"/>
    </row>
    <row r="20" spans="1:14">
      <c r="A20" s="220" t="s">
        <v>2664</v>
      </c>
      <c r="B20" s="220">
        <v>2268716</v>
      </c>
      <c r="C20" s="221" t="s">
        <v>2665</v>
      </c>
      <c r="D20" s="112">
        <v>11820</v>
      </c>
      <c r="E20" s="112">
        <v>13885</v>
      </c>
      <c r="F20" s="120" t="s">
        <v>2539</v>
      </c>
      <c r="H20"/>
      <c r="I20"/>
      <c r="J20"/>
      <c r="K20"/>
      <c r="L20"/>
      <c r="M20"/>
      <c r="N20"/>
    </row>
    <row r="21" spans="1:14">
      <c r="A21" s="220" t="s">
        <v>2695</v>
      </c>
      <c r="B21" s="220">
        <v>2328043</v>
      </c>
      <c r="C21" s="221" t="s">
        <v>2665</v>
      </c>
      <c r="D21" s="112">
        <v>11858</v>
      </c>
      <c r="E21" s="112">
        <v>14487</v>
      </c>
      <c r="F21" s="120" t="s">
        <v>1260</v>
      </c>
      <c r="G21" s="120" t="s">
        <v>1282</v>
      </c>
      <c r="H21"/>
      <c r="I21"/>
      <c r="J21"/>
      <c r="K21"/>
      <c r="L21"/>
      <c r="M21"/>
      <c r="N21"/>
    </row>
    <row r="22" spans="1:14">
      <c r="A22" s="220" t="s">
        <v>2695</v>
      </c>
      <c r="B22" s="220">
        <v>2162191</v>
      </c>
      <c r="C22" s="221" t="s">
        <v>2665</v>
      </c>
      <c r="D22" s="112">
        <v>12016</v>
      </c>
      <c r="E22" s="112">
        <v>12947</v>
      </c>
      <c r="F22" s="120" t="s">
        <v>1251</v>
      </c>
      <c r="G22" s="120" t="s">
        <v>1283</v>
      </c>
      <c r="H22"/>
      <c r="I22"/>
      <c r="J22"/>
      <c r="K22"/>
      <c r="L22"/>
      <c r="M22"/>
      <c r="N22"/>
    </row>
    <row r="23" spans="1:14">
      <c r="A23" s="220" t="s">
        <v>2695</v>
      </c>
      <c r="B23" s="220">
        <v>2262783</v>
      </c>
      <c r="C23" s="221" t="s">
        <v>2665</v>
      </c>
      <c r="D23" s="112">
        <v>12151</v>
      </c>
      <c r="E23" s="112">
        <v>13836</v>
      </c>
      <c r="F23" s="120" t="s">
        <v>2540</v>
      </c>
      <c r="H23"/>
      <c r="I23"/>
      <c r="J23"/>
      <c r="K23"/>
      <c r="L23"/>
      <c r="M23"/>
      <c r="N23"/>
    </row>
    <row r="24" spans="1:14">
      <c r="A24" s="220" t="s">
        <v>2695</v>
      </c>
      <c r="B24" s="220">
        <v>2190555</v>
      </c>
      <c r="C24" s="221" t="s">
        <v>2665</v>
      </c>
      <c r="D24" s="112">
        <v>12281</v>
      </c>
      <c r="E24" s="112">
        <v>13192</v>
      </c>
      <c r="F24" s="163" t="s">
        <v>1261</v>
      </c>
      <c r="H24"/>
      <c r="I24"/>
      <c r="J24"/>
      <c r="K24"/>
      <c r="L24"/>
      <c r="M24"/>
      <c r="N24"/>
    </row>
    <row r="25" spans="1:14">
      <c r="A25" s="42" t="s">
        <v>2695</v>
      </c>
      <c r="B25" s="42">
        <v>2277612</v>
      </c>
      <c r="C25" s="151" t="s">
        <v>2665</v>
      </c>
      <c r="D25" s="112">
        <v>12599</v>
      </c>
      <c r="E25" s="112">
        <v>13962</v>
      </c>
      <c r="F25" s="120" t="s">
        <v>1262</v>
      </c>
      <c r="H25"/>
      <c r="I25"/>
      <c r="J25"/>
      <c r="K25"/>
      <c r="L25"/>
      <c r="M25"/>
      <c r="N25"/>
    </row>
    <row r="26" spans="1:14">
      <c r="A26" s="42" t="s">
        <v>2696</v>
      </c>
      <c r="B26" s="42">
        <v>2285056</v>
      </c>
      <c r="C26" s="151" t="s">
        <v>2665</v>
      </c>
      <c r="D26" s="112">
        <v>12750</v>
      </c>
      <c r="E26" s="112">
        <v>14032</v>
      </c>
      <c r="F26" s="120" t="s">
        <v>2538</v>
      </c>
      <c r="H26"/>
      <c r="I26"/>
      <c r="J26"/>
      <c r="K26"/>
      <c r="L26"/>
      <c r="M26"/>
      <c r="N26"/>
    </row>
    <row r="27" spans="1:14">
      <c r="A27" s="42" t="s">
        <v>2664</v>
      </c>
      <c r="B27" s="42">
        <v>2284221</v>
      </c>
      <c r="C27" s="151" t="s">
        <v>2665</v>
      </c>
      <c r="D27" s="112">
        <v>12827</v>
      </c>
      <c r="E27" s="112">
        <v>14025</v>
      </c>
      <c r="F27" s="120" t="s">
        <v>1269</v>
      </c>
      <c r="H27"/>
      <c r="I27"/>
      <c r="J27"/>
      <c r="K27"/>
      <c r="L27"/>
      <c r="M27"/>
      <c r="N27"/>
    </row>
    <row r="28" spans="1:14">
      <c r="A28" s="42" t="s">
        <v>2695</v>
      </c>
      <c r="B28" s="42">
        <v>2340441</v>
      </c>
      <c r="C28" s="151" t="s">
        <v>2665</v>
      </c>
      <c r="D28" s="112">
        <v>13188</v>
      </c>
      <c r="E28" s="112">
        <v>14641</v>
      </c>
      <c r="F28" s="163" t="s">
        <v>1261</v>
      </c>
      <c r="H28"/>
      <c r="I28"/>
      <c r="J28"/>
      <c r="K28"/>
      <c r="L28"/>
      <c r="M28"/>
      <c r="N28"/>
    </row>
    <row r="29" spans="1:14">
      <c r="A29" s="42" t="s">
        <v>2695</v>
      </c>
      <c r="B29" s="42">
        <v>2340442</v>
      </c>
      <c r="C29" s="151" t="s">
        <v>2665</v>
      </c>
      <c r="D29" s="112">
        <v>13188</v>
      </c>
      <c r="E29" s="112">
        <v>14641</v>
      </c>
      <c r="F29" s="120" t="s">
        <v>1261</v>
      </c>
      <c r="H29"/>
      <c r="I29"/>
      <c r="J29"/>
      <c r="K29"/>
      <c r="L29"/>
      <c r="M29"/>
      <c r="N29"/>
    </row>
    <row r="30" spans="1:14">
      <c r="H30"/>
      <c r="I30"/>
      <c r="J30"/>
      <c r="K30"/>
      <c r="L30"/>
      <c r="M30"/>
      <c r="N30"/>
    </row>
    <row r="31" spans="1:14">
      <c r="H31"/>
      <c r="I31"/>
      <c r="J31"/>
      <c r="K31"/>
      <c r="L31"/>
      <c r="M31"/>
      <c r="N31"/>
    </row>
    <row r="32" spans="1:14">
      <c r="H32"/>
      <c r="I32"/>
      <c r="J32"/>
      <c r="K32"/>
      <c r="L32"/>
      <c r="M32"/>
      <c r="N32"/>
    </row>
    <row r="33" spans="1:14">
      <c r="H33"/>
      <c r="I33"/>
      <c r="J33"/>
      <c r="K33"/>
      <c r="L33"/>
      <c r="M33"/>
      <c r="N33"/>
    </row>
    <row r="34" spans="1:14">
      <c r="H34"/>
      <c r="I34"/>
      <c r="J34"/>
      <c r="K34"/>
      <c r="L34"/>
      <c r="M34"/>
      <c r="N34"/>
    </row>
    <row r="35" spans="1:14">
      <c r="H35"/>
      <c r="I35"/>
      <c r="J35"/>
      <c r="K35"/>
      <c r="L35"/>
      <c r="M35"/>
      <c r="N35"/>
    </row>
    <row r="36" spans="1:14">
      <c r="H36"/>
      <c r="I36"/>
      <c r="J36"/>
      <c r="K36"/>
      <c r="L36"/>
      <c r="M36"/>
      <c r="N36"/>
    </row>
    <row r="37" spans="1:14">
      <c r="H37"/>
      <c r="I37"/>
      <c r="J37"/>
      <c r="K37"/>
      <c r="L37"/>
      <c r="M37"/>
      <c r="N37"/>
    </row>
    <row r="38" spans="1:14">
      <c r="H38"/>
      <c r="I38"/>
      <c r="J38"/>
      <c r="K38"/>
      <c r="L38"/>
      <c r="M38"/>
      <c r="N38"/>
    </row>
    <row r="39" spans="1:14">
      <c r="H39"/>
      <c r="I39"/>
      <c r="J39"/>
      <c r="K39"/>
      <c r="L39"/>
      <c r="M39"/>
      <c r="N39"/>
    </row>
    <row r="40" spans="1:14">
      <c r="H40"/>
      <c r="I40"/>
      <c r="J40"/>
      <c r="K40"/>
      <c r="L40"/>
      <c r="M40"/>
      <c r="N40"/>
    </row>
    <row r="41" spans="1:14">
      <c r="H41"/>
      <c r="I41"/>
      <c r="J41"/>
      <c r="K41"/>
      <c r="L41"/>
      <c r="M41"/>
      <c r="N41"/>
    </row>
    <row r="42" spans="1:14">
      <c r="A42" s="126" t="s">
        <v>2271</v>
      </c>
      <c r="H42"/>
      <c r="I42"/>
      <c r="J42"/>
      <c r="K42"/>
      <c r="L42"/>
      <c r="M42"/>
      <c r="N42"/>
    </row>
    <row r="43" spans="1:14">
      <c r="A43" s="125" t="s">
        <v>1280</v>
      </c>
    </row>
    <row r="44" spans="1:14">
      <c r="A44" s="125"/>
    </row>
    <row r="45" spans="1:14">
      <c r="A45" s="125" t="s">
        <v>1270</v>
      </c>
    </row>
    <row r="47" spans="1:14">
      <c r="A47" s="42" t="s">
        <v>1159</v>
      </c>
    </row>
    <row r="48" spans="1:14">
      <c r="A48" s="42" t="s">
        <v>1239</v>
      </c>
    </row>
    <row r="49" spans="1:5">
      <c r="A49" s="42" t="s">
        <v>1165</v>
      </c>
    </row>
    <row r="50" spans="1:5">
      <c r="A50" s="42" t="s">
        <v>1234</v>
      </c>
    </row>
    <row r="51" spans="1:5">
      <c r="A51" s="42" t="s">
        <v>1368</v>
      </c>
    </row>
    <row r="52" spans="1:5">
      <c r="A52" s="42" t="s">
        <v>1369</v>
      </c>
    </row>
    <row r="53" spans="1:5">
      <c r="A53" s="42" t="s">
        <v>1297</v>
      </c>
    </row>
    <row r="54" spans="1:5">
      <c r="A54" s="42" t="s">
        <v>1235</v>
      </c>
    </row>
    <row r="55" spans="1:5">
      <c r="A55" s="42" t="s">
        <v>1236</v>
      </c>
    </row>
    <row r="56" spans="1:5">
      <c r="A56" s="42" t="s">
        <v>1237</v>
      </c>
    </row>
    <row r="57" spans="1:5">
      <c r="A57" s="42" t="s">
        <v>1238</v>
      </c>
    </row>
    <row r="58" spans="1:5" s="203" customFormat="1">
      <c r="A58" s="42" t="s">
        <v>168</v>
      </c>
      <c r="B58" s="42"/>
      <c r="C58" s="42"/>
      <c r="D58" s="42"/>
      <c r="E58" s="42"/>
    </row>
    <row r="60" spans="1:5">
      <c r="A60" s="126" t="s">
        <v>1271</v>
      </c>
    </row>
    <row r="61" spans="1:5">
      <c r="A61" s="42" t="s">
        <v>1256</v>
      </c>
    </row>
    <row r="62" spans="1:5">
      <c r="A62" s="42" t="s">
        <v>1229</v>
      </c>
    </row>
    <row r="63" spans="1:5" s="204" customFormat="1">
      <c r="A63" s="42" t="s">
        <v>2864</v>
      </c>
      <c r="B63" s="42"/>
      <c r="C63" s="42"/>
      <c r="D63" s="42"/>
      <c r="E63" s="42"/>
    </row>
    <row r="65" spans="1:2">
      <c r="A65" s="126" t="s">
        <v>1411</v>
      </c>
    </row>
    <row r="66" spans="1:2">
      <c r="A66" s="42" t="s">
        <v>1225</v>
      </c>
      <c r="B66" s="42">
        <v>1937</v>
      </c>
    </row>
    <row r="67" spans="1:2">
      <c r="A67" s="42" t="s">
        <v>1250</v>
      </c>
      <c r="B67" s="42">
        <v>1937</v>
      </c>
    </row>
    <row r="68" spans="1:2">
      <c r="A68" s="42" t="s">
        <v>1226</v>
      </c>
      <c r="B68" s="42">
        <v>1940</v>
      </c>
    </row>
    <row r="70" spans="1:2">
      <c r="A70" s="126" t="s">
        <v>1160</v>
      </c>
    </row>
    <row r="71" spans="1:2">
      <c r="A71" s="42" t="s">
        <v>1161</v>
      </c>
      <c r="B71" s="42">
        <v>1940</v>
      </c>
    </row>
    <row r="72" spans="1:2">
      <c r="A72" s="42" t="s">
        <v>1162</v>
      </c>
      <c r="B72" s="42" t="s">
        <v>1743</v>
      </c>
    </row>
    <row r="73" spans="1:2">
      <c r="A73" s="42" t="s">
        <v>1163</v>
      </c>
      <c r="B73" s="42">
        <v>1939</v>
      </c>
    </row>
    <row r="74" spans="1:2">
      <c r="A74" s="42" t="s">
        <v>1164</v>
      </c>
      <c r="B74" s="42" t="s">
        <v>1743</v>
      </c>
    </row>
  </sheetData>
  <sheetCalcPr fullCalcOnLoad="1"/>
  <sortState ref="A3:XFD29">
    <sortCondition ref="D3:D29"/>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W236"/>
  <sheetViews>
    <sheetView topLeftCell="A128" workbookViewId="0">
      <selection activeCell="A130" sqref="A130:C160"/>
    </sheetView>
  </sheetViews>
  <sheetFormatPr baseColWidth="10" defaultRowHeight="13"/>
  <cols>
    <col min="1" max="4" width="10.7109375" style="42"/>
  </cols>
  <sheetData>
    <row r="1" spans="1:49" s="87" customFormat="1" ht="39">
      <c r="A1" s="100" t="s">
        <v>1869</v>
      </c>
      <c r="B1" s="100" t="s">
        <v>2173</v>
      </c>
      <c r="C1" s="100" t="s">
        <v>876</v>
      </c>
      <c r="D1" s="100" t="s">
        <v>2174</v>
      </c>
      <c r="E1" s="82" t="s">
        <v>2022</v>
      </c>
      <c r="F1" s="82" t="s">
        <v>2023</v>
      </c>
      <c r="G1" s="90" t="s">
        <v>1631</v>
      </c>
      <c r="H1" s="91" t="s">
        <v>1632</v>
      </c>
      <c r="I1" s="92" t="s">
        <v>1797</v>
      </c>
      <c r="J1" s="92" t="s">
        <v>1689</v>
      </c>
      <c r="K1" s="92" t="s">
        <v>1633</v>
      </c>
      <c r="L1" s="92" t="s">
        <v>1827</v>
      </c>
      <c r="M1" s="92" t="s">
        <v>1828</v>
      </c>
      <c r="N1" s="92" t="s">
        <v>1692</v>
      </c>
      <c r="O1" s="92" t="s">
        <v>1793</v>
      </c>
      <c r="P1" s="92" t="s">
        <v>1638</v>
      </c>
      <c r="Q1" s="92" t="s">
        <v>1801</v>
      </c>
      <c r="R1" s="92" t="s">
        <v>1700</v>
      </c>
      <c r="S1" s="93" t="s">
        <v>1683</v>
      </c>
      <c r="T1" s="94" t="s">
        <v>1684</v>
      </c>
      <c r="U1" s="94" t="s">
        <v>1900</v>
      </c>
      <c r="V1" s="94" t="s">
        <v>1901</v>
      </c>
      <c r="W1" s="94" t="s">
        <v>1685</v>
      </c>
      <c r="X1" s="94" t="s">
        <v>1686</v>
      </c>
      <c r="Y1" s="95" t="s">
        <v>1687</v>
      </c>
      <c r="Z1" s="96" t="s">
        <v>1688</v>
      </c>
      <c r="AA1" s="97" t="s">
        <v>1810</v>
      </c>
      <c r="AB1" s="97" t="s">
        <v>1728</v>
      </c>
      <c r="AC1" s="97" t="s">
        <v>1763</v>
      </c>
      <c r="AD1" s="97" t="s">
        <v>1764</v>
      </c>
      <c r="AE1" s="97" t="s">
        <v>1860</v>
      </c>
      <c r="AF1" s="97" t="s">
        <v>1861</v>
      </c>
      <c r="AG1" s="97" t="s">
        <v>1693</v>
      </c>
      <c r="AH1" s="93" t="s">
        <v>1694</v>
      </c>
      <c r="AI1" s="94" t="s">
        <v>1862</v>
      </c>
      <c r="AJ1" s="94" t="s">
        <v>1744</v>
      </c>
      <c r="AK1" s="95" t="s">
        <v>1758</v>
      </c>
      <c r="AL1" s="95" t="s">
        <v>1921</v>
      </c>
      <c r="AM1" s="95" t="s">
        <v>1835</v>
      </c>
      <c r="AN1" s="95" t="s">
        <v>1836</v>
      </c>
      <c r="AO1" s="95" t="s">
        <v>1893</v>
      </c>
      <c r="AP1" s="95" t="s">
        <v>1894</v>
      </c>
      <c r="AQ1" s="98" t="s">
        <v>1895</v>
      </c>
      <c r="AR1" s="98" t="s">
        <v>1745</v>
      </c>
      <c r="AS1" s="98" t="s">
        <v>2193</v>
      </c>
      <c r="AT1" s="99" t="s">
        <v>1746</v>
      </c>
      <c r="AU1" s="82" t="s">
        <v>1899</v>
      </c>
      <c r="AV1" s="82" t="s">
        <v>2194</v>
      </c>
      <c r="AW1" s="82" t="s">
        <v>2195</v>
      </c>
    </row>
    <row r="2" spans="1:49" s="42" customFormat="1">
      <c r="A2" s="42" t="s">
        <v>1491</v>
      </c>
    </row>
    <row r="3" spans="1:49" s="42" customFormat="1">
      <c r="A3" s="220" t="s">
        <v>1616</v>
      </c>
      <c r="B3" s="220">
        <v>2119669</v>
      </c>
      <c r="C3" s="221" t="s">
        <v>1176</v>
      </c>
      <c r="D3" s="112">
        <v>9968</v>
      </c>
      <c r="E3" s="112">
        <v>12576</v>
      </c>
      <c r="F3" s="42" t="s">
        <v>1488</v>
      </c>
    </row>
    <row r="4" spans="1:49" s="42" customFormat="1">
      <c r="A4" s="220" t="s">
        <v>1616</v>
      </c>
      <c r="B4" s="220">
        <v>2123129</v>
      </c>
      <c r="C4" s="221" t="s">
        <v>1176</v>
      </c>
      <c r="D4" s="112">
        <v>10074</v>
      </c>
      <c r="E4" s="112">
        <v>12604</v>
      </c>
      <c r="F4" s="42" t="s">
        <v>1489</v>
      </c>
    </row>
    <row r="5" spans="1:49" s="42" customFormat="1">
      <c r="A5" s="220" t="s">
        <v>1616</v>
      </c>
      <c r="B5" s="220">
        <v>2123130</v>
      </c>
      <c r="C5" s="221" t="s">
        <v>1176</v>
      </c>
      <c r="D5" s="112">
        <v>10112</v>
      </c>
      <c r="E5" s="112">
        <v>12604</v>
      </c>
      <c r="F5" s="42" t="s">
        <v>1489</v>
      </c>
    </row>
    <row r="6" spans="1:49" s="42" customFormat="1">
      <c r="A6" s="220" t="s">
        <v>1616</v>
      </c>
      <c r="B6" s="220">
        <v>2123101</v>
      </c>
      <c r="C6" s="221" t="s">
        <v>1176</v>
      </c>
      <c r="D6" s="112">
        <v>10217</v>
      </c>
      <c r="E6" s="112">
        <v>12604</v>
      </c>
      <c r="F6" s="42" t="s">
        <v>1489</v>
      </c>
      <c r="H6" s="109"/>
    </row>
    <row r="7" spans="1:49" s="42" customFormat="1">
      <c r="A7" s="220" t="s">
        <v>1616</v>
      </c>
      <c r="B7" s="220">
        <v>2122810</v>
      </c>
      <c r="C7" s="221" t="s">
        <v>1176</v>
      </c>
      <c r="D7" s="112">
        <v>10321</v>
      </c>
      <c r="E7" s="112">
        <v>12604</v>
      </c>
      <c r="F7" s="42" t="s">
        <v>1489</v>
      </c>
      <c r="H7" s="109"/>
    </row>
    <row r="8" spans="1:49" s="42" customFormat="1">
      <c r="A8" s="220" t="s">
        <v>1616</v>
      </c>
      <c r="B8" s="220">
        <v>2123099</v>
      </c>
      <c r="C8" s="221" t="s">
        <v>1176</v>
      </c>
      <c r="D8" s="112">
        <v>10321</v>
      </c>
      <c r="E8" s="112">
        <v>12604</v>
      </c>
      <c r="F8" s="42" t="s">
        <v>1489</v>
      </c>
      <c r="H8" s="109"/>
    </row>
    <row r="9" spans="1:49" s="42" customFormat="1">
      <c r="A9" s="220" t="s">
        <v>1616</v>
      </c>
      <c r="B9" s="220">
        <v>2123100</v>
      </c>
      <c r="C9" s="221" t="s">
        <v>1176</v>
      </c>
      <c r="D9" s="112">
        <v>10639</v>
      </c>
      <c r="E9" s="112">
        <v>12604</v>
      </c>
      <c r="F9" s="42" t="s">
        <v>1489</v>
      </c>
      <c r="H9" s="109"/>
    </row>
    <row r="10" spans="1:49" s="207" customFormat="1">
      <c r="A10" s="220" t="s">
        <v>1616</v>
      </c>
      <c r="B10" s="220">
        <v>2132002</v>
      </c>
      <c r="C10" s="221" t="s">
        <v>1176</v>
      </c>
      <c r="D10" s="112">
        <v>11058</v>
      </c>
      <c r="E10" s="46">
        <v>12695</v>
      </c>
      <c r="F10" s="42" t="s">
        <v>1489</v>
      </c>
      <c r="H10" s="109"/>
    </row>
    <row r="11" spans="1:49" s="42" customFormat="1">
      <c r="A11" s="220" t="s">
        <v>1616</v>
      </c>
      <c r="B11" s="220">
        <v>2126372</v>
      </c>
      <c r="C11" s="221" t="s">
        <v>1176</v>
      </c>
      <c r="D11" s="112">
        <v>11084</v>
      </c>
      <c r="E11" s="112">
        <v>12639</v>
      </c>
      <c r="F11" s="42" t="s">
        <v>1489</v>
      </c>
      <c r="H11" s="109"/>
    </row>
    <row r="12" spans="1:49">
      <c r="A12" s="220" t="s">
        <v>1616</v>
      </c>
      <c r="B12" s="220">
        <v>2162072</v>
      </c>
      <c r="C12" s="221" t="s">
        <v>1176</v>
      </c>
      <c r="D12" s="112">
        <v>11417</v>
      </c>
      <c r="E12" s="46">
        <v>12947</v>
      </c>
      <c r="F12" s="42" t="s">
        <v>1489</v>
      </c>
      <c r="H12" s="109"/>
    </row>
    <row r="13" spans="1:49">
      <c r="A13" s="220" t="s">
        <v>1616</v>
      </c>
      <c r="B13" s="220">
        <v>2195589</v>
      </c>
      <c r="C13" s="221" t="s">
        <v>1176</v>
      </c>
      <c r="D13" s="112">
        <v>11712</v>
      </c>
      <c r="E13" s="46">
        <v>13241</v>
      </c>
      <c r="F13" s="42" t="s">
        <v>1489</v>
      </c>
      <c r="H13" s="109"/>
    </row>
    <row r="14" spans="1:49">
      <c r="A14" s="220" t="s">
        <v>1616</v>
      </c>
      <c r="B14" s="220">
        <v>2161740</v>
      </c>
      <c r="C14" s="221" t="s">
        <v>1176</v>
      </c>
      <c r="D14" s="112">
        <v>11819</v>
      </c>
      <c r="E14" s="46">
        <v>12940</v>
      </c>
      <c r="F14" s="42" t="s">
        <v>1489</v>
      </c>
      <c r="H14" s="109"/>
    </row>
    <row r="15" spans="1:49">
      <c r="A15" s="220" t="s">
        <v>1616</v>
      </c>
      <c r="B15" s="220">
        <v>2179656</v>
      </c>
      <c r="C15" s="221" t="s">
        <v>1176</v>
      </c>
      <c r="D15" s="112">
        <v>12263</v>
      </c>
      <c r="E15" s="46">
        <v>13101</v>
      </c>
      <c r="F15" s="42" t="s">
        <v>1489</v>
      </c>
    </row>
    <row r="16" spans="1:49">
      <c r="A16" s="220" t="s">
        <v>1616</v>
      </c>
      <c r="B16" s="220">
        <v>2267588</v>
      </c>
      <c r="C16" s="221" t="s">
        <v>1176</v>
      </c>
      <c r="D16" s="112">
        <v>12289</v>
      </c>
      <c r="E16" s="46">
        <v>13871</v>
      </c>
      <c r="F16" s="42" t="s">
        <v>1489</v>
      </c>
    </row>
    <row r="17" spans="1:6">
      <c r="A17" s="42" t="s">
        <v>1616</v>
      </c>
      <c r="B17" s="42">
        <v>2174070</v>
      </c>
      <c r="C17" s="151" t="s">
        <v>1176</v>
      </c>
      <c r="D17" s="112">
        <v>12439</v>
      </c>
      <c r="E17" s="46">
        <v>13052</v>
      </c>
      <c r="F17" s="42" t="s">
        <v>1489</v>
      </c>
    </row>
    <row r="18" spans="1:6">
      <c r="A18" s="42" t="s">
        <v>1616</v>
      </c>
      <c r="B18" s="42">
        <v>2195590</v>
      </c>
      <c r="C18" s="151" t="s">
        <v>1176</v>
      </c>
      <c r="D18" s="112">
        <v>12444</v>
      </c>
      <c r="E18" s="46">
        <v>13241</v>
      </c>
      <c r="F18" s="42" t="s">
        <v>1489</v>
      </c>
    </row>
    <row r="19" spans="1:6">
      <c r="A19" s="42" t="s">
        <v>1616</v>
      </c>
      <c r="B19" s="42">
        <v>2217646</v>
      </c>
      <c r="C19" s="151" t="s">
        <v>1176</v>
      </c>
      <c r="D19" s="112">
        <v>12444</v>
      </c>
      <c r="E19" s="46">
        <v>13430</v>
      </c>
      <c r="F19" s="42" t="s">
        <v>1489</v>
      </c>
    </row>
    <row r="20" spans="1:6">
      <c r="A20" s="42" t="s">
        <v>1616</v>
      </c>
      <c r="B20" s="42">
        <v>2231207</v>
      </c>
      <c r="C20" s="151" t="s">
        <v>1176</v>
      </c>
      <c r="D20" s="112">
        <v>12690</v>
      </c>
      <c r="E20" s="46">
        <v>13556</v>
      </c>
      <c r="F20" s="42" t="s">
        <v>1489</v>
      </c>
    </row>
    <row r="21" spans="1:6">
      <c r="A21" s="42" t="s">
        <v>1616</v>
      </c>
      <c r="B21" s="42">
        <v>2279704</v>
      </c>
      <c r="C21" s="151" t="s">
        <v>1176</v>
      </c>
      <c r="D21" s="112">
        <v>13000</v>
      </c>
      <c r="E21" s="46">
        <v>13983</v>
      </c>
      <c r="F21" s="42" t="s">
        <v>1489</v>
      </c>
    </row>
    <row r="22" spans="1:6">
      <c r="A22" s="42" t="s">
        <v>1616</v>
      </c>
      <c r="B22" s="42">
        <v>2265938</v>
      </c>
      <c r="C22" s="151" t="s">
        <v>1176</v>
      </c>
      <c r="D22" s="112">
        <v>13097</v>
      </c>
      <c r="E22" s="46">
        <v>13857</v>
      </c>
      <c r="F22" s="42" t="s">
        <v>1489</v>
      </c>
    </row>
    <row r="23" spans="1:6">
      <c r="A23" s="42" t="s">
        <v>1616</v>
      </c>
      <c r="B23" s="42">
        <v>2262604</v>
      </c>
      <c r="C23" s="151" t="s">
        <v>1176</v>
      </c>
      <c r="D23" s="112">
        <v>13163</v>
      </c>
      <c r="E23" s="46">
        <v>13829</v>
      </c>
      <c r="F23" s="42" t="s">
        <v>1489</v>
      </c>
    </row>
    <row r="24" spans="1:6">
      <c r="A24" s="42" t="s">
        <v>1616</v>
      </c>
      <c r="B24" s="42">
        <v>2330790</v>
      </c>
      <c r="C24" s="151" t="s">
        <v>1176</v>
      </c>
      <c r="D24" s="112">
        <v>13348</v>
      </c>
      <c r="E24" s="46">
        <v>14515</v>
      </c>
      <c r="F24" s="42" t="s">
        <v>1489</v>
      </c>
    </row>
    <row r="25" spans="1:6">
      <c r="A25" s="42" t="s">
        <v>1616</v>
      </c>
      <c r="B25" s="42">
        <v>2304346</v>
      </c>
      <c r="C25" s="151" t="s">
        <v>1176</v>
      </c>
      <c r="D25" s="112">
        <v>13362</v>
      </c>
      <c r="E25" s="46">
        <v>14221</v>
      </c>
      <c r="F25" s="42" t="s">
        <v>1489</v>
      </c>
    </row>
    <row r="26" spans="1:6">
      <c r="A26" s="42" t="s">
        <v>1616</v>
      </c>
      <c r="B26" s="42">
        <v>2334673</v>
      </c>
      <c r="C26" s="151" t="s">
        <v>1176</v>
      </c>
      <c r="D26" s="112">
        <v>13734</v>
      </c>
      <c r="E26" s="46">
        <v>14564</v>
      </c>
      <c r="F26" s="42" t="s">
        <v>1489</v>
      </c>
    </row>
    <row r="27" spans="1:6">
      <c r="A27" s="42" t="s">
        <v>1616</v>
      </c>
      <c r="B27" s="42">
        <v>2410573</v>
      </c>
      <c r="C27" s="151" t="s">
        <v>1176</v>
      </c>
      <c r="D27" s="112">
        <v>14401</v>
      </c>
      <c r="E27" s="46">
        <v>15649</v>
      </c>
      <c r="F27" s="42" t="s">
        <v>1489</v>
      </c>
    </row>
    <row r="28" spans="1:6">
      <c r="A28" s="42" t="s">
        <v>1616</v>
      </c>
      <c r="B28" s="42">
        <v>2439848</v>
      </c>
      <c r="C28" s="151" t="s">
        <v>1176</v>
      </c>
      <c r="D28" s="112">
        <v>14416</v>
      </c>
      <c r="E28" s="46">
        <v>16181</v>
      </c>
      <c r="F28" s="42" t="s">
        <v>1489</v>
      </c>
    </row>
    <row r="29" spans="1:6">
      <c r="A29" s="42" t="s">
        <v>1616</v>
      </c>
      <c r="B29" s="42">
        <v>2349220</v>
      </c>
      <c r="C29" s="151" t="s">
        <v>1176</v>
      </c>
      <c r="D29" s="112">
        <v>14446</v>
      </c>
      <c r="E29" s="46">
        <v>14746</v>
      </c>
      <c r="F29" s="42" t="s">
        <v>1489</v>
      </c>
    </row>
    <row r="30" spans="1:6">
      <c r="A30" s="42" t="s">
        <v>1616</v>
      </c>
      <c r="B30" s="42">
        <v>2416862</v>
      </c>
      <c r="C30" s="151" t="s">
        <v>1176</v>
      </c>
      <c r="D30" s="112">
        <v>14784</v>
      </c>
      <c r="E30" s="46">
        <v>15768</v>
      </c>
      <c r="F30" s="42" t="s">
        <v>1489</v>
      </c>
    </row>
    <row r="31" spans="1:6">
      <c r="A31" s="42" t="s">
        <v>1616</v>
      </c>
      <c r="B31" s="42">
        <v>2410579</v>
      </c>
      <c r="C31" s="151" t="s">
        <v>1176</v>
      </c>
      <c r="D31" s="112">
        <v>14925</v>
      </c>
      <c r="E31" s="46">
        <v>15649</v>
      </c>
      <c r="F31" s="42" t="s">
        <v>1489</v>
      </c>
    </row>
    <row r="32" spans="1:6">
      <c r="A32" s="42" t="s">
        <v>1616</v>
      </c>
      <c r="B32" s="42">
        <v>2427634</v>
      </c>
      <c r="C32" s="151" t="s">
        <v>1176</v>
      </c>
      <c r="D32" s="112">
        <v>14984</v>
      </c>
      <c r="E32" s="46">
        <v>15964</v>
      </c>
      <c r="F32" s="42" t="s">
        <v>1489</v>
      </c>
    </row>
    <row r="33" spans="1:6">
      <c r="A33" s="42" t="s">
        <v>1616</v>
      </c>
      <c r="B33" s="42">
        <v>2548840</v>
      </c>
      <c r="C33" s="151" t="s">
        <v>1176</v>
      </c>
      <c r="D33" s="112">
        <v>15565</v>
      </c>
      <c r="E33" s="46">
        <v>17266</v>
      </c>
      <c r="F33" s="42" t="s">
        <v>1489</v>
      </c>
    </row>
    <row r="34" spans="1:6">
      <c r="A34" s="42" t="s">
        <v>1616</v>
      </c>
      <c r="B34" s="42">
        <v>2507285</v>
      </c>
      <c r="C34" s="151" t="s">
        <v>1176</v>
      </c>
      <c r="D34" s="112">
        <v>15782</v>
      </c>
      <c r="E34" s="46">
        <v>16930</v>
      </c>
      <c r="F34" s="42" t="s">
        <v>1489</v>
      </c>
    </row>
    <row r="35" spans="1:6">
      <c r="A35" s="42" t="s">
        <v>1616</v>
      </c>
      <c r="B35" s="42">
        <v>2457416</v>
      </c>
      <c r="C35" s="151" t="s">
        <v>1176</v>
      </c>
      <c r="D35" s="112">
        <v>15966</v>
      </c>
      <c r="E35" s="46">
        <v>16433</v>
      </c>
      <c r="F35" s="42" t="s">
        <v>1489</v>
      </c>
    </row>
    <row r="36" spans="1:6">
      <c r="A36" s="42" t="s">
        <v>1616</v>
      </c>
      <c r="B36" s="42">
        <v>2597835</v>
      </c>
      <c r="C36" s="151" t="s">
        <v>1176</v>
      </c>
      <c r="D36" s="112">
        <v>15985</v>
      </c>
      <c r="E36" s="46">
        <v>17672</v>
      </c>
      <c r="F36" s="42" t="s">
        <v>1489</v>
      </c>
    </row>
    <row r="37" spans="1:6">
      <c r="A37" s="42" t="s">
        <v>1616</v>
      </c>
      <c r="B37" s="42">
        <v>2586029</v>
      </c>
      <c r="C37" s="151" t="s">
        <v>1176</v>
      </c>
      <c r="D37" s="112">
        <v>16448</v>
      </c>
      <c r="E37" s="46">
        <v>17581</v>
      </c>
      <c r="F37" s="42" t="s">
        <v>1489</v>
      </c>
    </row>
    <row r="38" spans="1:6">
      <c r="A38" s="42" t="s">
        <v>1616</v>
      </c>
      <c r="B38" s="42">
        <v>2643445</v>
      </c>
      <c r="C38" s="151" t="s">
        <v>1176</v>
      </c>
      <c r="D38" s="112">
        <v>16671</v>
      </c>
      <c r="E38" s="46">
        <v>18078</v>
      </c>
      <c r="F38" s="42" t="s">
        <v>1489</v>
      </c>
    </row>
    <row r="39" spans="1:6">
      <c r="A39" s="42" t="s">
        <v>1616</v>
      </c>
      <c r="B39" s="42">
        <v>2675849</v>
      </c>
      <c r="C39" s="151" t="s">
        <v>1176</v>
      </c>
      <c r="D39" s="112">
        <v>16674</v>
      </c>
      <c r="E39" s="46">
        <v>18372</v>
      </c>
      <c r="F39" s="42" t="s">
        <v>1488</v>
      </c>
    </row>
    <row r="40" spans="1:6">
      <c r="A40" s="42" t="s">
        <v>1616</v>
      </c>
      <c r="B40" s="42">
        <v>2659407</v>
      </c>
      <c r="C40" s="151" t="s">
        <v>1176</v>
      </c>
      <c r="D40" s="112">
        <v>17157</v>
      </c>
      <c r="E40" s="46">
        <v>18218</v>
      </c>
      <c r="F40" s="42" t="s">
        <v>1489</v>
      </c>
    </row>
    <row r="41" spans="1:6">
      <c r="A41" s="42" t="s">
        <v>1616</v>
      </c>
      <c r="B41" s="42">
        <v>2675848</v>
      </c>
      <c r="C41" s="151" t="s">
        <v>1176</v>
      </c>
      <c r="D41" s="112">
        <v>17583</v>
      </c>
      <c r="E41" s="46">
        <v>18372</v>
      </c>
      <c r="F41" s="42" t="s">
        <v>1489</v>
      </c>
    </row>
    <row r="43" spans="1:6">
      <c r="A43" s="42" t="s">
        <v>1490</v>
      </c>
    </row>
    <row r="44" spans="1:6">
      <c r="A44" s="220" t="s">
        <v>1616</v>
      </c>
      <c r="B44" s="220">
        <v>2161904</v>
      </c>
      <c r="C44" s="221" t="s">
        <v>1176</v>
      </c>
      <c r="D44" s="112">
        <v>10076</v>
      </c>
      <c r="E44" s="46">
        <v>12947</v>
      </c>
      <c r="F44" s="73" t="s">
        <v>1437</v>
      </c>
    </row>
    <row r="45" spans="1:6">
      <c r="A45" s="220" t="s">
        <v>1616</v>
      </c>
      <c r="B45" s="220">
        <v>2120631</v>
      </c>
      <c r="C45" s="221" t="s">
        <v>1176</v>
      </c>
      <c r="D45" s="112">
        <v>10280</v>
      </c>
      <c r="E45" s="46">
        <v>12583</v>
      </c>
      <c r="F45" s="73" t="s">
        <v>1437</v>
      </c>
    </row>
    <row r="46" spans="1:6">
      <c r="A46" s="220" t="s">
        <v>1616</v>
      </c>
      <c r="B46" s="220">
        <v>2159911</v>
      </c>
      <c r="C46" s="221" t="s">
        <v>1176</v>
      </c>
      <c r="D46" s="112">
        <v>10280</v>
      </c>
      <c r="E46" s="46">
        <v>12926</v>
      </c>
      <c r="F46" s="73" t="s">
        <v>1437</v>
      </c>
    </row>
    <row r="47" spans="1:6">
      <c r="A47" s="220" t="s">
        <v>1616</v>
      </c>
      <c r="B47" s="220">
        <v>2155667</v>
      </c>
      <c r="C47" s="221" t="s">
        <v>1176</v>
      </c>
      <c r="D47" s="112">
        <v>10454</v>
      </c>
      <c r="E47" s="46">
        <v>12898</v>
      </c>
      <c r="F47" s="73" t="s">
        <v>1437</v>
      </c>
    </row>
    <row r="48" spans="1:6">
      <c r="A48" s="220" t="s">
        <v>1616</v>
      </c>
      <c r="B48" s="220">
        <v>2120595</v>
      </c>
      <c r="C48" s="221" t="s">
        <v>1176</v>
      </c>
      <c r="D48" s="112">
        <v>11308</v>
      </c>
      <c r="E48" s="46">
        <v>12583</v>
      </c>
      <c r="F48" s="73" t="s">
        <v>1437</v>
      </c>
    </row>
    <row r="49" spans="1:6">
      <c r="A49" s="220" t="s">
        <v>1616</v>
      </c>
      <c r="B49" s="220">
        <v>2143456</v>
      </c>
      <c r="C49" s="221" t="s">
        <v>1176</v>
      </c>
      <c r="D49" s="112">
        <v>11357</v>
      </c>
      <c r="E49" s="46">
        <v>12793</v>
      </c>
      <c r="F49" s="73" t="s">
        <v>1437</v>
      </c>
    </row>
    <row r="50" spans="1:6">
      <c r="A50" s="220" t="s">
        <v>1616</v>
      </c>
      <c r="B50" s="220">
        <v>2164883</v>
      </c>
      <c r="C50" s="221" t="s">
        <v>1176</v>
      </c>
      <c r="D50" s="112">
        <v>11455</v>
      </c>
      <c r="E50" s="46">
        <v>12968</v>
      </c>
      <c r="F50" s="73" t="s">
        <v>1437</v>
      </c>
    </row>
    <row r="51" spans="1:6">
      <c r="A51" s="220" t="s">
        <v>1616</v>
      </c>
      <c r="B51" s="220">
        <v>2170647</v>
      </c>
      <c r="C51" s="221" t="s">
        <v>1176</v>
      </c>
      <c r="D51" s="112">
        <v>11525</v>
      </c>
      <c r="E51" s="46">
        <v>13017</v>
      </c>
      <c r="F51" s="73" t="s">
        <v>1439</v>
      </c>
    </row>
    <row r="52" spans="1:6">
      <c r="A52" s="220" t="s">
        <v>1616</v>
      </c>
      <c r="B52" s="220">
        <v>2174639</v>
      </c>
      <c r="C52" s="221" t="s">
        <v>1176</v>
      </c>
      <c r="D52" s="112">
        <v>11525</v>
      </c>
      <c r="E52" s="46">
        <v>13059</v>
      </c>
      <c r="F52" s="73" t="s">
        <v>1437</v>
      </c>
    </row>
    <row r="53" spans="1:6">
      <c r="A53" s="220" t="s">
        <v>1616</v>
      </c>
      <c r="B53" s="220">
        <v>2120632</v>
      </c>
      <c r="C53" s="221" t="s">
        <v>1176</v>
      </c>
      <c r="D53" s="112">
        <v>11532</v>
      </c>
      <c r="E53" s="46">
        <v>12583</v>
      </c>
      <c r="F53" s="73" t="s">
        <v>1437</v>
      </c>
    </row>
    <row r="54" spans="1:6">
      <c r="A54" s="220" t="s">
        <v>1616</v>
      </c>
      <c r="B54" s="220">
        <v>2120633</v>
      </c>
      <c r="C54" s="221" t="s">
        <v>1176</v>
      </c>
      <c r="D54" s="112">
        <v>11532</v>
      </c>
      <c r="E54" s="46">
        <v>12583</v>
      </c>
      <c r="F54" s="73" t="s">
        <v>1437</v>
      </c>
    </row>
    <row r="55" spans="1:6">
      <c r="A55" s="220" t="s">
        <v>1616</v>
      </c>
      <c r="B55" s="220">
        <v>2131186</v>
      </c>
      <c r="C55" s="221" t="s">
        <v>1176</v>
      </c>
      <c r="D55" s="112">
        <v>11574</v>
      </c>
      <c r="E55" s="46">
        <v>12688</v>
      </c>
      <c r="F55" s="73" t="s">
        <v>1437</v>
      </c>
    </row>
    <row r="56" spans="1:6">
      <c r="A56" s="220" t="s">
        <v>1616</v>
      </c>
      <c r="B56" s="220">
        <v>2174611</v>
      </c>
      <c r="C56" s="221" t="s">
        <v>1176</v>
      </c>
      <c r="D56" s="112">
        <v>11588</v>
      </c>
      <c r="E56" s="46">
        <v>13059</v>
      </c>
      <c r="F56" s="73" t="s">
        <v>1437</v>
      </c>
    </row>
    <row r="57" spans="1:6">
      <c r="A57" s="220" t="s">
        <v>1616</v>
      </c>
      <c r="B57" s="220">
        <v>2134419</v>
      </c>
      <c r="C57" s="221" t="s">
        <v>1176</v>
      </c>
      <c r="D57" s="112">
        <v>11590</v>
      </c>
      <c r="E57" s="46">
        <v>12716</v>
      </c>
      <c r="F57" s="73" t="s">
        <v>1437</v>
      </c>
    </row>
    <row r="58" spans="1:6">
      <c r="A58" s="220" t="s">
        <v>1616</v>
      </c>
      <c r="B58" s="220">
        <v>2154014</v>
      </c>
      <c r="C58" s="221" t="s">
        <v>1176</v>
      </c>
      <c r="D58" s="112">
        <v>11595</v>
      </c>
      <c r="E58" s="46">
        <v>12884</v>
      </c>
      <c r="F58" s="73" t="s">
        <v>1437</v>
      </c>
    </row>
    <row r="59" spans="1:6">
      <c r="A59" s="220" t="s">
        <v>1616</v>
      </c>
      <c r="B59" s="220">
        <v>2141457</v>
      </c>
      <c r="C59" s="221" t="s">
        <v>1176</v>
      </c>
      <c r="D59" s="112">
        <v>11602</v>
      </c>
      <c r="E59" s="46">
        <v>12779</v>
      </c>
      <c r="F59" s="73" t="s">
        <v>1437</v>
      </c>
    </row>
    <row r="60" spans="1:6">
      <c r="A60" s="220" t="s">
        <v>1616</v>
      </c>
      <c r="B60" s="220">
        <v>2154004</v>
      </c>
      <c r="C60" s="221" t="s">
        <v>1176</v>
      </c>
      <c r="D60" s="112">
        <v>11623</v>
      </c>
      <c r="E60" s="46">
        <v>12884</v>
      </c>
      <c r="F60" s="73" t="s">
        <v>1437</v>
      </c>
    </row>
    <row r="61" spans="1:6">
      <c r="A61" s="220" t="s">
        <v>1616</v>
      </c>
      <c r="B61" s="220">
        <v>2185347</v>
      </c>
      <c r="C61" s="221" t="s">
        <v>1176</v>
      </c>
      <c r="D61" s="112">
        <v>11623</v>
      </c>
      <c r="E61" s="46">
        <v>13150</v>
      </c>
      <c r="F61" s="73" t="s">
        <v>1437</v>
      </c>
    </row>
    <row r="62" spans="1:6">
      <c r="A62" s="220" t="s">
        <v>1616</v>
      </c>
      <c r="B62" s="220">
        <v>2143445</v>
      </c>
      <c r="C62" s="221" t="s">
        <v>1176</v>
      </c>
      <c r="D62" s="112">
        <v>11665</v>
      </c>
      <c r="E62" s="46">
        <v>12793</v>
      </c>
      <c r="F62" s="73" t="s">
        <v>1437</v>
      </c>
    </row>
    <row r="63" spans="1:6">
      <c r="A63" s="220" t="s">
        <v>1616</v>
      </c>
      <c r="B63" s="220">
        <v>2165863</v>
      </c>
      <c r="C63" s="221" t="s">
        <v>1176</v>
      </c>
      <c r="D63" s="112">
        <v>11665</v>
      </c>
      <c r="E63" s="46">
        <v>12975</v>
      </c>
      <c r="F63" s="73" t="s">
        <v>1437</v>
      </c>
    </row>
    <row r="64" spans="1:6">
      <c r="A64" s="220" t="s">
        <v>1616</v>
      </c>
      <c r="B64" s="220">
        <v>2143457</v>
      </c>
      <c r="C64" s="221" t="s">
        <v>1176</v>
      </c>
      <c r="D64" s="112">
        <v>11672</v>
      </c>
      <c r="E64" s="46">
        <v>12793</v>
      </c>
      <c r="F64" s="73" t="s">
        <v>1437</v>
      </c>
    </row>
    <row r="65" spans="1:6">
      <c r="A65" s="220" t="s">
        <v>1616</v>
      </c>
      <c r="B65" s="220">
        <v>2139833</v>
      </c>
      <c r="C65" s="221" t="s">
        <v>1176</v>
      </c>
      <c r="D65" s="112">
        <v>11693</v>
      </c>
      <c r="E65" s="46">
        <v>12765</v>
      </c>
      <c r="F65" s="73" t="s">
        <v>1437</v>
      </c>
    </row>
    <row r="66" spans="1:6">
      <c r="A66" s="220" t="s">
        <v>1616</v>
      </c>
      <c r="B66" s="220">
        <v>2136447</v>
      </c>
      <c r="C66" s="221" t="s">
        <v>1176</v>
      </c>
      <c r="D66" s="112">
        <v>11833</v>
      </c>
      <c r="E66" s="46">
        <v>12737</v>
      </c>
      <c r="F66" s="73" t="s">
        <v>1437</v>
      </c>
    </row>
    <row r="67" spans="1:6">
      <c r="A67" s="220" t="s">
        <v>1616</v>
      </c>
      <c r="B67" s="220">
        <v>2123614</v>
      </c>
      <c r="C67" s="221" t="s">
        <v>1176</v>
      </c>
      <c r="D67" s="112">
        <v>11847</v>
      </c>
      <c r="E67" s="46">
        <v>12611</v>
      </c>
      <c r="F67" s="73" t="s">
        <v>1437</v>
      </c>
    </row>
    <row r="68" spans="1:6">
      <c r="A68" s="220" t="s">
        <v>1616</v>
      </c>
      <c r="B68" s="220">
        <v>2145377</v>
      </c>
      <c r="C68" s="221" t="s">
        <v>1176</v>
      </c>
      <c r="D68" s="112">
        <v>11854</v>
      </c>
      <c r="E68" s="46">
        <v>12814</v>
      </c>
      <c r="F68" s="73" t="s">
        <v>1437</v>
      </c>
    </row>
    <row r="69" spans="1:6">
      <c r="A69" s="220" t="s">
        <v>1616</v>
      </c>
      <c r="B69" s="220">
        <v>2181020</v>
      </c>
      <c r="C69" s="221" t="s">
        <v>1176</v>
      </c>
      <c r="D69" s="112">
        <v>11861</v>
      </c>
      <c r="E69" s="46">
        <v>13108</v>
      </c>
      <c r="F69" s="73" t="s">
        <v>1437</v>
      </c>
    </row>
    <row r="70" spans="1:6">
      <c r="A70" s="220" t="s">
        <v>1616</v>
      </c>
      <c r="B70" s="220">
        <v>2154016</v>
      </c>
      <c r="C70" s="221" t="s">
        <v>1176</v>
      </c>
      <c r="D70" s="112">
        <v>11868</v>
      </c>
      <c r="E70" s="46">
        <v>12884</v>
      </c>
      <c r="F70" s="73" t="s">
        <v>1437</v>
      </c>
    </row>
    <row r="71" spans="1:6">
      <c r="A71" s="220" t="s">
        <v>1616</v>
      </c>
      <c r="B71" s="220">
        <v>2159900</v>
      </c>
      <c r="C71" s="221" t="s">
        <v>1176</v>
      </c>
      <c r="D71" s="112">
        <v>11903</v>
      </c>
      <c r="E71" s="46">
        <v>12926</v>
      </c>
      <c r="F71" s="73" t="s">
        <v>1437</v>
      </c>
    </row>
    <row r="72" spans="1:6">
      <c r="A72" s="220" t="s">
        <v>1616</v>
      </c>
      <c r="B72" s="220">
        <v>2181848</v>
      </c>
      <c r="C72" s="221" t="s">
        <v>1176</v>
      </c>
      <c r="D72" s="112">
        <v>11903</v>
      </c>
      <c r="E72" s="46">
        <v>13115</v>
      </c>
      <c r="F72" s="73" t="s">
        <v>1437</v>
      </c>
    </row>
    <row r="73" spans="1:6">
      <c r="A73" s="220" t="s">
        <v>1616</v>
      </c>
      <c r="B73" s="220">
        <v>2174640</v>
      </c>
      <c r="C73" s="221" t="s">
        <v>1176</v>
      </c>
      <c r="D73" s="112">
        <v>11910</v>
      </c>
      <c r="E73" s="46">
        <v>13059</v>
      </c>
      <c r="F73" s="73" t="s">
        <v>1437</v>
      </c>
    </row>
    <row r="74" spans="1:6">
      <c r="A74" s="220" t="s">
        <v>1616</v>
      </c>
      <c r="B74" s="220">
        <v>2181028</v>
      </c>
      <c r="C74" s="221" t="s">
        <v>1176</v>
      </c>
      <c r="D74" s="112">
        <v>11910</v>
      </c>
      <c r="E74" s="46">
        <v>13108</v>
      </c>
      <c r="F74" s="73" t="s">
        <v>1437</v>
      </c>
    </row>
    <row r="75" spans="1:6">
      <c r="A75" s="220" t="s">
        <v>1616</v>
      </c>
      <c r="B75" s="220">
        <v>2251754</v>
      </c>
      <c r="C75" s="221" t="s">
        <v>1176</v>
      </c>
      <c r="D75" s="112">
        <v>11910</v>
      </c>
      <c r="E75" s="46">
        <v>13731</v>
      </c>
      <c r="F75" s="73" t="s">
        <v>1437</v>
      </c>
    </row>
    <row r="76" spans="1:6">
      <c r="A76" s="220" t="s">
        <v>1616</v>
      </c>
      <c r="B76" s="220">
        <v>2151568</v>
      </c>
      <c r="C76" s="221" t="s">
        <v>1176</v>
      </c>
      <c r="D76" s="112">
        <v>11945</v>
      </c>
      <c r="E76" s="46">
        <v>12863</v>
      </c>
      <c r="F76" s="73" t="s">
        <v>1437</v>
      </c>
    </row>
    <row r="77" spans="1:6">
      <c r="A77" s="220" t="s">
        <v>1616</v>
      </c>
      <c r="B77" s="220">
        <v>2198883</v>
      </c>
      <c r="C77" s="221" t="s">
        <v>1176</v>
      </c>
      <c r="D77" s="112">
        <v>11945</v>
      </c>
      <c r="E77" s="46">
        <v>13269</v>
      </c>
      <c r="F77" s="73" t="s">
        <v>1437</v>
      </c>
    </row>
    <row r="78" spans="1:6">
      <c r="A78" s="220" t="s">
        <v>1616</v>
      </c>
      <c r="B78" s="220">
        <v>2150510</v>
      </c>
      <c r="C78" s="221" t="s">
        <v>1176</v>
      </c>
      <c r="D78" s="112">
        <v>11959</v>
      </c>
      <c r="E78" s="46">
        <v>12856</v>
      </c>
      <c r="F78" s="73" t="s">
        <v>1437</v>
      </c>
    </row>
    <row r="79" spans="1:6">
      <c r="A79" s="220" t="s">
        <v>1616</v>
      </c>
      <c r="B79" s="220">
        <v>2159880</v>
      </c>
      <c r="C79" s="221" t="s">
        <v>1176</v>
      </c>
      <c r="D79" s="112">
        <v>11977</v>
      </c>
      <c r="E79" s="46">
        <v>12926</v>
      </c>
      <c r="F79" s="73" t="s">
        <v>1437</v>
      </c>
    </row>
    <row r="80" spans="1:6">
      <c r="A80" s="220" t="s">
        <v>1616</v>
      </c>
      <c r="B80" s="220">
        <v>2170617</v>
      </c>
      <c r="C80" s="221" t="s">
        <v>1176</v>
      </c>
      <c r="D80" s="112">
        <v>12024</v>
      </c>
      <c r="E80" s="46">
        <v>13017</v>
      </c>
      <c r="F80" s="73" t="s">
        <v>1437</v>
      </c>
    </row>
    <row r="81" spans="1:6">
      <c r="A81" s="220" t="s">
        <v>1616</v>
      </c>
      <c r="B81" s="220">
        <v>2170661</v>
      </c>
      <c r="C81" s="221" t="s">
        <v>1176</v>
      </c>
      <c r="D81" s="112">
        <v>12107</v>
      </c>
      <c r="E81" s="46">
        <v>13017</v>
      </c>
      <c r="F81" s="73" t="s">
        <v>1437</v>
      </c>
    </row>
    <row r="82" spans="1:6">
      <c r="A82" s="220" t="s">
        <v>1616</v>
      </c>
      <c r="B82" s="220">
        <v>2188477</v>
      </c>
      <c r="C82" s="221" t="s">
        <v>1176</v>
      </c>
      <c r="D82" s="112">
        <v>12107</v>
      </c>
      <c r="E82" s="46">
        <v>13178</v>
      </c>
      <c r="F82" s="73" t="s">
        <v>1437</v>
      </c>
    </row>
    <row r="83" spans="1:6">
      <c r="A83" s="220" t="s">
        <v>1616</v>
      </c>
      <c r="B83" s="220">
        <v>2213265</v>
      </c>
      <c r="C83" s="221" t="s">
        <v>1176</v>
      </c>
      <c r="D83" s="112">
        <v>12150</v>
      </c>
      <c r="E83" s="46">
        <v>13395</v>
      </c>
      <c r="F83" s="73" t="s">
        <v>1437</v>
      </c>
    </row>
    <row r="84" spans="1:6">
      <c r="A84" s="220" t="s">
        <v>1616</v>
      </c>
      <c r="B84" s="220">
        <v>2178143</v>
      </c>
      <c r="C84" s="221" t="s">
        <v>1176</v>
      </c>
      <c r="D84" s="112">
        <v>12155</v>
      </c>
      <c r="E84" s="46">
        <v>13087</v>
      </c>
      <c r="F84" s="73" t="s">
        <v>1437</v>
      </c>
    </row>
    <row r="85" spans="1:6">
      <c r="A85" s="220" t="s">
        <v>1616</v>
      </c>
      <c r="B85" s="220">
        <v>2200569</v>
      </c>
      <c r="C85" s="221" t="s">
        <v>1176</v>
      </c>
      <c r="D85" s="112">
        <v>12225</v>
      </c>
      <c r="E85" s="46">
        <v>13283</v>
      </c>
      <c r="F85" s="73" t="s">
        <v>1437</v>
      </c>
    </row>
    <row r="86" spans="1:6">
      <c r="A86" s="220" t="s">
        <v>1616</v>
      </c>
      <c r="B86" s="220">
        <v>2223472</v>
      </c>
      <c r="C86" s="221" t="s">
        <v>1176</v>
      </c>
      <c r="D86" s="112">
        <v>12225</v>
      </c>
      <c r="E86" s="46">
        <v>13486</v>
      </c>
      <c r="F86" s="73" t="s">
        <v>1437</v>
      </c>
    </row>
    <row r="87" spans="1:6">
      <c r="A87" s="220" t="s">
        <v>1616</v>
      </c>
      <c r="B87" s="220">
        <v>2161351</v>
      </c>
      <c r="C87" s="221" t="s">
        <v>1176</v>
      </c>
      <c r="D87" s="112">
        <v>12345</v>
      </c>
      <c r="E87" s="46">
        <v>12940</v>
      </c>
      <c r="F87" s="73" t="s">
        <v>1438</v>
      </c>
    </row>
    <row r="88" spans="1:6">
      <c r="A88" s="220" t="s">
        <v>1616</v>
      </c>
      <c r="B88" s="220">
        <v>2161381</v>
      </c>
      <c r="C88" s="221" t="s">
        <v>1176</v>
      </c>
      <c r="D88" s="112">
        <v>12345</v>
      </c>
      <c r="E88" s="46">
        <v>12940</v>
      </c>
      <c r="F88" s="73" t="s">
        <v>1438</v>
      </c>
    </row>
    <row r="89" spans="1:6">
      <c r="A89" s="42" t="s">
        <v>1616</v>
      </c>
      <c r="B89" s="42">
        <v>2196718</v>
      </c>
      <c r="C89" s="151" t="s">
        <v>1176</v>
      </c>
      <c r="D89" s="112">
        <v>12456</v>
      </c>
      <c r="E89" s="46">
        <v>9595</v>
      </c>
      <c r="F89" s="73" t="s">
        <v>1437</v>
      </c>
    </row>
    <row r="90" spans="1:6">
      <c r="A90" s="42" t="s">
        <v>1616</v>
      </c>
      <c r="B90" s="42">
        <v>2248708</v>
      </c>
      <c r="C90" s="151" t="s">
        <v>1176</v>
      </c>
      <c r="D90" s="112">
        <v>12911</v>
      </c>
      <c r="E90" s="46">
        <v>13703</v>
      </c>
      <c r="F90" s="73" t="s">
        <v>1437</v>
      </c>
    </row>
    <row r="91" spans="1:6">
      <c r="A91" s="42" t="s">
        <v>1616</v>
      </c>
      <c r="B91" s="42">
        <v>2278200</v>
      </c>
      <c r="C91" s="151" t="s">
        <v>1176</v>
      </c>
      <c r="D91" s="112">
        <v>12911</v>
      </c>
      <c r="E91" s="46">
        <v>13969</v>
      </c>
      <c r="F91" s="73" t="s">
        <v>1437</v>
      </c>
    </row>
    <row r="92" spans="1:6">
      <c r="A92" s="42" t="s">
        <v>1616</v>
      </c>
      <c r="B92" s="42">
        <v>2268345</v>
      </c>
      <c r="C92" s="151" t="s">
        <v>1176</v>
      </c>
      <c r="D92" s="112">
        <v>12946</v>
      </c>
      <c r="E92" s="46">
        <v>13878</v>
      </c>
      <c r="F92" s="73" t="s">
        <v>1437</v>
      </c>
    </row>
    <row r="93" spans="1:6">
      <c r="A93" s="42" t="s">
        <v>1616</v>
      </c>
      <c r="B93" s="42">
        <v>2257684</v>
      </c>
      <c r="C93" s="151" t="s">
        <v>1176</v>
      </c>
      <c r="D93" s="112">
        <v>13019</v>
      </c>
      <c r="E93" s="46">
        <v>13787</v>
      </c>
      <c r="F93" s="73" t="s">
        <v>1438</v>
      </c>
    </row>
    <row r="94" spans="1:6">
      <c r="A94" s="42" t="s">
        <v>1616</v>
      </c>
      <c r="B94" s="42">
        <v>2291393</v>
      </c>
      <c r="C94" s="151" t="s">
        <v>1176</v>
      </c>
      <c r="D94" s="112">
        <v>13107</v>
      </c>
      <c r="E94" s="46">
        <v>14088</v>
      </c>
      <c r="F94" s="73" t="s">
        <v>1437</v>
      </c>
    </row>
    <row r="95" spans="1:6">
      <c r="A95" s="42" t="s">
        <v>1616</v>
      </c>
      <c r="B95" s="42">
        <v>2295852</v>
      </c>
      <c r="C95" s="151" t="s">
        <v>1176</v>
      </c>
      <c r="D95" s="112">
        <v>13107</v>
      </c>
      <c r="E95" s="46">
        <v>14137</v>
      </c>
      <c r="F95" s="73" t="s">
        <v>1437</v>
      </c>
    </row>
    <row r="96" spans="1:6">
      <c r="A96" s="42" t="s">
        <v>1616</v>
      </c>
      <c r="B96" s="42">
        <v>2261612</v>
      </c>
      <c r="C96" s="151" t="s">
        <v>1176</v>
      </c>
      <c r="D96" s="112">
        <v>13114</v>
      </c>
      <c r="E96" s="46">
        <v>13822</v>
      </c>
      <c r="F96" s="73" t="s">
        <v>1437</v>
      </c>
    </row>
    <row r="97" spans="1:6">
      <c r="A97" s="42" t="s">
        <v>1616</v>
      </c>
      <c r="B97" s="42">
        <v>2273614</v>
      </c>
      <c r="C97" s="151" t="s">
        <v>1176</v>
      </c>
      <c r="D97" s="112">
        <v>13114</v>
      </c>
      <c r="E97" s="46">
        <v>13927</v>
      </c>
      <c r="F97" s="73" t="s">
        <v>1437</v>
      </c>
    </row>
    <row r="98" spans="1:6">
      <c r="A98" s="42" t="s">
        <v>1616</v>
      </c>
      <c r="B98" s="42">
        <v>2291394</v>
      </c>
      <c r="C98" s="151" t="s">
        <v>1176</v>
      </c>
      <c r="D98" s="112">
        <v>13121</v>
      </c>
      <c r="E98" s="46">
        <v>14088</v>
      </c>
      <c r="F98" s="73" t="s">
        <v>1437</v>
      </c>
    </row>
    <row r="99" spans="1:6">
      <c r="A99" s="42" t="s">
        <v>1616</v>
      </c>
      <c r="B99" s="42">
        <v>2269669</v>
      </c>
      <c r="C99" s="151" t="s">
        <v>1176</v>
      </c>
      <c r="D99" s="112">
        <v>13143</v>
      </c>
      <c r="E99" s="46">
        <v>13892</v>
      </c>
      <c r="F99" s="73" t="s">
        <v>1437</v>
      </c>
    </row>
    <row r="100" spans="1:6">
      <c r="A100" s="42" t="s">
        <v>1616</v>
      </c>
      <c r="B100" s="42">
        <v>2265562</v>
      </c>
      <c r="C100" s="151" t="s">
        <v>1176</v>
      </c>
      <c r="D100" s="112">
        <v>13170</v>
      </c>
      <c r="E100" s="46">
        <v>13857</v>
      </c>
      <c r="F100" s="73" t="s">
        <v>1437</v>
      </c>
    </row>
    <row r="101" spans="1:6">
      <c r="A101" s="42" t="s">
        <v>1616</v>
      </c>
      <c r="B101" s="42">
        <v>2277843</v>
      </c>
      <c r="C101" s="151" t="s">
        <v>1176</v>
      </c>
      <c r="D101" s="112">
        <v>13244</v>
      </c>
      <c r="E101" s="46">
        <v>13969</v>
      </c>
      <c r="F101" s="73" t="s">
        <v>1440</v>
      </c>
    </row>
    <row r="102" spans="1:6">
      <c r="A102" s="42" t="s">
        <v>1616</v>
      </c>
      <c r="B102" s="42">
        <v>2292598</v>
      </c>
      <c r="C102" s="151" t="s">
        <v>1176</v>
      </c>
      <c r="D102" s="112">
        <v>13432</v>
      </c>
      <c r="E102" s="46">
        <v>14102</v>
      </c>
      <c r="F102" s="73" t="s">
        <v>1437</v>
      </c>
    </row>
    <row r="103" spans="1:6">
      <c r="A103" s="42" t="s">
        <v>1616</v>
      </c>
      <c r="B103" s="42">
        <v>2273615</v>
      </c>
      <c r="C103" s="151" t="s">
        <v>1176</v>
      </c>
      <c r="D103" s="112">
        <v>13457</v>
      </c>
      <c r="E103" s="46">
        <v>13927</v>
      </c>
      <c r="F103" s="73" t="s">
        <v>1437</v>
      </c>
    </row>
    <row r="104" spans="1:6">
      <c r="A104" s="42" t="s">
        <v>1616</v>
      </c>
      <c r="B104" s="42">
        <v>2292599</v>
      </c>
      <c r="C104" s="151" t="s">
        <v>1176</v>
      </c>
      <c r="D104" s="112">
        <v>13457</v>
      </c>
      <c r="E104" s="46">
        <v>14102</v>
      </c>
      <c r="F104" s="73" t="s">
        <v>1437</v>
      </c>
    </row>
    <row r="105" spans="1:6">
      <c r="A105" s="42" t="s">
        <v>1616</v>
      </c>
      <c r="B105" s="42">
        <v>2294466</v>
      </c>
      <c r="C105" s="151" t="s">
        <v>1176</v>
      </c>
      <c r="D105" s="112">
        <v>13478</v>
      </c>
      <c r="E105" s="46">
        <v>14123</v>
      </c>
      <c r="F105" s="73" t="s">
        <v>1437</v>
      </c>
    </row>
    <row r="106" spans="1:6">
      <c r="A106" s="42" t="s">
        <v>1616</v>
      </c>
      <c r="B106" s="42">
        <v>2332175</v>
      </c>
      <c r="C106" s="151" t="s">
        <v>1176</v>
      </c>
      <c r="D106" s="112">
        <v>13709</v>
      </c>
      <c r="E106" s="46">
        <v>14536</v>
      </c>
      <c r="F106" s="73" t="s">
        <v>1437</v>
      </c>
    </row>
    <row r="107" spans="1:6">
      <c r="A107" s="42" t="s">
        <v>1616</v>
      </c>
      <c r="B107" s="42">
        <v>2384649</v>
      </c>
      <c r="C107" s="151" t="s">
        <v>1176</v>
      </c>
      <c r="D107" s="112">
        <v>13867</v>
      </c>
      <c r="E107" s="46">
        <v>15229</v>
      </c>
      <c r="F107" s="73" t="s">
        <v>1437</v>
      </c>
    </row>
    <row r="108" spans="1:6">
      <c r="A108" s="42" t="s">
        <v>1616</v>
      </c>
      <c r="B108" s="42">
        <v>2349738</v>
      </c>
      <c r="C108" s="151" t="s">
        <v>1176</v>
      </c>
      <c r="D108" s="112">
        <v>13968</v>
      </c>
      <c r="E108" s="46">
        <v>14753</v>
      </c>
      <c r="F108" s="73" t="s">
        <v>1437</v>
      </c>
    </row>
    <row r="109" spans="1:6">
      <c r="A109" s="42" t="s">
        <v>1616</v>
      </c>
      <c r="B109" s="42">
        <v>2484532</v>
      </c>
      <c r="C109" s="151" t="s">
        <v>1176</v>
      </c>
      <c r="D109" s="112">
        <v>14738</v>
      </c>
      <c r="E109" s="46">
        <v>16720</v>
      </c>
      <c r="F109" s="73" t="s">
        <v>1437</v>
      </c>
    </row>
    <row r="110" spans="1:6">
      <c r="A110" s="42" t="s">
        <v>1616</v>
      </c>
      <c r="B110" s="42">
        <v>2407749</v>
      </c>
      <c r="C110" s="151" t="s">
        <v>1176</v>
      </c>
      <c r="D110" s="112">
        <v>14906</v>
      </c>
      <c r="E110" s="46">
        <v>15600</v>
      </c>
      <c r="F110" s="73" t="s">
        <v>1437</v>
      </c>
    </row>
    <row r="111" spans="1:6">
      <c r="A111" s="42" t="s">
        <v>1616</v>
      </c>
      <c r="B111" s="42">
        <v>2453512</v>
      </c>
      <c r="C111" s="151" t="s">
        <v>1176</v>
      </c>
      <c r="D111" s="112">
        <v>14913</v>
      </c>
      <c r="E111" s="46">
        <v>16384</v>
      </c>
      <c r="F111" s="73" t="s">
        <v>1437</v>
      </c>
    </row>
    <row r="112" spans="1:6">
      <c r="A112" s="42" t="s">
        <v>1616</v>
      </c>
      <c r="B112" s="42">
        <v>2468947</v>
      </c>
      <c r="C112" s="151" t="s">
        <v>1176</v>
      </c>
      <c r="D112" s="112">
        <v>15060</v>
      </c>
      <c r="E112" s="46">
        <v>16559</v>
      </c>
      <c r="F112" s="73" t="s">
        <v>1437</v>
      </c>
    </row>
    <row r="113" spans="1:6">
      <c r="A113" s="42" t="s">
        <v>1616</v>
      </c>
      <c r="B113" s="42">
        <v>2434180</v>
      </c>
      <c r="C113" s="151" t="s">
        <v>1176</v>
      </c>
      <c r="D113" s="112">
        <v>15102</v>
      </c>
      <c r="E113" s="46">
        <v>16076</v>
      </c>
      <c r="F113" s="73" t="s">
        <v>1437</v>
      </c>
    </row>
    <row r="114" spans="1:6">
      <c r="A114" s="42" t="s">
        <v>1616</v>
      </c>
      <c r="B114" s="42">
        <v>2476766</v>
      </c>
      <c r="C114" s="151" t="s">
        <v>1176</v>
      </c>
      <c r="D114" s="112">
        <v>15186</v>
      </c>
      <c r="E114" s="46">
        <v>16636</v>
      </c>
      <c r="F114" s="73" t="s">
        <v>1437</v>
      </c>
    </row>
    <row r="115" spans="1:6">
      <c r="A115" s="42" t="s">
        <v>1616</v>
      </c>
      <c r="B115" s="42">
        <v>2484533</v>
      </c>
      <c r="C115" s="151" t="s">
        <v>1176</v>
      </c>
      <c r="D115" s="112">
        <v>15208</v>
      </c>
      <c r="E115" s="46">
        <v>16720</v>
      </c>
      <c r="F115" s="73" t="s">
        <v>1437</v>
      </c>
    </row>
    <row r="116" spans="1:6">
      <c r="A116" s="42" t="s">
        <v>1616</v>
      </c>
      <c r="B116" s="42">
        <v>2519937</v>
      </c>
      <c r="C116" s="151" t="s">
        <v>1176</v>
      </c>
      <c r="D116" s="112">
        <v>15693</v>
      </c>
      <c r="E116" s="46">
        <v>17035</v>
      </c>
      <c r="F116" s="73" t="s">
        <v>1437</v>
      </c>
    </row>
    <row r="117" spans="1:6">
      <c r="A117" s="42" t="s">
        <v>1616</v>
      </c>
      <c r="B117" s="42">
        <v>2548627</v>
      </c>
      <c r="C117" s="151" t="s">
        <v>1176</v>
      </c>
      <c r="D117" s="112">
        <v>15802</v>
      </c>
      <c r="E117" s="46">
        <v>17266</v>
      </c>
      <c r="F117" s="73" t="s">
        <v>1437</v>
      </c>
    </row>
    <row r="118" spans="1:6">
      <c r="A118" s="42" t="s">
        <v>1616</v>
      </c>
      <c r="B118" s="42">
        <v>2474956</v>
      </c>
      <c r="C118" s="151" t="s">
        <v>1176</v>
      </c>
      <c r="D118" s="112">
        <v>15874</v>
      </c>
      <c r="E118" s="46">
        <v>16622</v>
      </c>
      <c r="F118" s="73" t="s">
        <v>1437</v>
      </c>
    </row>
    <row r="119" spans="1:6">
      <c r="A119" s="42" t="s">
        <v>1616</v>
      </c>
      <c r="B119" s="42">
        <v>2588665</v>
      </c>
      <c r="C119" s="151" t="s">
        <v>1176</v>
      </c>
      <c r="D119" s="112">
        <v>16145</v>
      </c>
      <c r="E119" s="46">
        <v>17602</v>
      </c>
      <c r="F119" s="73" t="s">
        <v>1437</v>
      </c>
    </row>
    <row r="120" spans="1:6">
      <c r="A120" s="42" t="s">
        <v>1616</v>
      </c>
      <c r="B120" s="42">
        <v>2482378</v>
      </c>
      <c r="C120" s="151" t="s">
        <v>1176</v>
      </c>
      <c r="D120" s="112">
        <v>16243</v>
      </c>
      <c r="E120" s="46">
        <v>16699</v>
      </c>
      <c r="F120" s="73" t="s">
        <v>1437</v>
      </c>
    </row>
    <row r="121" spans="1:6">
      <c r="A121" s="42" t="s">
        <v>1616</v>
      </c>
      <c r="B121" s="42">
        <v>2524514</v>
      </c>
      <c r="C121" s="151" t="s">
        <v>1176</v>
      </c>
      <c r="D121" s="112">
        <v>16313</v>
      </c>
      <c r="E121" s="46">
        <v>17077</v>
      </c>
      <c r="F121" s="73" t="s">
        <v>1437</v>
      </c>
    </row>
    <row r="122" spans="1:6">
      <c r="A122" s="42" t="s">
        <v>1616</v>
      </c>
      <c r="B122" s="42">
        <v>2649886</v>
      </c>
      <c r="C122" s="151" t="s">
        <v>1176</v>
      </c>
      <c r="D122" s="112">
        <v>16530</v>
      </c>
      <c r="E122" s="46">
        <v>18134</v>
      </c>
      <c r="F122" s="73" t="s">
        <v>1437</v>
      </c>
    </row>
    <row r="123" spans="1:6">
      <c r="A123" s="42" t="s">
        <v>1616</v>
      </c>
      <c r="B123" s="42">
        <v>2684269</v>
      </c>
      <c r="C123" s="151" t="s">
        <v>1176</v>
      </c>
      <c r="D123" s="112">
        <v>16558</v>
      </c>
      <c r="E123" s="46">
        <v>18463</v>
      </c>
      <c r="F123" s="73" t="s">
        <v>1437</v>
      </c>
    </row>
    <row r="124" spans="1:6">
      <c r="A124" s="42" t="s">
        <v>1616</v>
      </c>
      <c r="B124" s="42">
        <v>2594506</v>
      </c>
      <c r="C124" s="151" t="s">
        <v>1176</v>
      </c>
      <c r="D124" s="112">
        <v>16726</v>
      </c>
      <c r="E124" s="46">
        <v>17651</v>
      </c>
      <c r="F124" s="73" t="s">
        <v>1437</v>
      </c>
    </row>
    <row r="125" spans="1:6">
      <c r="A125" s="42" t="s">
        <v>1616</v>
      </c>
      <c r="B125" s="42">
        <v>2618734</v>
      </c>
      <c r="C125" s="151" t="s">
        <v>1176</v>
      </c>
      <c r="D125" s="112">
        <v>16782</v>
      </c>
      <c r="E125" s="46">
        <v>17854</v>
      </c>
      <c r="F125" s="73" t="s">
        <v>1441</v>
      </c>
    </row>
    <row r="126" spans="1:6">
      <c r="A126" s="42" t="s">
        <v>1616</v>
      </c>
      <c r="B126" s="42">
        <v>2687161</v>
      </c>
      <c r="C126" s="151" t="s">
        <v>1176</v>
      </c>
      <c r="D126" s="112">
        <v>17181</v>
      </c>
      <c r="E126" s="46">
        <v>18498</v>
      </c>
      <c r="F126" s="73" t="s">
        <v>1437</v>
      </c>
    </row>
    <row r="127" spans="1:6">
      <c r="A127" s="42" t="s">
        <v>1616</v>
      </c>
      <c r="B127" s="42">
        <v>2693166</v>
      </c>
      <c r="C127" s="151" t="s">
        <v>1176</v>
      </c>
      <c r="D127" s="112">
        <v>17678</v>
      </c>
      <c r="E127" s="46">
        <v>18568</v>
      </c>
      <c r="F127" s="73" t="s">
        <v>1437</v>
      </c>
    </row>
    <row r="129" spans="1:6">
      <c r="A129" s="42" t="s">
        <v>1492</v>
      </c>
    </row>
    <row r="130" spans="1:6">
      <c r="A130" s="220" t="s">
        <v>1616</v>
      </c>
      <c r="B130" s="220">
        <v>2191762</v>
      </c>
      <c r="C130" s="221" t="s">
        <v>1176</v>
      </c>
      <c r="D130" s="112">
        <v>10679</v>
      </c>
      <c r="E130" s="46">
        <v>13206</v>
      </c>
      <c r="F130" s="73" t="s">
        <v>1473</v>
      </c>
    </row>
    <row r="131" spans="1:6">
      <c r="A131" s="220" t="s">
        <v>1616</v>
      </c>
      <c r="B131" s="220">
        <v>2127600</v>
      </c>
      <c r="C131" s="221" t="s">
        <v>1176</v>
      </c>
      <c r="D131" s="112">
        <v>10800</v>
      </c>
      <c r="E131" s="46">
        <v>12653</v>
      </c>
      <c r="F131" s="73" t="s">
        <v>1473</v>
      </c>
    </row>
    <row r="132" spans="1:6">
      <c r="A132" s="220" t="s">
        <v>1616</v>
      </c>
      <c r="B132" s="220">
        <v>2119991</v>
      </c>
      <c r="C132" s="221" t="s">
        <v>1176</v>
      </c>
      <c r="D132" s="112">
        <v>11143</v>
      </c>
      <c r="E132" s="46">
        <v>12576</v>
      </c>
      <c r="F132" s="73" t="s">
        <v>1473</v>
      </c>
    </row>
    <row r="133" spans="1:6">
      <c r="A133" s="220" t="s">
        <v>1616</v>
      </c>
      <c r="B133" s="220">
        <v>2157175</v>
      </c>
      <c r="C133" s="221" t="s">
        <v>1176</v>
      </c>
      <c r="D133" s="112">
        <v>11185</v>
      </c>
      <c r="E133" s="46">
        <v>12912</v>
      </c>
      <c r="F133" s="73" t="s">
        <v>1473</v>
      </c>
    </row>
    <row r="134" spans="1:6">
      <c r="A134" s="220" t="s">
        <v>1616</v>
      </c>
      <c r="B134" s="220">
        <v>2127597</v>
      </c>
      <c r="C134" s="221" t="s">
        <v>1176</v>
      </c>
      <c r="D134" s="112">
        <v>11399</v>
      </c>
      <c r="E134" s="46">
        <v>12653</v>
      </c>
      <c r="F134" s="73" t="s">
        <v>1473</v>
      </c>
    </row>
    <row r="135" spans="1:6">
      <c r="A135" s="220" t="s">
        <v>1616</v>
      </c>
      <c r="B135" s="220">
        <v>2174087</v>
      </c>
      <c r="C135" s="221" t="s">
        <v>1176</v>
      </c>
      <c r="D135" s="112">
        <v>11439</v>
      </c>
      <c r="E135" s="46">
        <v>13052</v>
      </c>
      <c r="F135" s="73" t="s">
        <v>1473</v>
      </c>
    </row>
    <row r="136" spans="1:6">
      <c r="A136" s="220" t="s">
        <v>1616</v>
      </c>
      <c r="B136" s="220">
        <v>2137288</v>
      </c>
      <c r="C136" s="221" t="s">
        <v>1176</v>
      </c>
      <c r="D136" s="112">
        <v>11497</v>
      </c>
      <c r="E136" s="46">
        <v>12744</v>
      </c>
      <c r="F136" s="73" t="s">
        <v>1473</v>
      </c>
    </row>
    <row r="137" spans="1:6">
      <c r="A137" s="220" t="s">
        <v>1616</v>
      </c>
      <c r="B137" s="220">
        <v>2133144</v>
      </c>
      <c r="C137" s="221" t="s">
        <v>1176</v>
      </c>
      <c r="D137" s="112">
        <v>11501</v>
      </c>
      <c r="E137" s="46">
        <v>12702</v>
      </c>
      <c r="F137" s="73" t="s">
        <v>1473</v>
      </c>
    </row>
    <row r="138" spans="1:6">
      <c r="A138" s="220" t="s">
        <v>1616</v>
      </c>
      <c r="B138" s="220">
        <v>2127220</v>
      </c>
      <c r="C138" s="221" t="s">
        <v>1176</v>
      </c>
      <c r="D138" s="112">
        <v>11508</v>
      </c>
      <c r="E138" s="46">
        <v>12646</v>
      </c>
      <c r="F138" s="73" t="s">
        <v>1473</v>
      </c>
    </row>
    <row r="139" spans="1:6">
      <c r="A139" s="220" t="s">
        <v>1616</v>
      </c>
      <c r="B139" s="220">
        <v>2121199</v>
      </c>
      <c r="C139" s="221" t="s">
        <v>1176</v>
      </c>
      <c r="D139" s="112">
        <v>11511</v>
      </c>
      <c r="E139" s="46">
        <v>12590</v>
      </c>
      <c r="F139" s="73" t="s">
        <v>1473</v>
      </c>
    </row>
    <row r="140" spans="1:6">
      <c r="A140" s="220" t="s">
        <v>1616</v>
      </c>
      <c r="B140" s="220">
        <v>2133454</v>
      </c>
      <c r="C140" s="221" t="s">
        <v>1176</v>
      </c>
      <c r="D140" s="112">
        <v>11511</v>
      </c>
      <c r="E140" s="46">
        <v>12709</v>
      </c>
      <c r="F140" s="73" t="s">
        <v>1473</v>
      </c>
    </row>
    <row r="141" spans="1:6">
      <c r="A141" s="220" t="s">
        <v>1616</v>
      </c>
      <c r="B141" s="220">
        <v>2183220</v>
      </c>
      <c r="C141" s="221" t="s">
        <v>1176</v>
      </c>
      <c r="D141" s="112">
        <v>11511</v>
      </c>
      <c r="E141" s="46">
        <v>13129</v>
      </c>
      <c r="F141" s="73" t="s">
        <v>1473</v>
      </c>
    </row>
    <row r="142" spans="1:6">
      <c r="A142" s="220" t="s">
        <v>1616</v>
      </c>
      <c r="B142" s="220">
        <v>2158125</v>
      </c>
      <c r="C142" s="221" t="s">
        <v>1176</v>
      </c>
      <c r="D142" s="112">
        <v>11528</v>
      </c>
      <c r="E142" s="46">
        <v>12919</v>
      </c>
      <c r="F142" s="73" t="s">
        <v>1473</v>
      </c>
    </row>
    <row r="143" spans="1:6">
      <c r="A143" s="220" t="s">
        <v>1616</v>
      </c>
      <c r="B143" s="220">
        <v>2185875</v>
      </c>
      <c r="C143" s="221" t="s">
        <v>1176</v>
      </c>
      <c r="D143" s="112">
        <v>11528</v>
      </c>
      <c r="E143" s="46">
        <v>13150</v>
      </c>
      <c r="F143" s="73" t="s">
        <v>1473</v>
      </c>
    </row>
    <row r="144" spans="1:6">
      <c r="A144" s="220" t="s">
        <v>1616</v>
      </c>
      <c r="B144" s="220">
        <v>2217086</v>
      </c>
      <c r="C144" s="221" t="s">
        <v>1176</v>
      </c>
      <c r="D144" s="112">
        <v>11689</v>
      </c>
      <c r="E144" s="46">
        <v>13430</v>
      </c>
      <c r="F144" s="73" t="s">
        <v>1473</v>
      </c>
    </row>
    <row r="145" spans="1:6">
      <c r="A145" s="220" t="s">
        <v>1616</v>
      </c>
      <c r="B145" s="220">
        <v>2133142</v>
      </c>
      <c r="C145" s="221" t="s">
        <v>1176</v>
      </c>
      <c r="D145" s="112">
        <v>11693</v>
      </c>
      <c r="E145" s="46">
        <v>12702</v>
      </c>
      <c r="F145" s="73" t="s">
        <v>1473</v>
      </c>
    </row>
    <row r="146" spans="1:6">
      <c r="A146" s="220" t="s">
        <v>1616</v>
      </c>
      <c r="B146" s="220">
        <v>2127598</v>
      </c>
      <c r="C146" s="221" t="s">
        <v>1176</v>
      </c>
      <c r="D146" s="112">
        <v>11819</v>
      </c>
      <c r="E146" s="46">
        <v>12653</v>
      </c>
      <c r="F146" s="73" t="s">
        <v>1473</v>
      </c>
    </row>
    <row r="147" spans="1:6">
      <c r="A147" s="220" t="s">
        <v>1616</v>
      </c>
      <c r="B147" s="220">
        <v>2125756</v>
      </c>
      <c r="C147" s="221" t="s">
        <v>1176</v>
      </c>
      <c r="D147" s="112">
        <v>11905</v>
      </c>
      <c r="E147" s="46">
        <v>12632</v>
      </c>
      <c r="F147" s="73" t="s">
        <v>1473</v>
      </c>
    </row>
    <row r="148" spans="1:6">
      <c r="A148" s="220" t="s">
        <v>1616</v>
      </c>
      <c r="B148" s="220">
        <v>2130392</v>
      </c>
      <c r="C148" s="221" t="s">
        <v>1176</v>
      </c>
      <c r="D148" s="112">
        <v>11905</v>
      </c>
      <c r="E148" s="46">
        <v>12681</v>
      </c>
      <c r="F148" s="73" t="s">
        <v>1473</v>
      </c>
    </row>
    <row r="149" spans="1:6">
      <c r="A149" s="220" t="s">
        <v>1616</v>
      </c>
      <c r="B149" s="220">
        <v>2169047</v>
      </c>
      <c r="C149" s="221" t="s">
        <v>1176</v>
      </c>
      <c r="D149" s="112">
        <v>11905</v>
      </c>
      <c r="E149" s="46">
        <v>13003</v>
      </c>
      <c r="F149" s="73" t="s">
        <v>1473</v>
      </c>
    </row>
    <row r="150" spans="1:6">
      <c r="A150" s="220" t="s">
        <v>1616</v>
      </c>
      <c r="B150" s="220">
        <v>2127599</v>
      </c>
      <c r="C150" s="221" t="s">
        <v>1176</v>
      </c>
      <c r="D150" s="112">
        <v>11999</v>
      </c>
      <c r="E150" s="46">
        <v>12653</v>
      </c>
      <c r="F150" s="73" t="s">
        <v>1473</v>
      </c>
    </row>
    <row r="151" spans="1:6">
      <c r="A151" s="220" t="s">
        <v>1616</v>
      </c>
      <c r="B151" s="220">
        <v>2158126</v>
      </c>
      <c r="C151" s="221" t="s">
        <v>1176</v>
      </c>
      <c r="D151" s="112">
        <v>12107</v>
      </c>
      <c r="E151" s="46">
        <v>12919</v>
      </c>
      <c r="F151" s="73" t="s">
        <v>1473</v>
      </c>
    </row>
    <row r="152" spans="1:6">
      <c r="A152" s="220" t="s">
        <v>1616</v>
      </c>
      <c r="B152" s="220">
        <v>2187032</v>
      </c>
      <c r="C152" s="221" t="s">
        <v>1176</v>
      </c>
      <c r="D152" s="112">
        <v>12186</v>
      </c>
      <c r="E152" s="46">
        <v>13164</v>
      </c>
      <c r="F152" s="73" t="s">
        <v>1473</v>
      </c>
    </row>
    <row r="153" spans="1:6">
      <c r="A153" s="220" t="s">
        <v>1616</v>
      </c>
      <c r="B153" s="220">
        <v>2205652</v>
      </c>
      <c r="C153" s="221" t="s">
        <v>1176</v>
      </c>
      <c r="D153" s="112">
        <v>12230</v>
      </c>
      <c r="E153" s="46">
        <v>13325</v>
      </c>
      <c r="F153" s="73" t="s">
        <v>1473</v>
      </c>
    </row>
    <row r="154" spans="1:6">
      <c r="A154" s="220" t="s">
        <v>1616</v>
      </c>
      <c r="B154" s="220">
        <v>2198721</v>
      </c>
      <c r="C154" s="221" t="s">
        <v>1176</v>
      </c>
      <c r="D154" s="112">
        <v>12237</v>
      </c>
      <c r="E154" s="46">
        <v>13269</v>
      </c>
      <c r="F154" s="73" t="s">
        <v>1473</v>
      </c>
    </row>
    <row r="155" spans="1:6">
      <c r="A155" s="220" t="s">
        <v>1616</v>
      </c>
      <c r="B155" s="220">
        <v>2248707</v>
      </c>
      <c r="C155" s="221" t="s">
        <v>1176</v>
      </c>
      <c r="D155" s="112">
        <v>12242</v>
      </c>
      <c r="E155" s="46">
        <v>13703</v>
      </c>
      <c r="F155" s="73" t="s">
        <v>1473</v>
      </c>
    </row>
    <row r="156" spans="1:6">
      <c r="A156" s="220" t="s">
        <v>1616</v>
      </c>
      <c r="B156" s="220">
        <v>2202102</v>
      </c>
      <c r="C156" s="221" t="s">
        <v>1176</v>
      </c>
      <c r="D156" s="112">
        <v>12314</v>
      </c>
      <c r="E156" s="46">
        <v>13297</v>
      </c>
      <c r="F156" s="73" t="s">
        <v>1473</v>
      </c>
    </row>
    <row r="157" spans="1:6">
      <c r="A157" s="220" t="s">
        <v>1616</v>
      </c>
      <c r="B157" s="220">
        <v>2205653</v>
      </c>
      <c r="C157" s="221" t="s">
        <v>1176</v>
      </c>
      <c r="D157" s="112">
        <v>12314</v>
      </c>
      <c r="E157" s="46">
        <v>13325</v>
      </c>
      <c r="F157" s="73" t="s">
        <v>1473</v>
      </c>
    </row>
    <row r="158" spans="1:6">
      <c r="A158" s="220" t="s">
        <v>1616</v>
      </c>
      <c r="B158" s="220">
        <v>2200361</v>
      </c>
      <c r="C158" s="221" t="s">
        <v>1176</v>
      </c>
      <c r="D158" s="112">
        <v>12346</v>
      </c>
      <c r="E158" s="46">
        <v>13283</v>
      </c>
      <c r="F158" s="73" t="s">
        <v>1473</v>
      </c>
    </row>
    <row r="159" spans="1:6">
      <c r="A159" s="220" t="s">
        <v>1616</v>
      </c>
      <c r="B159" s="220">
        <v>2202490</v>
      </c>
      <c r="C159" s="221" t="s">
        <v>1176</v>
      </c>
      <c r="D159" s="112">
        <v>12363</v>
      </c>
      <c r="E159" s="46">
        <v>13297</v>
      </c>
      <c r="F159" s="73" t="s">
        <v>1473</v>
      </c>
    </row>
    <row r="160" spans="1:6">
      <c r="A160" s="220" t="s">
        <v>1616</v>
      </c>
      <c r="B160" s="220">
        <v>2213861</v>
      </c>
      <c r="C160" s="221" t="s">
        <v>1176</v>
      </c>
      <c r="D160" s="112">
        <v>12369</v>
      </c>
      <c r="E160" s="46">
        <v>13395</v>
      </c>
      <c r="F160" s="73" t="s">
        <v>1442</v>
      </c>
    </row>
    <row r="161" spans="1:7" s="123" customFormat="1">
      <c r="A161" s="42" t="s">
        <v>1616</v>
      </c>
      <c r="B161" s="42">
        <v>2268330</v>
      </c>
      <c r="C161" s="151" t="s">
        <v>1176</v>
      </c>
      <c r="D161" s="112">
        <v>12593</v>
      </c>
      <c r="E161" s="46">
        <v>13878</v>
      </c>
      <c r="F161" s="123" t="s">
        <v>1473</v>
      </c>
    </row>
    <row r="162" spans="1:7">
      <c r="A162" s="42" t="s">
        <v>1616</v>
      </c>
      <c r="B162" s="42">
        <v>2213829</v>
      </c>
      <c r="C162" s="151" t="s">
        <v>1176</v>
      </c>
      <c r="D162" s="112">
        <v>12650</v>
      </c>
      <c r="E162" s="46">
        <v>13395</v>
      </c>
      <c r="F162" s="73" t="s">
        <v>1473</v>
      </c>
    </row>
    <row r="163" spans="1:7">
      <c r="A163" s="42" t="s">
        <v>1616</v>
      </c>
      <c r="B163" s="42">
        <v>2213813</v>
      </c>
      <c r="C163" s="151" t="s">
        <v>1176</v>
      </c>
      <c r="D163" s="112">
        <v>12699</v>
      </c>
      <c r="E163" s="46">
        <v>13395</v>
      </c>
      <c r="F163" s="73" t="s">
        <v>1442</v>
      </c>
    </row>
    <row r="164" spans="1:7">
      <c r="A164" s="42" t="s">
        <v>1616</v>
      </c>
      <c r="B164" s="42">
        <v>2244073</v>
      </c>
      <c r="C164" s="151" t="s">
        <v>1176</v>
      </c>
      <c r="D164" s="112">
        <v>12716</v>
      </c>
      <c r="E164" s="46">
        <v>13668</v>
      </c>
      <c r="F164" s="73" t="s">
        <v>1473</v>
      </c>
    </row>
    <row r="165" spans="1:7">
      <c r="A165" s="42" t="s">
        <v>877</v>
      </c>
      <c r="B165" s="42">
        <v>2217081</v>
      </c>
      <c r="C165" s="151" t="s">
        <v>1176</v>
      </c>
      <c r="D165" s="112">
        <v>12803</v>
      </c>
      <c r="E165" s="46">
        <v>13430</v>
      </c>
      <c r="F165" s="73" t="s">
        <v>878</v>
      </c>
      <c r="G165" t="s">
        <v>879</v>
      </c>
    </row>
    <row r="166" spans="1:7">
      <c r="A166" s="42" t="s">
        <v>1616</v>
      </c>
      <c r="B166" s="42">
        <v>2217116</v>
      </c>
      <c r="C166" s="151" t="s">
        <v>1176</v>
      </c>
      <c r="D166" s="112">
        <v>12989</v>
      </c>
      <c r="E166" s="46">
        <v>13430</v>
      </c>
      <c r="F166" s="73" t="s">
        <v>1473</v>
      </c>
    </row>
    <row r="167" spans="1:7">
      <c r="A167" s="42" t="s">
        <v>1616</v>
      </c>
      <c r="B167" s="42">
        <v>2280584</v>
      </c>
      <c r="C167" s="151" t="s">
        <v>1176</v>
      </c>
      <c r="D167" s="112">
        <v>13131</v>
      </c>
      <c r="E167" s="46">
        <v>13990</v>
      </c>
      <c r="F167" s="73" t="s">
        <v>1473</v>
      </c>
    </row>
    <row r="168" spans="1:7">
      <c r="A168" s="42" t="s">
        <v>1616</v>
      </c>
      <c r="B168" s="42">
        <v>2328821</v>
      </c>
      <c r="C168" s="151" t="s">
        <v>1176</v>
      </c>
      <c r="D168" s="112">
        <v>13590</v>
      </c>
      <c r="E168" s="46">
        <v>14494</v>
      </c>
      <c r="F168" s="73" t="s">
        <v>1473</v>
      </c>
    </row>
    <row r="169" spans="1:7">
      <c r="A169" s="42" t="s">
        <v>1616</v>
      </c>
      <c r="B169" s="42">
        <v>2316029</v>
      </c>
      <c r="C169" s="151" t="s">
        <v>1176</v>
      </c>
      <c r="D169" s="112">
        <v>13615</v>
      </c>
      <c r="E169" s="46">
        <v>14340</v>
      </c>
      <c r="F169" s="73" t="s">
        <v>1473</v>
      </c>
    </row>
    <row r="170" spans="1:7">
      <c r="A170" s="42" t="s">
        <v>1616</v>
      </c>
      <c r="B170" s="42">
        <v>2281153</v>
      </c>
      <c r="C170" s="151" t="s">
        <v>1176</v>
      </c>
      <c r="D170" s="112">
        <v>13742</v>
      </c>
      <c r="E170" s="46">
        <v>13997</v>
      </c>
      <c r="F170" s="73" t="s">
        <v>1473</v>
      </c>
    </row>
    <row r="171" spans="1:7">
      <c r="A171" s="42" t="s">
        <v>1616</v>
      </c>
      <c r="B171" s="42">
        <v>2317311</v>
      </c>
      <c r="C171" s="151" t="s">
        <v>1176</v>
      </c>
      <c r="D171" s="112">
        <v>13860</v>
      </c>
      <c r="E171" s="46">
        <v>14354</v>
      </c>
      <c r="F171" s="73" t="s">
        <v>1473</v>
      </c>
    </row>
    <row r="172" spans="1:7">
      <c r="A172" s="42" t="s">
        <v>1616</v>
      </c>
      <c r="B172" s="42">
        <v>2327044</v>
      </c>
      <c r="C172" s="151" t="s">
        <v>1176</v>
      </c>
      <c r="D172" s="112">
        <v>13874</v>
      </c>
      <c r="E172" s="46">
        <v>14473</v>
      </c>
      <c r="F172" s="73" t="s">
        <v>1473</v>
      </c>
    </row>
    <row r="173" spans="1:7">
      <c r="A173" s="42" t="s">
        <v>1616</v>
      </c>
      <c r="B173" s="42">
        <v>2339859</v>
      </c>
      <c r="C173" s="151" t="s">
        <v>1176</v>
      </c>
      <c r="D173" s="112">
        <v>13900</v>
      </c>
      <c r="E173" s="46">
        <v>14634</v>
      </c>
      <c r="F173" s="73" t="s">
        <v>1473</v>
      </c>
    </row>
    <row r="174" spans="1:7">
      <c r="A174" s="42" t="s">
        <v>1616</v>
      </c>
      <c r="B174" s="42">
        <v>2363182</v>
      </c>
      <c r="C174" s="151" t="s">
        <v>1176</v>
      </c>
      <c r="D174" s="112">
        <v>13975</v>
      </c>
      <c r="E174" s="46">
        <v>14935</v>
      </c>
      <c r="F174" s="73" t="s">
        <v>1531</v>
      </c>
    </row>
    <row r="175" spans="1:7">
      <c r="A175" s="42" t="s">
        <v>1616</v>
      </c>
      <c r="B175" s="42">
        <v>2363183</v>
      </c>
      <c r="C175" s="151" t="s">
        <v>1176</v>
      </c>
      <c r="D175" s="112">
        <v>13975</v>
      </c>
      <c r="E175" s="46">
        <v>14935</v>
      </c>
      <c r="F175" s="73" t="s">
        <v>1473</v>
      </c>
    </row>
    <row r="176" spans="1:7">
      <c r="A176" s="42" t="s">
        <v>1616</v>
      </c>
      <c r="B176" s="42">
        <v>2485969</v>
      </c>
      <c r="C176" s="151" t="s">
        <v>1176</v>
      </c>
      <c r="D176" s="112">
        <v>15116</v>
      </c>
      <c r="E176" s="46">
        <v>16734</v>
      </c>
      <c r="F176" s="73" t="s">
        <v>1473</v>
      </c>
    </row>
    <row r="177" spans="1:6">
      <c r="A177" s="42" t="s">
        <v>1616</v>
      </c>
      <c r="B177" s="42">
        <v>2470559</v>
      </c>
      <c r="C177" s="151" t="s">
        <v>1176</v>
      </c>
      <c r="D177" s="112">
        <v>15428</v>
      </c>
      <c r="E177" s="46">
        <v>16573</v>
      </c>
      <c r="F177" s="73" t="s">
        <v>1473</v>
      </c>
    </row>
    <row r="178" spans="1:6">
      <c r="A178" s="42" t="s">
        <v>1616</v>
      </c>
      <c r="B178" s="42">
        <v>2485993</v>
      </c>
      <c r="C178" s="151" t="s">
        <v>1176</v>
      </c>
      <c r="D178" s="112">
        <v>15442</v>
      </c>
      <c r="E178" s="46">
        <v>16734</v>
      </c>
      <c r="F178" s="73" t="s">
        <v>1473</v>
      </c>
    </row>
    <row r="179" spans="1:6">
      <c r="A179" s="42" t="s">
        <v>1616</v>
      </c>
      <c r="B179" s="42">
        <v>2608236</v>
      </c>
      <c r="C179" s="151" t="s">
        <v>1176</v>
      </c>
      <c r="D179" s="112">
        <v>15442</v>
      </c>
      <c r="E179" s="46">
        <v>17770</v>
      </c>
      <c r="F179" s="73" t="s">
        <v>1473</v>
      </c>
    </row>
    <row r="180" spans="1:6">
      <c r="A180" s="42" t="s">
        <v>1616</v>
      </c>
      <c r="B180" s="42">
        <v>2493173</v>
      </c>
      <c r="C180" s="151" t="s">
        <v>1176</v>
      </c>
      <c r="D180" s="112">
        <v>15489</v>
      </c>
      <c r="E180" s="46">
        <v>16804</v>
      </c>
      <c r="F180" s="73" t="s">
        <v>1473</v>
      </c>
    </row>
    <row r="181" spans="1:6">
      <c r="A181" s="42" t="s">
        <v>1616</v>
      </c>
      <c r="B181" s="42">
        <v>2546508</v>
      </c>
      <c r="C181" s="151" t="s">
        <v>1176</v>
      </c>
      <c r="D181" s="112">
        <v>15539</v>
      </c>
      <c r="E181" s="46">
        <v>17252</v>
      </c>
      <c r="F181" s="73" t="s">
        <v>1473</v>
      </c>
    </row>
    <row r="182" spans="1:6">
      <c r="A182" s="42" t="s">
        <v>1616</v>
      </c>
      <c r="B182" s="42">
        <v>2647423</v>
      </c>
      <c r="C182" s="151" t="s">
        <v>1176</v>
      </c>
      <c r="D182" s="112">
        <v>15559</v>
      </c>
      <c r="E182" s="46">
        <v>18113</v>
      </c>
      <c r="F182" s="73" t="s">
        <v>1473</v>
      </c>
    </row>
    <row r="183" spans="1:6">
      <c r="A183" s="42" t="s">
        <v>1616</v>
      </c>
      <c r="B183" s="42">
        <v>2526026</v>
      </c>
      <c r="C183" s="151" t="s">
        <v>1176</v>
      </c>
      <c r="D183" s="112">
        <v>15631</v>
      </c>
      <c r="E183" s="46">
        <v>17091</v>
      </c>
      <c r="F183" s="73" t="s">
        <v>1473</v>
      </c>
    </row>
    <row r="184" spans="1:6">
      <c r="A184" s="42" t="s">
        <v>1616</v>
      </c>
      <c r="B184" s="42">
        <v>2522271</v>
      </c>
      <c r="C184" s="151" t="s">
        <v>1176</v>
      </c>
      <c r="D184" s="112">
        <v>15868</v>
      </c>
      <c r="E184" s="46">
        <v>17056</v>
      </c>
      <c r="F184" s="73" t="s">
        <v>1473</v>
      </c>
    </row>
    <row r="185" spans="1:6">
      <c r="A185" s="42" t="s">
        <v>1616</v>
      </c>
      <c r="B185" s="42">
        <v>2649820</v>
      </c>
      <c r="C185" s="151" t="s">
        <v>1176</v>
      </c>
      <c r="D185" s="112">
        <v>16034</v>
      </c>
      <c r="E185" s="46">
        <v>18134</v>
      </c>
      <c r="F185" s="73" t="s">
        <v>1473</v>
      </c>
    </row>
    <row r="186" spans="1:6">
      <c r="A186" s="42" t="s">
        <v>1616</v>
      </c>
      <c r="B186" s="42">
        <v>2631894</v>
      </c>
      <c r="C186" s="151" t="s">
        <v>1176</v>
      </c>
      <c r="D186" s="112">
        <v>16205</v>
      </c>
      <c r="E186" s="46">
        <v>17973</v>
      </c>
      <c r="F186" s="73" t="s">
        <v>1473</v>
      </c>
    </row>
    <row r="187" spans="1:6">
      <c r="A187" s="42" t="s">
        <v>1616</v>
      </c>
      <c r="B187" s="42">
        <v>2625439</v>
      </c>
      <c r="C187" s="151" t="s">
        <v>1176</v>
      </c>
      <c r="D187" s="112">
        <v>16209</v>
      </c>
      <c r="E187" s="46">
        <v>17910</v>
      </c>
      <c r="F187" s="73" t="s">
        <v>1473</v>
      </c>
    </row>
    <row r="188" spans="1:6">
      <c r="A188" s="42" t="s">
        <v>1616</v>
      </c>
      <c r="B188" s="42">
        <v>2548107</v>
      </c>
      <c r="C188" s="151" t="s">
        <v>1176</v>
      </c>
      <c r="D188" s="112">
        <v>16240</v>
      </c>
      <c r="E188" s="46">
        <v>17266</v>
      </c>
      <c r="F188" s="73" t="s">
        <v>1473</v>
      </c>
    </row>
    <row r="189" spans="1:6">
      <c r="A189" s="42" t="s">
        <v>1616</v>
      </c>
      <c r="B189" s="42">
        <v>2625438</v>
      </c>
      <c r="C189" s="151" t="s">
        <v>1176</v>
      </c>
      <c r="D189" s="112">
        <v>16240</v>
      </c>
      <c r="E189" s="46">
        <v>17910</v>
      </c>
      <c r="F189" s="73" t="s">
        <v>1473</v>
      </c>
    </row>
    <row r="190" spans="1:6">
      <c r="A190" s="42" t="s">
        <v>1616</v>
      </c>
      <c r="B190" s="42">
        <v>2669487</v>
      </c>
      <c r="C190" s="151" t="s">
        <v>1176</v>
      </c>
      <c r="D190" s="112">
        <v>16241</v>
      </c>
      <c r="E190" s="46">
        <v>18309</v>
      </c>
      <c r="F190" s="73" t="s">
        <v>1473</v>
      </c>
    </row>
    <row r="191" spans="1:6">
      <c r="A191" s="42" t="s">
        <v>1616</v>
      </c>
      <c r="B191" s="42">
        <v>2647422</v>
      </c>
      <c r="C191" s="151" t="s">
        <v>1176</v>
      </c>
      <c r="D191" s="112">
        <v>16282</v>
      </c>
      <c r="E191" s="46">
        <v>18113</v>
      </c>
      <c r="F191" s="73" t="s">
        <v>1473</v>
      </c>
    </row>
    <row r="192" spans="1:6">
      <c r="A192" s="42" t="s">
        <v>1616</v>
      </c>
      <c r="B192" s="42">
        <v>2558296</v>
      </c>
      <c r="C192" s="151" t="s">
        <v>1176</v>
      </c>
      <c r="D192" s="112">
        <v>16315</v>
      </c>
      <c r="E192" s="46">
        <v>17343</v>
      </c>
      <c r="F192" s="73" t="s">
        <v>1473</v>
      </c>
    </row>
    <row r="193" spans="1:6">
      <c r="A193" s="42" t="s">
        <v>1616</v>
      </c>
      <c r="B193" s="42">
        <v>2558297</v>
      </c>
      <c r="C193" s="151" t="s">
        <v>1176</v>
      </c>
      <c r="D193" s="112">
        <v>16531</v>
      </c>
      <c r="E193" s="46">
        <v>17343</v>
      </c>
      <c r="F193" s="73" t="s">
        <v>1473</v>
      </c>
    </row>
    <row r="194" spans="1:6">
      <c r="A194" s="42" t="s">
        <v>1616</v>
      </c>
      <c r="B194" s="42">
        <v>2631895</v>
      </c>
      <c r="C194" s="151" t="s">
        <v>1176</v>
      </c>
      <c r="D194" s="112">
        <v>16576</v>
      </c>
      <c r="E194" s="46">
        <v>17973</v>
      </c>
      <c r="F194" s="73" t="s">
        <v>1473</v>
      </c>
    </row>
    <row r="195" spans="1:6">
      <c r="A195" s="42" t="s">
        <v>1616</v>
      </c>
      <c r="B195" s="42">
        <v>2679304</v>
      </c>
      <c r="C195" s="151" t="s">
        <v>1176</v>
      </c>
      <c r="D195" s="112">
        <v>16577</v>
      </c>
      <c r="E195" s="46">
        <v>18407</v>
      </c>
      <c r="F195" s="73" t="s">
        <v>1473</v>
      </c>
    </row>
    <row r="197" spans="1:6">
      <c r="A197" s="126" t="s">
        <v>2271</v>
      </c>
    </row>
    <row r="198" spans="1:6">
      <c r="A198" s="125" t="s">
        <v>1532</v>
      </c>
    </row>
    <row r="201" spans="1:6">
      <c r="A201" s="42" t="s">
        <v>4054</v>
      </c>
    </row>
    <row r="202" spans="1:6">
      <c r="A202" s="42" t="s">
        <v>1284</v>
      </c>
    </row>
    <row r="203" spans="1:6">
      <c r="A203" s="42" t="s">
        <v>1192</v>
      </c>
    </row>
    <row r="204" spans="1:6">
      <c r="A204" s="42" t="s">
        <v>1191</v>
      </c>
    </row>
    <row r="205" spans="1:6">
      <c r="A205" s="42" t="s">
        <v>3962</v>
      </c>
    </row>
    <row r="206" spans="1:6">
      <c r="A206" s="42" t="s">
        <v>1369</v>
      </c>
    </row>
    <row r="207" spans="1:6">
      <c r="A207" s="42" t="s">
        <v>880</v>
      </c>
    </row>
    <row r="208" spans="1:6">
      <c r="A208" s="42" t="s">
        <v>917</v>
      </c>
    </row>
    <row r="209" spans="1:4">
      <c r="A209" s="42" t="s">
        <v>1036</v>
      </c>
    </row>
    <row r="210" spans="1:4">
      <c r="A210" s="42" t="s">
        <v>1090</v>
      </c>
    </row>
    <row r="211" spans="1:4">
      <c r="A211" s="42" t="s">
        <v>45</v>
      </c>
    </row>
    <row r="212" spans="1:4" s="367" customFormat="1">
      <c r="A212" s="42" t="s">
        <v>8</v>
      </c>
      <c r="B212" s="42"/>
      <c r="C212" s="42"/>
      <c r="D212" s="42"/>
    </row>
    <row r="213" spans="1:4" s="203" customFormat="1">
      <c r="A213" s="42" t="s">
        <v>170</v>
      </c>
      <c r="B213" s="42"/>
      <c r="C213" s="42"/>
      <c r="D213" s="42"/>
    </row>
    <row r="215" spans="1:4">
      <c r="A215" s="126" t="s">
        <v>920</v>
      </c>
    </row>
    <row r="216" spans="1:4">
      <c r="A216" s="42" t="s">
        <v>921</v>
      </c>
    </row>
    <row r="217" spans="1:4">
      <c r="A217" s="42" t="s">
        <v>2697</v>
      </c>
    </row>
    <row r="219" spans="1:4">
      <c r="A219" s="126" t="s">
        <v>1411</v>
      </c>
    </row>
    <row r="220" spans="1:4">
      <c r="A220" s="42" t="s">
        <v>922</v>
      </c>
      <c r="B220" s="42">
        <v>1937</v>
      </c>
    </row>
    <row r="221" spans="1:4">
      <c r="A221" s="42" t="s">
        <v>923</v>
      </c>
      <c r="B221" s="42">
        <v>1937</v>
      </c>
    </row>
    <row r="222" spans="1:4">
      <c r="A222" s="42" t="s">
        <v>924</v>
      </c>
      <c r="B222" s="42">
        <v>1937</v>
      </c>
    </row>
    <row r="224" spans="1:4">
      <c r="A224" s="126" t="s">
        <v>925</v>
      </c>
    </row>
    <row r="225" spans="1:4">
      <c r="A225" s="42" t="s">
        <v>926</v>
      </c>
      <c r="B225" s="42">
        <v>1949</v>
      </c>
      <c r="C225" s="42" t="s">
        <v>927</v>
      </c>
    </row>
    <row r="226" spans="1:4">
      <c r="A226" s="42" t="s">
        <v>995</v>
      </c>
      <c r="B226" s="42" t="s">
        <v>998</v>
      </c>
      <c r="C226" s="42" t="s">
        <v>927</v>
      </c>
    </row>
    <row r="227" spans="1:4">
      <c r="A227" s="42" t="s">
        <v>999</v>
      </c>
      <c r="B227" s="42">
        <v>1939</v>
      </c>
      <c r="C227" s="42" t="s">
        <v>927</v>
      </c>
    </row>
    <row r="228" spans="1:4">
      <c r="A228" s="42" t="s">
        <v>928</v>
      </c>
      <c r="B228" s="42">
        <v>1939</v>
      </c>
      <c r="C228" s="42" t="s">
        <v>929</v>
      </c>
    </row>
    <row r="229" spans="1:4">
      <c r="A229" s="42" t="s">
        <v>932</v>
      </c>
      <c r="B229" s="42">
        <v>1947</v>
      </c>
      <c r="C229" s="42" t="s">
        <v>933</v>
      </c>
    </row>
    <row r="230" spans="1:4">
      <c r="A230" s="42" t="s">
        <v>934</v>
      </c>
      <c r="B230" s="42">
        <v>1934</v>
      </c>
      <c r="C230" s="42" t="s">
        <v>933</v>
      </c>
    </row>
    <row r="231" spans="1:4">
      <c r="A231" s="42" t="s">
        <v>970</v>
      </c>
      <c r="B231" s="42">
        <v>1945</v>
      </c>
      <c r="C231" s="42" t="s">
        <v>971</v>
      </c>
    </row>
    <row r="232" spans="1:4">
      <c r="A232" s="42" t="s">
        <v>972</v>
      </c>
      <c r="B232" s="42">
        <v>1938</v>
      </c>
      <c r="C232" s="42" t="s">
        <v>933</v>
      </c>
    </row>
    <row r="233" spans="1:4">
      <c r="A233" s="42" t="s">
        <v>973</v>
      </c>
      <c r="B233" s="42">
        <v>1936</v>
      </c>
      <c r="C233" s="42" t="s">
        <v>933</v>
      </c>
      <c r="D233" s="42" t="s">
        <v>919</v>
      </c>
    </row>
    <row r="234" spans="1:4">
      <c r="A234" s="42" t="s">
        <v>974</v>
      </c>
      <c r="B234" s="42">
        <v>1930</v>
      </c>
      <c r="C234" s="42" t="s">
        <v>933</v>
      </c>
      <c r="D234" s="42" t="s">
        <v>647</v>
      </c>
    </row>
    <row r="235" spans="1:4">
      <c r="A235" s="42" t="s">
        <v>831</v>
      </c>
      <c r="B235" s="42">
        <v>1930</v>
      </c>
      <c r="C235" s="42" t="s">
        <v>933</v>
      </c>
      <c r="D235" s="42" t="s">
        <v>919</v>
      </c>
    </row>
    <row r="236" spans="1:4">
      <c r="A236" s="42" t="s">
        <v>926</v>
      </c>
      <c r="B236" s="42">
        <v>1939</v>
      </c>
      <c r="C236" s="42" t="s">
        <v>933</v>
      </c>
    </row>
  </sheetData>
  <sheetCalcPr fullCalcOnLoad="1"/>
  <sortState ref="A130:XFD195">
    <sortCondition ref="D130:D195"/>
  </sortState>
  <phoneticPr fontId="22" type="noConversion"/>
  <pageMargins left="0.75" right="0.75" top="1" bottom="1" header="0.5" footer="0.5"/>
  <rowBreaks count="1" manualBreakCount="1">
    <brk id="129" max="16383" man="1"/>
  </rowBreaks>
  <extLst>
    <ext xmlns:mx="http://schemas.microsoft.com/office/mac/excel/2008/main" uri="http://schemas.microsoft.com/office/mac/excel/2008/main">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W127"/>
  <sheetViews>
    <sheetView workbookViewId="0">
      <selection activeCell="B3" sqref="B3:F22"/>
    </sheetView>
  </sheetViews>
  <sheetFormatPr baseColWidth="10" defaultColWidth="11" defaultRowHeight="13"/>
  <cols>
    <col min="1" max="5" width="11" style="42"/>
    <col min="6" max="6" width="24.7109375" style="42" customWidth="1"/>
    <col min="7" max="7" width="11" style="42"/>
  </cols>
  <sheetData>
    <row r="1" spans="1:49" s="12" customFormat="1" ht="36">
      <c r="A1" s="52" t="s">
        <v>1869</v>
      </c>
      <c r="B1" s="52" t="s">
        <v>1747</v>
      </c>
      <c r="C1" s="52" t="s">
        <v>2829</v>
      </c>
      <c r="D1" s="52" t="s">
        <v>1774</v>
      </c>
      <c r="E1" s="52" t="s">
        <v>1777</v>
      </c>
      <c r="F1" s="52" t="s">
        <v>1787</v>
      </c>
      <c r="G1" s="257" t="s">
        <v>1631</v>
      </c>
      <c r="H1" s="3" t="s">
        <v>1632</v>
      </c>
      <c r="I1" s="4" t="s">
        <v>1797</v>
      </c>
      <c r="J1" s="4" t="s">
        <v>1689</v>
      </c>
      <c r="K1" s="4" t="s">
        <v>1633</v>
      </c>
      <c r="L1" s="4" t="s">
        <v>1827</v>
      </c>
      <c r="M1" s="4" t="s">
        <v>1828</v>
      </c>
      <c r="N1" s="4" t="s">
        <v>1692</v>
      </c>
      <c r="O1" s="4" t="s">
        <v>1793</v>
      </c>
      <c r="P1" s="4" t="s">
        <v>1638</v>
      </c>
      <c r="Q1" s="4" t="s">
        <v>1801</v>
      </c>
      <c r="R1" s="4" t="s">
        <v>1700</v>
      </c>
      <c r="S1" s="5" t="s">
        <v>1683</v>
      </c>
      <c r="T1" s="6" t="s">
        <v>1684</v>
      </c>
      <c r="U1" s="6" t="s">
        <v>1900</v>
      </c>
      <c r="V1" s="6" t="s">
        <v>1901</v>
      </c>
      <c r="W1" s="6" t="s">
        <v>1685</v>
      </c>
      <c r="X1" s="6" t="s">
        <v>1686</v>
      </c>
      <c r="Y1" s="7" t="s">
        <v>1687</v>
      </c>
      <c r="Z1" s="8" t="s">
        <v>1688</v>
      </c>
      <c r="AA1" s="9" t="s">
        <v>1810</v>
      </c>
      <c r="AB1" s="9" t="s">
        <v>1728</v>
      </c>
      <c r="AC1" s="9" t="s">
        <v>1763</v>
      </c>
      <c r="AD1" s="9" t="s">
        <v>1764</v>
      </c>
      <c r="AE1" s="9" t="s">
        <v>1860</v>
      </c>
      <c r="AF1" s="9" t="s">
        <v>1861</v>
      </c>
      <c r="AG1" s="9" t="s">
        <v>1693</v>
      </c>
      <c r="AH1" s="5" t="s">
        <v>1694</v>
      </c>
      <c r="AI1" s="6" t="s">
        <v>1862</v>
      </c>
      <c r="AJ1" s="6" t="s">
        <v>1744</v>
      </c>
      <c r="AK1" s="7" t="s">
        <v>1758</v>
      </c>
      <c r="AL1" s="7" t="s">
        <v>1921</v>
      </c>
      <c r="AM1" s="7" t="s">
        <v>1835</v>
      </c>
      <c r="AN1" s="7" t="s">
        <v>1836</v>
      </c>
      <c r="AO1" s="7" t="s">
        <v>1893</v>
      </c>
      <c r="AP1" s="7" t="s">
        <v>1894</v>
      </c>
      <c r="AQ1" s="10" t="s">
        <v>1895</v>
      </c>
      <c r="AR1" s="10" t="s">
        <v>1745</v>
      </c>
      <c r="AS1" s="10" t="s">
        <v>1751</v>
      </c>
      <c r="AT1" s="11" t="s">
        <v>1746</v>
      </c>
      <c r="AU1" s="1" t="s">
        <v>1899</v>
      </c>
      <c r="AV1" s="1" t="s">
        <v>1680</v>
      </c>
      <c r="AW1" s="1" t="s">
        <v>1681</v>
      </c>
    </row>
    <row r="2" spans="1:49" s="45" customFormat="1" ht="12">
      <c r="A2" s="58" t="s">
        <v>1600</v>
      </c>
      <c r="B2" s="52"/>
      <c r="C2" s="52"/>
      <c r="D2" s="52"/>
      <c r="E2" s="52"/>
      <c r="F2" s="52"/>
      <c r="G2" s="53"/>
      <c r="H2" s="53"/>
      <c r="I2" s="52"/>
      <c r="J2" s="52"/>
      <c r="K2" s="52"/>
      <c r="L2" s="52"/>
      <c r="M2" s="52"/>
      <c r="N2" s="52"/>
      <c r="O2" s="52"/>
      <c r="P2" s="52"/>
      <c r="Q2" s="52"/>
      <c r="R2" s="52"/>
      <c r="S2" s="53"/>
      <c r="T2" s="53"/>
      <c r="U2" s="53"/>
      <c r="V2" s="53"/>
      <c r="W2" s="53"/>
      <c r="X2" s="53"/>
      <c r="Y2" s="53"/>
      <c r="Z2" s="53"/>
      <c r="AA2" s="53"/>
      <c r="AB2" s="53"/>
      <c r="AC2" s="53"/>
      <c r="AD2" s="53"/>
      <c r="AE2" s="53"/>
      <c r="AF2" s="53"/>
      <c r="AG2" s="53"/>
      <c r="AH2" s="53"/>
      <c r="AI2" s="53"/>
      <c r="AJ2" s="53"/>
      <c r="AK2" s="53"/>
      <c r="AL2" s="53"/>
      <c r="AM2" s="53"/>
      <c r="AN2" s="53"/>
      <c r="AO2" s="53"/>
      <c r="AP2" s="53"/>
      <c r="AQ2" s="52"/>
      <c r="AR2" s="52"/>
      <c r="AS2" s="52"/>
      <c r="AT2" s="53"/>
      <c r="AU2" s="52"/>
      <c r="AV2" s="52"/>
      <c r="AW2" s="52"/>
    </row>
    <row r="3" spans="1:49" s="26" customFormat="1">
      <c r="A3" s="231" t="s">
        <v>1678</v>
      </c>
      <c r="B3" s="231">
        <v>1732661</v>
      </c>
      <c r="C3" s="143"/>
      <c r="D3" s="43">
        <v>8545</v>
      </c>
      <c r="E3" s="144">
        <v>9426</v>
      </c>
      <c r="F3" s="145" t="s">
        <v>1821</v>
      </c>
      <c r="G3" s="143">
        <v>428</v>
      </c>
      <c r="H3" s="27">
        <v>152</v>
      </c>
      <c r="I3" s="27">
        <v>497</v>
      </c>
      <c r="J3" s="27"/>
      <c r="K3" s="27"/>
      <c r="L3" s="27"/>
      <c r="M3" s="27"/>
      <c r="N3" s="27"/>
      <c r="O3" s="27"/>
      <c r="P3" s="27"/>
      <c r="Q3" s="27"/>
      <c r="R3" s="27"/>
      <c r="S3" s="26">
        <v>106</v>
      </c>
      <c r="T3" s="26">
        <v>227</v>
      </c>
      <c r="Z3" s="26">
        <v>40</v>
      </c>
      <c r="AA3" s="26">
        <v>615</v>
      </c>
      <c r="AH3" s="26">
        <v>427</v>
      </c>
      <c r="AI3" s="26">
        <v>257</v>
      </c>
      <c r="AQ3" s="26" t="s">
        <v>1779</v>
      </c>
      <c r="AR3" s="26">
        <v>163</v>
      </c>
    </row>
    <row r="4" spans="1:49" s="26" customFormat="1">
      <c r="A4" s="231" t="s">
        <v>1678</v>
      </c>
      <c r="B4" s="231">
        <v>1689892</v>
      </c>
      <c r="C4" s="143"/>
      <c r="D4" s="43">
        <v>8960</v>
      </c>
      <c r="E4" s="144">
        <v>9069</v>
      </c>
      <c r="F4" s="145" t="s">
        <v>1820</v>
      </c>
      <c r="G4" s="143">
        <v>427</v>
      </c>
      <c r="H4" s="27">
        <v>257</v>
      </c>
      <c r="I4" s="27">
        <v>385.5</v>
      </c>
      <c r="J4" s="27"/>
      <c r="K4" s="27"/>
      <c r="L4" s="27"/>
      <c r="M4" s="27"/>
      <c r="N4" s="27"/>
      <c r="O4" s="27"/>
      <c r="P4" s="27"/>
      <c r="Q4" s="27"/>
      <c r="R4" s="27"/>
      <c r="S4" s="26">
        <v>106</v>
      </c>
      <c r="T4" s="26">
        <v>222</v>
      </c>
      <c r="Z4" s="26" t="s">
        <v>1750</v>
      </c>
      <c r="AA4" s="26">
        <v>53</v>
      </c>
    </row>
    <row r="5" spans="1:49" s="26" customFormat="1">
      <c r="A5" s="231" t="s">
        <v>1678</v>
      </c>
      <c r="B5" s="231">
        <v>1980309</v>
      </c>
      <c r="C5" s="143"/>
      <c r="D5" s="43">
        <v>9153</v>
      </c>
      <c r="E5" s="43">
        <v>11274</v>
      </c>
      <c r="F5" s="145" t="s">
        <v>1823</v>
      </c>
      <c r="G5" s="143">
        <v>427</v>
      </c>
      <c r="H5" s="27">
        <v>257</v>
      </c>
      <c r="I5" s="27">
        <v>389.9</v>
      </c>
      <c r="J5" s="27"/>
      <c r="K5" s="27"/>
      <c r="L5" s="27"/>
      <c r="M5" s="27"/>
      <c r="N5" s="27"/>
      <c r="O5" s="27"/>
      <c r="P5" s="27"/>
      <c r="Q5" s="27"/>
      <c r="R5" s="27"/>
      <c r="S5" s="26">
        <v>106</v>
      </c>
      <c r="T5" s="26">
        <v>250</v>
      </c>
      <c r="U5" s="26">
        <v>251</v>
      </c>
      <c r="V5" s="26">
        <v>253</v>
      </c>
      <c r="Z5" s="26">
        <v>428</v>
      </c>
      <c r="AA5" s="26">
        <v>152</v>
      </c>
      <c r="AH5" s="26">
        <v>442</v>
      </c>
      <c r="AI5" s="26">
        <v>103</v>
      </c>
    </row>
    <row r="6" spans="1:49" s="26" customFormat="1">
      <c r="A6" s="231" t="s">
        <v>1678</v>
      </c>
      <c r="B6" s="231">
        <v>1831323</v>
      </c>
      <c r="C6" s="143"/>
      <c r="D6" s="43">
        <v>9190</v>
      </c>
      <c r="E6" s="43">
        <v>10175</v>
      </c>
      <c r="F6" s="145" t="s">
        <v>1822</v>
      </c>
      <c r="G6" s="143">
        <v>428</v>
      </c>
      <c r="H6" s="27">
        <v>152</v>
      </c>
      <c r="I6" s="27">
        <v>497</v>
      </c>
      <c r="J6" s="27"/>
      <c r="K6" s="27"/>
      <c r="L6" s="27"/>
      <c r="M6" s="27"/>
      <c r="N6" s="27"/>
      <c r="O6" s="27"/>
      <c r="P6" s="27"/>
      <c r="Q6" s="27"/>
      <c r="R6" s="27"/>
      <c r="S6" s="26">
        <v>427</v>
      </c>
      <c r="T6" s="26">
        <v>257</v>
      </c>
      <c r="Z6" s="26" t="s">
        <v>1780</v>
      </c>
      <c r="AA6" s="26">
        <v>138</v>
      </c>
    </row>
    <row r="7" spans="1:49" s="26" customFormat="1">
      <c r="A7" s="231" t="s">
        <v>1678</v>
      </c>
      <c r="B7" s="231">
        <v>1883408</v>
      </c>
      <c r="C7" s="143"/>
      <c r="D7" s="43">
        <v>9191</v>
      </c>
      <c r="E7" s="144">
        <v>10518</v>
      </c>
      <c r="F7" s="145" t="s">
        <v>1822</v>
      </c>
      <c r="G7" s="143">
        <v>428</v>
      </c>
      <c r="H7" s="27">
        <v>152</v>
      </c>
      <c r="I7" s="27">
        <v>473</v>
      </c>
      <c r="J7" s="27">
        <v>492</v>
      </c>
      <c r="K7" s="27">
        <v>499</v>
      </c>
      <c r="L7" s="27"/>
      <c r="M7" s="27"/>
      <c r="N7" s="27"/>
      <c r="O7" s="27"/>
      <c r="P7" s="27"/>
      <c r="Q7" s="27"/>
      <c r="R7" s="27"/>
      <c r="S7" s="26">
        <v>106</v>
      </c>
      <c r="T7" s="26">
        <v>221</v>
      </c>
      <c r="U7" s="26">
        <v>226</v>
      </c>
      <c r="Z7" s="26">
        <v>427</v>
      </c>
      <c r="AA7" s="26">
        <v>257</v>
      </c>
      <c r="AH7" s="26">
        <v>524</v>
      </c>
      <c r="AI7" s="26">
        <v>313</v>
      </c>
    </row>
    <row r="8" spans="1:49" s="26" customFormat="1">
      <c r="A8" s="231" t="s">
        <v>1678</v>
      </c>
      <c r="B8" s="231">
        <v>1896594</v>
      </c>
      <c r="C8" s="143"/>
      <c r="D8" s="43">
        <v>9197</v>
      </c>
      <c r="E8" s="43">
        <v>10630</v>
      </c>
      <c r="F8" s="145" t="s">
        <v>1822</v>
      </c>
      <c r="G8" s="143">
        <v>428</v>
      </c>
      <c r="H8" s="27">
        <v>142</v>
      </c>
      <c r="I8" s="27">
        <v>152</v>
      </c>
      <c r="J8" s="27">
        <v>161</v>
      </c>
      <c r="K8" s="27">
        <v>499</v>
      </c>
      <c r="L8" s="27"/>
      <c r="M8" s="27"/>
      <c r="N8" s="27"/>
      <c r="O8" s="27"/>
      <c r="P8" s="27"/>
      <c r="Q8" s="27"/>
      <c r="R8" s="27"/>
      <c r="S8" s="26">
        <v>106</v>
      </c>
      <c r="T8" s="26">
        <v>222</v>
      </c>
      <c r="Z8" s="26">
        <v>427</v>
      </c>
      <c r="AA8" s="26">
        <v>257</v>
      </c>
    </row>
    <row r="9" spans="1:49" s="26" customFormat="1">
      <c r="A9" s="231" t="s">
        <v>1678</v>
      </c>
      <c r="B9" s="231">
        <v>1864763</v>
      </c>
      <c r="C9" s="143"/>
      <c r="D9" s="43">
        <v>9198</v>
      </c>
      <c r="E9" s="43">
        <v>10406</v>
      </c>
      <c r="F9" s="145" t="s">
        <v>1822</v>
      </c>
      <c r="G9" s="143">
        <v>428</v>
      </c>
      <c r="H9" s="27">
        <v>152</v>
      </c>
      <c r="I9" s="27">
        <v>467</v>
      </c>
      <c r="J9" s="27"/>
      <c r="K9" s="27"/>
      <c r="L9" s="27"/>
      <c r="M9" s="27"/>
      <c r="N9" s="27"/>
      <c r="O9" s="27"/>
      <c r="P9" s="27"/>
      <c r="Q9" s="27"/>
      <c r="R9" s="27"/>
    </row>
    <row r="10" spans="1:49" s="26" customFormat="1">
      <c r="A10" s="231" t="s">
        <v>1678</v>
      </c>
      <c r="B10" s="231">
        <v>1950417</v>
      </c>
      <c r="C10" s="143"/>
      <c r="D10" s="43">
        <v>9238</v>
      </c>
      <c r="E10" s="43">
        <v>11029</v>
      </c>
      <c r="F10" s="145" t="s">
        <v>1822</v>
      </c>
      <c r="G10" s="143">
        <v>428</v>
      </c>
      <c r="H10" s="27">
        <v>152</v>
      </c>
      <c r="I10" s="27">
        <v>151</v>
      </c>
      <c r="J10" s="27">
        <v>153</v>
      </c>
      <c r="K10" s="27">
        <v>161</v>
      </c>
      <c r="L10" s="27">
        <v>473</v>
      </c>
      <c r="M10" s="27">
        <v>492</v>
      </c>
      <c r="N10" s="27">
        <v>499</v>
      </c>
      <c r="O10" s="27"/>
      <c r="P10" s="27"/>
      <c r="Q10" s="27"/>
      <c r="R10" s="27"/>
      <c r="S10" s="26">
        <v>106</v>
      </c>
      <c r="T10" s="26">
        <v>221</v>
      </c>
      <c r="Z10" s="26">
        <v>206</v>
      </c>
      <c r="AA10" s="26">
        <v>19</v>
      </c>
      <c r="AH10" s="26">
        <v>442</v>
      </c>
      <c r="AI10" s="26">
        <v>59</v>
      </c>
    </row>
    <row r="11" spans="1:49" s="26" customFormat="1" ht="12">
      <c r="A11" s="231" t="s">
        <v>1678</v>
      </c>
      <c r="B11" s="231">
        <v>1976191</v>
      </c>
      <c r="C11" s="143"/>
      <c r="D11" s="144">
        <v>9486</v>
      </c>
      <c r="E11" s="144">
        <v>11239</v>
      </c>
      <c r="F11" s="145" t="s">
        <v>1822</v>
      </c>
      <c r="G11" s="143">
        <v>528</v>
      </c>
      <c r="H11" s="27">
        <v>295.5</v>
      </c>
      <c r="I11" s="27"/>
      <c r="J11" s="27"/>
      <c r="K11" s="27"/>
      <c r="L11" s="27"/>
      <c r="M11" s="27"/>
      <c r="N11" s="27"/>
      <c r="O11" s="27"/>
      <c r="P11" s="27"/>
      <c r="Q11" s="27"/>
      <c r="R11" s="27"/>
      <c r="S11" s="26">
        <v>427</v>
      </c>
      <c r="T11" s="26">
        <v>257</v>
      </c>
      <c r="Z11" s="26">
        <v>428</v>
      </c>
      <c r="AA11" s="26">
        <v>480</v>
      </c>
    </row>
    <row r="12" spans="1:49" s="26" customFormat="1">
      <c r="A12" s="231" t="s">
        <v>1678</v>
      </c>
      <c r="B12" s="231">
        <v>1893611</v>
      </c>
      <c r="C12" s="143"/>
      <c r="D12" s="43">
        <v>9912</v>
      </c>
      <c r="E12" s="43">
        <v>10602</v>
      </c>
      <c r="F12" s="145" t="s">
        <v>1724</v>
      </c>
      <c r="G12" s="143">
        <v>427</v>
      </c>
      <c r="H12" s="27">
        <v>257</v>
      </c>
      <c r="I12" s="27"/>
      <c r="J12" s="27"/>
      <c r="K12" s="27"/>
      <c r="L12" s="27"/>
      <c r="M12" s="27"/>
      <c r="N12" s="27"/>
      <c r="O12" s="27"/>
      <c r="P12" s="27"/>
      <c r="Q12" s="27"/>
      <c r="R12" s="27"/>
      <c r="S12" s="26">
        <v>106</v>
      </c>
      <c r="T12" s="26">
        <v>264</v>
      </c>
    </row>
    <row r="13" spans="1:49" s="26" customFormat="1">
      <c r="A13" s="231" t="s">
        <v>1678</v>
      </c>
      <c r="B13" s="231">
        <v>1991527</v>
      </c>
      <c r="C13" s="143"/>
      <c r="D13" s="43">
        <v>10182</v>
      </c>
      <c r="E13" s="43">
        <v>11372</v>
      </c>
      <c r="F13" s="145" t="s">
        <v>1824</v>
      </c>
      <c r="G13" s="143">
        <v>427</v>
      </c>
      <c r="H13" s="27">
        <v>257</v>
      </c>
      <c r="I13" s="27">
        <v>287</v>
      </c>
      <c r="J13" s="27">
        <v>288</v>
      </c>
      <c r="K13" s="27">
        <v>379</v>
      </c>
      <c r="L13" s="27"/>
      <c r="M13" s="27"/>
      <c r="N13" s="27"/>
      <c r="O13" s="27"/>
      <c r="P13" s="27"/>
      <c r="Q13" s="27"/>
      <c r="R13" s="27"/>
    </row>
    <row r="14" spans="1:49" s="26" customFormat="1">
      <c r="A14" s="231" t="s">
        <v>1678</v>
      </c>
      <c r="B14" s="231">
        <v>1991528</v>
      </c>
      <c r="C14" s="143"/>
      <c r="D14" s="43">
        <v>10182</v>
      </c>
      <c r="E14" s="43">
        <v>11372</v>
      </c>
      <c r="F14" s="145" t="s">
        <v>1824</v>
      </c>
      <c r="G14" s="143">
        <v>106</v>
      </c>
      <c r="H14" s="27">
        <v>252</v>
      </c>
      <c r="I14" s="27"/>
      <c r="J14" s="27"/>
      <c r="K14" s="27"/>
      <c r="L14" s="27"/>
      <c r="M14" s="27"/>
      <c r="N14" s="27"/>
      <c r="O14" s="27"/>
      <c r="P14" s="27"/>
      <c r="Q14" s="27"/>
      <c r="R14" s="27"/>
    </row>
    <row r="15" spans="1:49" s="207" customFormat="1">
      <c r="A15" s="231" t="s">
        <v>1572</v>
      </c>
      <c r="B15" s="236">
        <v>1969164</v>
      </c>
      <c r="C15" s="211"/>
      <c r="D15" s="112">
        <v>10182</v>
      </c>
      <c r="E15" s="43">
        <v>11176</v>
      </c>
      <c r="F15" s="42" t="s">
        <v>1573</v>
      </c>
      <c r="G15" s="143"/>
      <c r="H15" s="26"/>
      <c r="I15" s="26"/>
    </row>
    <row r="16" spans="1:49" s="26" customFormat="1">
      <c r="A16" s="231" t="s">
        <v>1678</v>
      </c>
      <c r="B16" s="231">
        <v>1936913</v>
      </c>
      <c r="C16" s="143"/>
      <c r="D16" s="43">
        <v>10405</v>
      </c>
      <c r="E16" s="43">
        <v>10924</v>
      </c>
      <c r="F16" s="145" t="s">
        <v>1725</v>
      </c>
      <c r="G16" s="143">
        <v>527</v>
      </c>
      <c r="H16" s="27">
        <v>603</v>
      </c>
      <c r="I16" s="27"/>
      <c r="J16" s="27"/>
      <c r="K16" s="27"/>
      <c r="L16" s="27"/>
      <c r="M16" s="27"/>
      <c r="N16" s="27"/>
      <c r="O16" s="27"/>
      <c r="P16" s="27"/>
      <c r="Q16" s="27"/>
      <c r="R16" s="27"/>
    </row>
    <row r="17" spans="1:27" s="26" customFormat="1">
      <c r="A17" s="231" t="s">
        <v>1572</v>
      </c>
      <c r="B17" s="236">
        <v>1878316</v>
      </c>
      <c r="C17" s="211"/>
      <c r="D17" s="112">
        <v>10411</v>
      </c>
      <c r="E17" s="43">
        <v>10490</v>
      </c>
      <c r="F17" s="42" t="s">
        <v>1706</v>
      </c>
      <c r="G17" s="143"/>
      <c r="H17" s="27"/>
      <c r="I17" s="27"/>
      <c r="J17" s="27"/>
      <c r="K17" s="27"/>
      <c r="L17" s="27"/>
      <c r="M17" s="27"/>
      <c r="N17" s="27"/>
      <c r="O17" s="27"/>
      <c r="P17" s="27"/>
      <c r="Q17" s="27"/>
      <c r="R17" s="27"/>
    </row>
    <row r="18" spans="1:27" s="26" customFormat="1">
      <c r="A18" s="231" t="s">
        <v>1678</v>
      </c>
      <c r="B18" s="231">
        <v>2037331</v>
      </c>
      <c r="C18" s="143"/>
      <c r="D18" s="43">
        <v>11319</v>
      </c>
      <c r="E18" s="43">
        <v>11792</v>
      </c>
      <c r="F18" s="145" t="s">
        <v>1818</v>
      </c>
      <c r="G18" s="143">
        <v>524</v>
      </c>
      <c r="H18" s="27">
        <v>594</v>
      </c>
      <c r="I18" s="27"/>
      <c r="J18" s="27"/>
      <c r="K18" s="27"/>
      <c r="L18" s="27"/>
      <c r="M18" s="27"/>
      <c r="N18" s="27"/>
      <c r="O18" s="27"/>
      <c r="P18" s="27"/>
      <c r="Q18" s="27"/>
      <c r="R18" s="27"/>
    </row>
    <row r="19" spans="1:27" s="26" customFormat="1">
      <c r="A19" s="231" t="s">
        <v>1678</v>
      </c>
      <c r="B19" s="231">
        <v>2069252</v>
      </c>
      <c r="C19" s="143"/>
      <c r="D19" s="43">
        <v>11319</v>
      </c>
      <c r="E19" s="43">
        <v>12086</v>
      </c>
      <c r="F19" s="145" t="s">
        <v>1818</v>
      </c>
      <c r="G19" s="143">
        <v>524</v>
      </c>
      <c r="H19" s="27">
        <v>313</v>
      </c>
      <c r="I19" s="27">
        <v>501</v>
      </c>
      <c r="J19" s="27"/>
      <c r="K19" s="27"/>
      <c r="L19" s="27"/>
      <c r="M19" s="27"/>
      <c r="N19" s="27"/>
      <c r="O19" s="27"/>
      <c r="P19" s="27"/>
      <c r="Q19" s="27"/>
      <c r="R19" s="27"/>
    </row>
    <row r="20" spans="1:27" s="26" customFormat="1">
      <c r="A20" s="231" t="s">
        <v>1678</v>
      </c>
      <c r="B20" s="231">
        <v>2077112</v>
      </c>
      <c r="C20" s="143"/>
      <c r="D20" s="43">
        <v>11319</v>
      </c>
      <c r="E20" s="43">
        <v>12156</v>
      </c>
      <c r="F20" s="145" t="s">
        <v>1818</v>
      </c>
      <c r="G20" s="143">
        <v>427</v>
      </c>
      <c r="H20" s="27">
        <v>257</v>
      </c>
      <c r="I20" s="27">
        <v>288</v>
      </c>
      <c r="J20" s="27">
        <v>391</v>
      </c>
      <c r="K20" s="27"/>
      <c r="L20" s="27"/>
      <c r="M20" s="27"/>
      <c r="N20" s="27"/>
      <c r="O20" s="27"/>
      <c r="P20" s="27"/>
      <c r="Q20" s="27"/>
      <c r="R20" s="27"/>
      <c r="S20" s="26">
        <v>428</v>
      </c>
      <c r="T20" s="26">
        <v>151</v>
      </c>
      <c r="U20" s="26">
        <v>904</v>
      </c>
    </row>
    <row r="21" spans="1:27" s="26" customFormat="1">
      <c r="A21" s="231" t="s">
        <v>1678</v>
      </c>
      <c r="B21" s="231">
        <v>2124703</v>
      </c>
      <c r="C21" s="143"/>
      <c r="D21" s="43">
        <v>11815</v>
      </c>
      <c r="E21" s="43">
        <v>12513</v>
      </c>
      <c r="F21" s="145" t="s">
        <v>1634</v>
      </c>
      <c r="G21" s="143">
        <v>524</v>
      </c>
      <c r="H21" s="27">
        <v>482</v>
      </c>
      <c r="I21" s="27">
        <v>594</v>
      </c>
      <c r="J21" s="27"/>
      <c r="K21" s="27"/>
      <c r="L21" s="27"/>
      <c r="M21" s="27"/>
      <c r="N21" s="27"/>
      <c r="O21" s="27"/>
      <c r="P21" s="27"/>
      <c r="Q21" s="27"/>
      <c r="R21" s="27"/>
      <c r="S21" s="26">
        <v>106</v>
      </c>
      <c r="T21" s="26">
        <v>221</v>
      </c>
      <c r="U21" s="26">
        <v>227</v>
      </c>
      <c r="Z21" s="26">
        <v>525</v>
      </c>
      <c r="AA21" s="26">
        <v>54.42</v>
      </c>
    </row>
    <row r="22" spans="1:27" s="26" customFormat="1">
      <c r="A22" s="231" t="s">
        <v>1678</v>
      </c>
      <c r="B22" s="231">
        <v>2154954</v>
      </c>
      <c r="C22" s="143"/>
      <c r="D22" s="43">
        <v>12022</v>
      </c>
      <c r="E22" s="43">
        <v>12891</v>
      </c>
      <c r="F22" s="145" t="s">
        <v>1863</v>
      </c>
      <c r="G22" s="143">
        <v>528</v>
      </c>
      <c r="H22" s="27">
        <v>158.5</v>
      </c>
      <c r="I22" s="27"/>
      <c r="J22" s="27"/>
      <c r="K22" s="27"/>
      <c r="L22" s="27"/>
      <c r="M22" s="27"/>
      <c r="N22" s="27"/>
      <c r="O22" s="27"/>
      <c r="P22" s="27"/>
      <c r="Q22" s="27"/>
      <c r="R22" s="27"/>
      <c r="S22" s="26">
        <v>525</v>
      </c>
      <c r="T22" s="26">
        <v>502</v>
      </c>
      <c r="U22" s="26">
        <v>508</v>
      </c>
    </row>
    <row r="23" spans="1:27" s="26" customFormat="1" ht="12">
      <c r="A23" s="146"/>
      <c r="B23" s="143"/>
      <c r="C23" s="143"/>
      <c r="D23" s="143"/>
      <c r="E23" s="143"/>
      <c r="F23" s="145"/>
      <c r="G23" s="143"/>
      <c r="J23" s="27"/>
      <c r="K23" s="27"/>
      <c r="L23" s="27"/>
      <c r="M23" s="27"/>
      <c r="N23" s="27"/>
      <c r="O23" s="27"/>
      <c r="P23" s="27"/>
      <c r="Q23" s="27"/>
      <c r="R23" s="27"/>
    </row>
    <row r="24" spans="1:27" s="26" customFormat="1" ht="12">
      <c r="A24" s="145" t="s">
        <v>2828</v>
      </c>
      <c r="B24" s="146"/>
      <c r="C24" s="146"/>
      <c r="D24" s="143"/>
      <c r="E24" s="143"/>
      <c r="F24" s="145"/>
      <c r="G24" s="143"/>
      <c r="J24" s="27"/>
      <c r="K24" s="27"/>
      <c r="L24" s="27"/>
      <c r="M24" s="27"/>
      <c r="N24" s="27"/>
      <c r="O24" s="27"/>
      <c r="P24" s="27"/>
      <c r="Q24" s="27"/>
      <c r="R24" s="27"/>
    </row>
    <row r="25" spans="1:27">
      <c r="A25" s="143" t="s">
        <v>1678</v>
      </c>
      <c r="B25" s="143" t="s">
        <v>1679</v>
      </c>
      <c r="C25" s="143"/>
      <c r="G25" s="143"/>
      <c r="H25" s="26"/>
      <c r="I25" s="26"/>
    </row>
    <row r="26" spans="1:27">
      <c r="A26" s="143" t="s">
        <v>1678</v>
      </c>
      <c r="B26" s="143" t="s">
        <v>1889</v>
      </c>
      <c r="C26" s="143"/>
      <c r="D26" s="143">
        <v>2154954</v>
      </c>
      <c r="G26" s="143"/>
      <c r="H26" s="26"/>
      <c r="I26" s="26"/>
    </row>
    <row r="27" spans="1:27">
      <c r="A27" s="143" t="s">
        <v>1678</v>
      </c>
      <c r="B27" s="143" t="s">
        <v>1897</v>
      </c>
      <c r="C27" s="143"/>
      <c r="D27" s="143">
        <v>2154954</v>
      </c>
      <c r="G27" s="143"/>
      <c r="H27" s="26"/>
      <c r="I27" s="26"/>
    </row>
    <row r="28" spans="1:27">
      <c r="A28" s="143" t="s">
        <v>1678</v>
      </c>
      <c r="B28" s="143" t="s">
        <v>1784</v>
      </c>
      <c r="C28" s="143"/>
      <c r="D28" s="143">
        <v>2154954</v>
      </c>
      <c r="G28" s="143"/>
      <c r="H28" s="26"/>
      <c r="I28" s="26"/>
    </row>
    <row r="29" spans="1:27">
      <c r="A29" s="143" t="s">
        <v>1678</v>
      </c>
      <c r="B29" s="143" t="s">
        <v>1785</v>
      </c>
      <c r="C29" s="143"/>
      <c r="D29" s="143">
        <v>2077112</v>
      </c>
      <c r="G29" s="143"/>
      <c r="H29" s="26"/>
      <c r="I29" s="26"/>
    </row>
    <row r="30" spans="1:27">
      <c r="A30" s="143" t="s">
        <v>1678</v>
      </c>
      <c r="B30" s="143" t="s">
        <v>1786</v>
      </c>
      <c r="C30" s="143"/>
      <c r="D30" s="143">
        <v>2124703</v>
      </c>
      <c r="G30" s="143"/>
      <c r="H30" s="26"/>
      <c r="I30" s="26"/>
    </row>
    <row r="32" spans="1:27">
      <c r="A32" s="145" t="s">
        <v>1526</v>
      </c>
    </row>
    <row r="33" spans="1:5">
      <c r="A33" s="143" t="s">
        <v>1572</v>
      </c>
      <c r="B33" s="42">
        <v>2236397</v>
      </c>
      <c r="D33" s="112">
        <v>12890</v>
      </c>
      <c r="E33" s="112">
        <v>13598</v>
      </c>
    </row>
    <row r="34" spans="1:5">
      <c r="A34" s="143" t="s">
        <v>1572</v>
      </c>
      <c r="B34" s="42">
        <v>2236398</v>
      </c>
      <c r="D34" s="112">
        <v>12890</v>
      </c>
      <c r="E34" s="112">
        <v>13598</v>
      </c>
    </row>
    <row r="35" spans="1:5">
      <c r="A35" s="143" t="s">
        <v>1572</v>
      </c>
      <c r="B35" s="42">
        <v>2268002</v>
      </c>
      <c r="D35" s="112">
        <v>13055</v>
      </c>
      <c r="E35" s="112">
        <v>13878</v>
      </c>
    </row>
    <row r="36" spans="1:5">
      <c r="A36" s="143" t="s">
        <v>1572</v>
      </c>
      <c r="B36" s="42">
        <v>2268012</v>
      </c>
      <c r="D36" s="112">
        <v>13009</v>
      </c>
      <c r="E36" s="112">
        <v>13878</v>
      </c>
    </row>
    <row r="37" spans="1:5">
      <c r="A37" s="143" t="s">
        <v>1572</v>
      </c>
      <c r="B37" s="42">
        <v>2268022</v>
      </c>
      <c r="D37" s="112">
        <v>12883</v>
      </c>
      <c r="E37" s="112">
        <v>13878</v>
      </c>
    </row>
    <row r="38" spans="1:5">
      <c r="A38" s="143" t="s">
        <v>1572</v>
      </c>
      <c r="B38" s="42">
        <v>2275239</v>
      </c>
      <c r="D38" s="112">
        <v>13055</v>
      </c>
      <c r="E38" s="112">
        <v>13941</v>
      </c>
    </row>
    <row r="39" spans="1:5">
      <c r="A39" s="143" t="s">
        <v>1572</v>
      </c>
      <c r="B39" s="42">
        <v>2283420</v>
      </c>
      <c r="D39" s="112">
        <v>12983</v>
      </c>
      <c r="E39" s="112">
        <v>14018</v>
      </c>
    </row>
    <row r="40" spans="1:5">
      <c r="A40" s="143" t="s">
        <v>1572</v>
      </c>
      <c r="B40" s="42">
        <v>2294703</v>
      </c>
      <c r="D40" s="112">
        <v>12906</v>
      </c>
      <c r="E40" s="112">
        <v>14123</v>
      </c>
    </row>
    <row r="41" spans="1:5">
      <c r="A41" s="143" t="s">
        <v>1572</v>
      </c>
      <c r="B41" s="42">
        <v>2308595</v>
      </c>
      <c r="D41" s="112">
        <v>13082</v>
      </c>
      <c r="E41" s="112">
        <v>14263</v>
      </c>
    </row>
    <row r="42" spans="1:5">
      <c r="A42" s="143" t="s">
        <v>1572</v>
      </c>
      <c r="B42" s="42">
        <v>2319022</v>
      </c>
      <c r="D42" s="112">
        <v>13373</v>
      </c>
      <c r="E42" s="112">
        <v>14375</v>
      </c>
    </row>
    <row r="43" spans="1:5">
      <c r="A43" s="143" t="s">
        <v>1572</v>
      </c>
      <c r="B43" s="42">
        <v>2320513</v>
      </c>
      <c r="D43" s="112">
        <v>13285</v>
      </c>
      <c r="E43" s="112">
        <v>14396</v>
      </c>
    </row>
    <row r="44" spans="1:5">
      <c r="A44" s="143" t="s">
        <v>1572</v>
      </c>
      <c r="B44" s="42">
        <v>2344189</v>
      </c>
      <c r="D44" s="112">
        <v>12906</v>
      </c>
      <c r="E44" s="112">
        <v>14683</v>
      </c>
    </row>
    <row r="45" spans="1:5">
      <c r="A45" s="143" t="s">
        <v>1572</v>
      </c>
      <c r="B45" s="42">
        <v>2344807</v>
      </c>
      <c r="D45" s="112">
        <v>13285</v>
      </c>
      <c r="E45" s="112">
        <v>14690</v>
      </c>
    </row>
    <row r="46" spans="1:5">
      <c r="A46" s="143" t="s">
        <v>1572</v>
      </c>
      <c r="B46" s="42">
        <v>2347303</v>
      </c>
      <c r="D46" s="112">
        <v>13853</v>
      </c>
      <c r="E46" s="112">
        <v>14725</v>
      </c>
    </row>
    <row r="47" spans="1:5">
      <c r="A47" s="143" t="s">
        <v>1572</v>
      </c>
      <c r="B47" s="42">
        <v>2347304</v>
      </c>
      <c r="D47" s="112">
        <v>13853</v>
      </c>
      <c r="E47" s="112">
        <v>14725</v>
      </c>
    </row>
    <row r="48" spans="1:5">
      <c r="A48" s="143" t="s">
        <v>1572</v>
      </c>
      <c r="B48" s="42">
        <v>2373177</v>
      </c>
      <c r="D48" s="112">
        <v>13082</v>
      </c>
      <c r="E48" s="112">
        <v>15075</v>
      </c>
    </row>
    <row r="49" spans="1:5">
      <c r="A49" s="143" t="s">
        <v>1572</v>
      </c>
      <c r="B49" s="42">
        <v>2373211</v>
      </c>
      <c r="D49" s="112">
        <v>13228</v>
      </c>
      <c r="E49" s="112">
        <v>15075</v>
      </c>
    </row>
    <row r="50" spans="1:5">
      <c r="A50" s="143" t="s">
        <v>1572</v>
      </c>
      <c r="B50" s="42">
        <v>2373212</v>
      </c>
      <c r="D50" s="112">
        <v>13870</v>
      </c>
      <c r="E50" s="112">
        <v>15075</v>
      </c>
    </row>
    <row r="51" spans="1:5">
      <c r="A51" s="143" t="s">
        <v>1572</v>
      </c>
      <c r="B51" s="42">
        <v>2381653</v>
      </c>
      <c r="D51" s="112">
        <v>12883</v>
      </c>
      <c r="E51" s="112">
        <v>15194</v>
      </c>
    </row>
    <row r="52" spans="1:5">
      <c r="A52" s="143" t="s">
        <v>1572</v>
      </c>
      <c r="B52" s="42">
        <v>2387424</v>
      </c>
      <c r="D52" s="112">
        <v>14542</v>
      </c>
      <c r="E52" s="112">
        <v>15271</v>
      </c>
    </row>
    <row r="53" spans="1:5">
      <c r="A53" s="143" t="s">
        <v>1572</v>
      </c>
      <c r="B53" s="42">
        <v>2389794</v>
      </c>
      <c r="D53" s="112">
        <v>13902</v>
      </c>
      <c r="E53" s="112">
        <v>15306</v>
      </c>
    </row>
    <row r="54" spans="1:5">
      <c r="A54" s="143" t="s">
        <v>1572</v>
      </c>
      <c r="B54" s="42">
        <v>2389795</v>
      </c>
      <c r="D54" s="112">
        <v>13902</v>
      </c>
      <c r="E54" s="112">
        <v>15306</v>
      </c>
    </row>
    <row r="55" spans="1:5">
      <c r="A55" s="143" t="s">
        <v>1572</v>
      </c>
      <c r="B55" s="42">
        <v>2392346</v>
      </c>
      <c r="D55" s="112">
        <v>13910</v>
      </c>
      <c r="E55" s="112">
        <v>15348</v>
      </c>
    </row>
    <row r="56" spans="1:5">
      <c r="A56" s="143" t="s">
        <v>1572</v>
      </c>
      <c r="B56" s="42">
        <v>2394498</v>
      </c>
      <c r="D56" s="112">
        <v>12906</v>
      </c>
      <c r="E56" s="112">
        <v>15376</v>
      </c>
    </row>
    <row r="57" spans="1:5">
      <c r="A57" s="143" t="s">
        <v>1572</v>
      </c>
      <c r="B57" s="42">
        <v>2394499</v>
      </c>
      <c r="D57" s="112">
        <v>13882</v>
      </c>
      <c r="E57" s="112">
        <v>15376</v>
      </c>
    </row>
    <row r="58" spans="1:5">
      <c r="A58" s="143" t="s">
        <v>1572</v>
      </c>
      <c r="B58" s="42">
        <v>2394500</v>
      </c>
      <c r="D58" s="112">
        <v>13910</v>
      </c>
      <c r="E58" s="112">
        <v>15376</v>
      </c>
    </row>
    <row r="59" spans="1:5">
      <c r="A59" s="143" t="s">
        <v>1572</v>
      </c>
      <c r="B59" s="42">
        <v>2395360</v>
      </c>
      <c r="D59" s="112">
        <v>13870</v>
      </c>
      <c r="E59" s="112">
        <v>15390</v>
      </c>
    </row>
    <row r="60" spans="1:5">
      <c r="A60" s="143" t="s">
        <v>1572</v>
      </c>
      <c r="B60" s="42">
        <v>2395361</v>
      </c>
      <c r="D60" s="112">
        <v>14178</v>
      </c>
      <c r="E60" s="112">
        <v>15390</v>
      </c>
    </row>
    <row r="61" spans="1:5">
      <c r="A61" s="143" t="s">
        <v>1572</v>
      </c>
      <c r="B61" s="42">
        <v>2407623</v>
      </c>
      <c r="D61" s="112">
        <v>13910</v>
      </c>
      <c r="E61" s="112">
        <v>15593</v>
      </c>
    </row>
    <row r="62" spans="1:5">
      <c r="A62" s="143" t="s">
        <v>1572</v>
      </c>
      <c r="B62" s="42">
        <v>2411767</v>
      </c>
      <c r="D62" s="112">
        <v>13894</v>
      </c>
      <c r="E62" s="112">
        <v>15670</v>
      </c>
    </row>
    <row r="63" spans="1:5">
      <c r="A63" s="143" t="s">
        <v>1572</v>
      </c>
      <c r="B63" s="42">
        <v>2414006</v>
      </c>
      <c r="D63" s="112">
        <v>12906</v>
      </c>
      <c r="E63" s="112">
        <v>15712</v>
      </c>
    </row>
    <row r="64" spans="1:5">
      <c r="A64" s="143" t="s">
        <v>1572</v>
      </c>
      <c r="B64" s="42">
        <v>2419238</v>
      </c>
      <c r="D64" s="112">
        <v>14615</v>
      </c>
      <c r="E64" s="112">
        <v>15817</v>
      </c>
    </row>
    <row r="65" spans="1:5">
      <c r="A65" s="143" t="s">
        <v>1572</v>
      </c>
      <c r="B65" s="42">
        <v>2428901</v>
      </c>
      <c r="D65" s="112">
        <v>14370</v>
      </c>
      <c r="E65" s="112">
        <v>15992</v>
      </c>
    </row>
    <row r="66" spans="1:5">
      <c r="A66" s="143" t="s">
        <v>1572</v>
      </c>
      <c r="B66" s="42">
        <v>2431357</v>
      </c>
      <c r="D66" s="112">
        <v>14368</v>
      </c>
      <c r="E66" s="112">
        <v>16034</v>
      </c>
    </row>
    <row r="67" spans="1:5">
      <c r="A67" s="143" t="s">
        <v>1572</v>
      </c>
      <c r="B67" s="42">
        <v>2437369</v>
      </c>
      <c r="D67" s="112">
        <v>15113</v>
      </c>
      <c r="E67" s="112">
        <v>16139</v>
      </c>
    </row>
    <row r="68" spans="1:5">
      <c r="A68" s="143" t="s">
        <v>1572</v>
      </c>
      <c r="B68" s="42">
        <v>2441738</v>
      </c>
      <c r="D68" s="112">
        <v>15804</v>
      </c>
      <c r="E68" s="112">
        <v>16209</v>
      </c>
    </row>
    <row r="69" spans="1:5">
      <c r="A69" s="143" t="s">
        <v>1572</v>
      </c>
      <c r="B69" s="42">
        <v>2441739</v>
      </c>
      <c r="D69" s="112">
        <v>15804</v>
      </c>
      <c r="E69" s="112">
        <v>16209</v>
      </c>
    </row>
    <row r="70" spans="1:5">
      <c r="A70" s="143" t="s">
        <v>1572</v>
      </c>
      <c r="B70" s="42">
        <v>2443212</v>
      </c>
      <c r="D70" s="112">
        <v>14950</v>
      </c>
      <c r="E70" s="112">
        <v>16237</v>
      </c>
    </row>
    <row r="71" spans="1:5">
      <c r="A71" s="143" t="s">
        <v>1572</v>
      </c>
      <c r="B71" s="42">
        <v>2443284</v>
      </c>
      <c r="D71" s="112">
        <v>15137</v>
      </c>
      <c r="E71" s="112">
        <v>16237</v>
      </c>
    </row>
    <row r="72" spans="1:5">
      <c r="A72" s="143" t="s">
        <v>1572</v>
      </c>
      <c r="B72" s="42">
        <v>2455540</v>
      </c>
      <c r="D72" s="112">
        <v>14955</v>
      </c>
      <c r="E72" s="112">
        <v>16412</v>
      </c>
    </row>
    <row r="73" spans="1:5">
      <c r="A73" s="143" t="s">
        <v>1572</v>
      </c>
      <c r="B73" s="42">
        <v>2455541</v>
      </c>
      <c r="D73" s="112">
        <v>15049</v>
      </c>
      <c r="E73" s="112">
        <v>16412</v>
      </c>
    </row>
    <row r="74" spans="1:5">
      <c r="A74" s="143" t="s">
        <v>1572</v>
      </c>
      <c r="B74" s="42">
        <v>2456670</v>
      </c>
      <c r="D74" s="112">
        <v>15200</v>
      </c>
      <c r="E74" s="112">
        <v>16426</v>
      </c>
    </row>
    <row r="75" spans="1:5">
      <c r="A75" s="143" t="s">
        <v>1572</v>
      </c>
      <c r="B75" s="42">
        <v>2456671</v>
      </c>
      <c r="D75" s="112">
        <v>15406</v>
      </c>
      <c r="E75" s="112">
        <v>16426</v>
      </c>
    </row>
    <row r="76" spans="1:5">
      <c r="A76" s="143" t="s">
        <v>1572</v>
      </c>
      <c r="B76" s="42">
        <v>2460485</v>
      </c>
      <c r="D76" s="112">
        <v>15420</v>
      </c>
      <c r="E76" s="112">
        <v>16468</v>
      </c>
    </row>
    <row r="77" spans="1:5">
      <c r="A77" s="143" t="s">
        <v>1572</v>
      </c>
      <c r="B77" s="42">
        <v>2465243</v>
      </c>
      <c r="D77" s="112">
        <v>13902</v>
      </c>
      <c r="E77" s="112">
        <v>16517</v>
      </c>
    </row>
    <row r="78" spans="1:5">
      <c r="A78" s="143" t="s">
        <v>1572</v>
      </c>
      <c r="B78" s="42">
        <v>2468724</v>
      </c>
      <c r="D78" s="112">
        <v>15420</v>
      </c>
      <c r="E78" s="112">
        <v>16559</v>
      </c>
    </row>
    <row r="79" spans="1:5">
      <c r="A79" s="143" t="s">
        <v>1572</v>
      </c>
      <c r="B79" s="42">
        <v>2468989</v>
      </c>
      <c r="D79" s="112">
        <v>15135</v>
      </c>
      <c r="E79" s="112">
        <v>16559</v>
      </c>
    </row>
    <row r="80" spans="1:5">
      <c r="A80" s="143" t="s">
        <v>1572</v>
      </c>
      <c r="B80" s="42">
        <v>2479298</v>
      </c>
      <c r="D80" s="112">
        <v>15135</v>
      </c>
      <c r="E80" s="112">
        <v>16664</v>
      </c>
    </row>
    <row r="81" spans="1:7" s="209" customFormat="1">
      <c r="A81" s="143"/>
      <c r="B81" s="42"/>
      <c r="C81" s="42"/>
      <c r="D81" s="112"/>
      <c r="E81" s="112"/>
      <c r="F81" s="42"/>
      <c r="G81" s="42"/>
    </row>
    <row r="82" spans="1:7">
      <c r="A82" s="145" t="s">
        <v>141</v>
      </c>
    </row>
    <row r="83" spans="1:7">
      <c r="A83" s="143" t="s">
        <v>2737</v>
      </c>
      <c r="B83" s="273">
        <v>2510967</v>
      </c>
      <c r="C83" s="274"/>
      <c r="D83" s="278">
        <v>15656</v>
      </c>
      <c r="E83" s="278">
        <v>16965</v>
      </c>
    </row>
    <row r="84" spans="1:7">
      <c r="A84" s="143" t="s">
        <v>2737</v>
      </c>
      <c r="B84" s="273">
        <v>2613393</v>
      </c>
      <c r="C84" s="274"/>
      <c r="D84" s="278">
        <v>15656</v>
      </c>
      <c r="E84" s="278">
        <v>17819</v>
      </c>
    </row>
    <row r="85" spans="1:7">
      <c r="A85" s="143" t="s">
        <v>2737</v>
      </c>
      <c r="B85" s="273">
        <v>2510966</v>
      </c>
      <c r="C85" s="274"/>
      <c r="D85" s="278">
        <v>15656</v>
      </c>
      <c r="E85" s="278">
        <v>16965</v>
      </c>
    </row>
    <row r="86" spans="1:7">
      <c r="A86" s="143" t="s">
        <v>2737</v>
      </c>
      <c r="B86" s="273">
        <v>2486232</v>
      </c>
      <c r="C86" s="274"/>
      <c r="D86" s="278">
        <v>15814</v>
      </c>
      <c r="E86" s="278">
        <v>16734</v>
      </c>
    </row>
    <row r="87" spans="1:7">
      <c r="A87" s="143" t="s">
        <v>2737</v>
      </c>
      <c r="B87" s="273">
        <v>2600818</v>
      </c>
      <c r="C87" s="274"/>
      <c r="D87" s="278">
        <v>15966</v>
      </c>
      <c r="E87" s="278">
        <v>17700</v>
      </c>
    </row>
    <row r="88" spans="1:7">
      <c r="A88" s="143" t="s">
        <v>2737</v>
      </c>
      <c r="B88" s="273">
        <v>2668799</v>
      </c>
      <c r="C88" s="274"/>
      <c r="D88" s="278">
        <v>16649</v>
      </c>
      <c r="E88" s="278">
        <v>18302</v>
      </c>
    </row>
    <row r="89" spans="1:7">
      <c r="A89" s="143" t="s">
        <v>2737</v>
      </c>
      <c r="B89" s="273">
        <v>2576290</v>
      </c>
      <c r="C89" s="274"/>
      <c r="D89" s="278">
        <v>16799</v>
      </c>
      <c r="E89" s="278">
        <v>17497</v>
      </c>
    </row>
    <row r="90" spans="1:7">
      <c r="A90" s="143" t="s">
        <v>2737</v>
      </c>
      <c r="B90" s="273">
        <v>2671062</v>
      </c>
      <c r="C90" s="274"/>
      <c r="D90" s="278">
        <v>17104</v>
      </c>
      <c r="E90" s="278">
        <v>18323</v>
      </c>
    </row>
    <row r="91" spans="1:7">
      <c r="A91" s="143" t="s">
        <v>2737</v>
      </c>
      <c r="B91" s="273">
        <v>2725363</v>
      </c>
      <c r="C91" s="274"/>
      <c r="D91" s="278">
        <v>17522</v>
      </c>
      <c r="E91" s="278">
        <v>18960</v>
      </c>
    </row>
    <row r="92" spans="1:7">
      <c r="B92" s="274"/>
      <c r="C92" s="274"/>
      <c r="D92" s="274"/>
      <c r="E92" s="274"/>
    </row>
    <row r="102" spans="1:7">
      <c r="A102" s="126" t="s">
        <v>1757</v>
      </c>
    </row>
    <row r="103" spans="1:7">
      <c r="A103" s="145" t="s">
        <v>1659</v>
      </c>
    </row>
    <row r="104" spans="1:7">
      <c r="A104" s="42" t="s">
        <v>1874</v>
      </c>
    </row>
    <row r="105" spans="1:7">
      <c r="A105" s="42" t="s">
        <v>1845</v>
      </c>
    </row>
    <row r="106" spans="1:7">
      <c r="A106" s="42" t="s">
        <v>1931</v>
      </c>
    </row>
    <row r="107" spans="1:7">
      <c r="A107" s="42" t="s">
        <v>1853</v>
      </c>
    </row>
    <row r="108" spans="1:7" s="203" customFormat="1">
      <c r="A108" s="42" t="s">
        <v>169</v>
      </c>
      <c r="B108" s="42"/>
      <c r="C108" s="42"/>
      <c r="D108" s="42"/>
      <c r="E108" s="42"/>
      <c r="F108" s="42"/>
      <c r="G108" s="42"/>
    </row>
    <row r="111" spans="1:7">
      <c r="A111" s="42" t="s">
        <v>1338</v>
      </c>
    </row>
    <row r="112" spans="1:7">
      <c r="A112" s="42" t="s">
        <v>1365</v>
      </c>
    </row>
    <row r="113" spans="1:1">
      <c r="A113" s="42" t="s">
        <v>1366</v>
      </c>
    </row>
    <row r="114" spans="1:1">
      <c r="A114" s="42" t="s">
        <v>1367</v>
      </c>
    </row>
    <row r="115" spans="1:1">
      <c r="A115" s="42" t="s">
        <v>1368</v>
      </c>
    </row>
    <row r="116" spans="1:1">
      <c r="A116" s="42" t="s">
        <v>1369</v>
      </c>
    </row>
    <row r="117" spans="1:1">
      <c r="A117" s="42" t="s">
        <v>1370</v>
      </c>
    </row>
    <row r="118" spans="1:1">
      <c r="A118" s="42" t="s">
        <v>1371</v>
      </c>
    </row>
    <row r="119" spans="1:1">
      <c r="A119" s="42" t="s">
        <v>1375</v>
      </c>
    </row>
    <row r="120" spans="1:1">
      <c r="A120" s="42" t="s">
        <v>1376</v>
      </c>
    </row>
    <row r="121" spans="1:1">
      <c r="A121" s="42" t="s">
        <v>1377</v>
      </c>
    </row>
    <row r="123" spans="1:1">
      <c r="A123" s="126" t="s">
        <v>1407</v>
      </c>
    </row>
    <row r="127" spans="1:1">
      <c r="A127" s="126" t="s">
        <v>1411</v>
      </c>
    </row>
  </sheetData>
  <sheetCalcPr fullCalcOnLoad="1"/>
  <sortState ref="A83:E91">
    <sortCondition ref="D83:D91"/>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W51"/>
  <sheetViews>
    <sheetView workbookViewId="0">
      <selection activeCell="F4" sqref="F4"/>
    </sheetView>
  </sheetViews>
  <sheetFormatPr baseColWidth="10" defaultColWidth="11" defaultRowHeight="13"/>
  <cols>
    <col min="1" max="3" width="11" style="42"/>
  </cols>
  <sheetData>
    <row r="1" spans="1:49" s="12" customFormat="1" ht="24">
      <c r="A1" s="52" t="s">
        <v>1869</v>
      </c>
      <c r="B1" s="52" t="s">
        <v>1747</v>
      </c>
      <c r="C1" s="52"/>
      <c r="D1" s="1" t="s">
        <v>1774</v>
      </c>
      <c r="E1" s="1" t="s">
        <v>1777</v>
      </c>
      <c r="F1" s="1" t="s">
        <v>1787</v>
      </c>
      <c r="G1" s="2" t="s">
        <v>1631</v>
      </c>
      <c r="H1" s="3" t="s">
        <v>1632</v>
      </c>
      <c r="I1" s="4" t="s">
        <v>1797</v>
      </c>
      <c r="J1" s="4" t="s">
        <v>1689</v>
      </c>
      <c r="K1" s="4" t="s">
        <v>1633</v>
      </c>
      <c r="L1" s="4" t="s">
        <v>1827</v>
      </c>
      <c r="M1" s="4" t="s">
        <v>1828</v>
      </c>
      <c r="N1" s="4" t="s">
        <v>1692</v>
      </c>
      <c r="O1" s="4" t="s">
        <v>1793</v>
      </c>
      <c r="P1" s="4" t="s">
        <v>1638</v>
      </c>
      <c r="Q1" s="4" t="s">
        <v>1801</v>
      </c>
      <c r="R1" s="4" t="s">
        <v>1700</v>
      </c>
      <c r="S1" s="5" t="s">
        <v>1683</v>
      </c>
      <c r="T1" s="6" t="s">
        <v>1684</v>
      </c>
      <c r="U1" s="6" t="s">
        <v>1900</v>
      </c>
      <c r="V1" s="6" t="s">
        <v>1901</v>
      </c>
      <c r="W1" s="6" t="s">
        <v>1685</v>
      </c>
      <c r="X1" s="6" t="s">
        <v>1686</v>
      </c>
      <c r="Y1" s="7" t="s">
        <v>1687</v>
      </c>
      <c r="Z1" s="8" t="s">
        <v>1688</v>
      </c>
      <c r="AA1" s="9" t="s">
        <v>1810</v>
      </c>
      <c r="AB1" s="9" t="s">
        <v>1728</v>
      </c>
      <c r="AC1" s="9" t="s">
        <v>1763</v>
      </c>
      <c r="AD1" s="9" t="s">
        <v>1764</v>
      </c>
      <c r="AE1" s="9" t="s">
        <v>1860</v>
      </c>
      <c r="AF1" s="9" t="s">
        <v>1861</v>
      </c>
      <c r="AG1" s="9" t="s">
        <v>1693</v>
      </c>
      <c r="AH1" s="5" t="s">
        <v>1694</v>
      </c>
      <c r="AI1" s="6" t="s">
        <v>1862</v>
      </c>
      <c r="AJ1" s="6" t="s">
        <v>1744</v>
      </c>
      <c r="AK1" s="7" t="s">
        <v>1758</v>
      </c>
      <c r="AL1" s="7" t="s">
        <v>1921</v>
      </c>
      <c r="AM1" s="7" t="s">
        <v>1835</v>
      </c>
      <c r="AN1" s="7" t="s">
        <v>1836</v>
      </c>
      <c r="AO1" s="7" t="s">
        <v>1893</v>
      </c>
      <c r="AP1" s="7" t="s">
        <v>1894</v>
      </c>
      <c r="AQ1" s="10" t="s">
        <v>1895</v>
      </c>
      <c r="AR1" s="10" t="s">
        <v>1745</v>
      </c>
      <c r="AS1" s="10" t="s">
        <v>1751</v>
      </c>
      <c r="AT1" s="11" t="s">
        <v>1746</v>
      </c>
      <c r="AU1" s="1" t="s">
        <v>1899</v>
      </c>
      <c r="AV1" s="1" t="s">
        <v>1680</v>
      </c>
      <c r="AW1" s="1" t="s">
        <v>1681</v>
      </c>
    </row>
    <row r="2" spans="1:49" s="12" customFormat="1" ht="12">
      <c r="A2" s="58" t="s">
        <v>1807</v>
      </c>
      <c r="B2" s="52"/>
      <c r="C2" s="52"/>
      <c r="D2" s="1"/>
      <c r="E2" s="1"/>
      <c r="F2" s="1"/>
      <c r="G2" s="50"/>
      <c r="H2" s="50"/>
      <c r="I2" s="4"/>
      <c r="J2" s="4"/>
      <c r="K2" s="4"/>
      <c r="L2" s="4"/>
      <c r="M2" s="4"/>
      <c r="N2" s="4"/>
      <c r="O2" s="4"/>
      <c r="P2" s="4"/>
      <c r="Q2" s="4"/>
      <c r="R2" s="4"/>
      <c r="S2" s="6"/>
      <c r="T2" s="6"/>
      <c r="U2" s="6"/>
      <c r="V2" s="6"/>
      <c r="W2" s="6"/>
      <c r="X2" s="6"/>
      <c r="Y2" s="6"/>
      <c r="Z2" s="9"/>
      <c r="AA2" s="9"/>
      <c r="AB2" s="9"/>
      <c r="AC2" s="9"/>
      <c r="AD2" s="9"/>
      <c r="AE2" s="9"/>
      <c r="AF2" s="9"/>
      <c r="AG2" s="9"/>
      <c r="AH2" s="6"/>
      <c r="AI2" s="6"/>
      <c r="AJ2" s="6"/>
      <c r="AK2" s="6"/>
      <c r="AL2" s="6"/>
      <c r="AM2" s="6"/>
      <c r="AN2" s="6"/>
      <c r="AO2" s="6"/>
      <c r="AP2" s="6"/>
      <c r="AQ2" s="10"/>
      <c r="AR2" s="10"/>
      <c r="AS2" s="10"/>
      <c r="AT2" s="51"/>
      <c r="AU2" s="1"/>
      <c r="AV2" s="1"/>
      <c r="AW2" s="1"/>
    </row>
    <row r="3" spans="1:49" s="26" customFormat="1">
      <c r="A3" s="231" t="s">
        <v>1622</v>
      </c>
      <c r="B3" s="231">
        <v>2150102</v>
      </c>
      <c r="C3" s="231" t="s">
        <v>593</v>
      </c>
      <c r="D3" s="40">
        <v>10378</v>
      </c>
      <c r="E3" s="40">
        <v>12849</v>
      </c>
      <c r="F3" s="33" t="s">
        <v>1592</v>
      </c>
      <c r="G3" s="27">
        <v>335</v>
      </c>
      <c r="H3" s="27">
        <v>6</v>
      </c>
      <c r="I3" s="27"/>
      <c r="J3" s="27"/>
      <c r="K3" s="27"/>
      <c r="L3" s="27"/>
      <c r="M3" s="27"/>
      <c r="N3" s="27"/>
      <c r="O3" s="27"/>
      <c r="P3" s="27"/>
      <c r="Q3" s="27"/>
      <c r="R3" s="27"/>
    </row>
    <row r="4" spans="1:49" s="26" customFormat="1" ht="12">
      <c r="A4" s="231" t="s">
        <v>1622</v>
      </c>
      <c r="B4" s="231">
        <v>2176227</v>
      </c>
      <c r="C4" s="231" t="s">
        <v>593</v>
      </c>
      <c r="D4" s="35">
        <v>10421</v>
      </c>
      <c r="E4" s="35">
        <v>13073</v>
      </c>
      <c r="F4" s="33" t="s">
        <v>800</v>
      </c>
      <c r="G4" s="27">
        <v>337</v>
      </c>
      <c r="H4" s="27">
        <v>179</v>
      </c>
      <c r="I4" s="27">
        <v>172</v>
      </c>
      <c r="J4" s="27">
        <v>217</v>
      </c>
      <c r="K4" s="27">
        <v>249</v>
      </c>
      <c r="L4" s="27"/>
      <c r="M4" s="27"/>
      <c r="N4" s="27"/>
      <c r="O4" s="27"/>
      <c r="P4" s="27"/>
      <c r="Q4" s="27"/>
      <c r="R4" s="27"/>
    </row>
    <row r="5" spans="1:49" s="146" customFormat="1" ht="12">
      <c r="A5" s="143"/>
      <c r="B5" s="143"/>
      <c r="C5" s="143"/>
      <c r="D5" s="144"/>
      <c r="E5" s="144"/>
      <c r="F5" s="145"/>
      <c r="G5" s="143"/>
      <c r="H5" s="143"/>
      <c r="I5" s="143"/>
      <c r="J5" s="143"/>
      <c r="K5" s="143"/>
      <c r="L5" s="143"/>
      <c r="M5" s="143"/>
      <c r="N5" s="143"/>
      <c r="O5" s="143"/>
      <c r="P5" s="143"/>
      <c r="Q5" s="143"/>
      <c r="R5" s="143"/>
    </row>
    <row r="7" spans="1:49">
      <c r="A7" s="42" t="s">
        <v>728</v>
      </c>
    </row>
    <row r="8" spans="1:49">
      <c r="A8" s="42" t="s">
        <v>768</v>
      </c>
    </row>
    <row r="9" spans="1:49">
      <c r="A9" s="42" t="s">
        <v>769</v>
      </c>
    </row>
    <row r="10" spans="1:49">
      <c r="A10" s="42" t="s">
        <v>770</v>
      </c>
    </row>
    <row r="11" spans="1:49">
      <c r="A11" s="42" t="s">
        <v>1368</v>
      </c>
    </row>
    <row r="12" spans="1:49">
      <c r="A12" s="42" t="s">
        <v>1369</v>
      </c>
    </row>
    <row r="13" spans="1:49">
      <c r="A13" s="42" t="s">
        <v>1370</v>
      </c>
    </row>
    <row r="14" spans="1:49">
      <c r="A14" s="42" t="s">
        <v>767</v>
      </c>
    </row>
    <row r="15" spans="1:49">
      <c r="A15" s="42" t="s">
        <v>729</v>
      </c>
    </row>
    <row r="16" spans="1:49">
      <c r="A16" s="42" t="s">
        <v>755</v>
      </c>
    </row>
    <row r="17" spans="1:3">
      <c r="A17" s="42" t="s">
        <v>46</v>
      </c>
    </row>
    <row r="19" spans="1:3">
      <c r="A19" s="126" t="s">
        <v>1407</v>
      </c>
    </row>
    <row r="23" spans="1:3">
      <c r="A23" s="126" t="s">
        <v>1411</v>
      </c>
    </row>
    <row r="24" spans="1:3" s="123" customFormat="1">
      <c r="A24" s="258" t="s">
        <v>771</v>
      </c>
      <c r="B24" s="42">
        <v>1938</v>
      </c>
      <c r="C24" s="42"/>
    </row>
    <row r="25" spans="1:3">
      <c r="A25" s="42" t="s">
        <v>852</v>
      </c>
      <c r="B25" s="42">
        <v>1938</v>
      </c>
    </row>
    <row r="27" spans="1:3">
      <c r="A27" s="126" t="s">
        <v>1646</v>
      </c>
    </row>
    <row r="28" spans="1:3">
      <c r="A28" s="42" t="s">
        <v>1612</v>
      </c>
      <c r="B28" s="43">
        <v>13223</v>
      </c>
      <c r="C28" s="43"/>
    </row>
    <row r="29" spans="1:3">
      <c r="A29" s="42" t="s">
        <v>1564</v>
      </c>
      <c r="B29" s="43">
        <v>13304</v>
      </c>
      <c r="C29" s="43"/>
    </row>
    <row r="30" spans="1:3">
      <c r="A30" s="42" t="s">
        <v>1565</v>
      </c>
      <c r="B30" s="43">
        <v>13312</v>
      </c>
      <c r="C30" s="43"/>
    </row>
    <row r="31" spans="1:3">
      <c r="A31" s="42" t="s">
        <v>1566</v>
      </c>
      <c r="B31" s="43">
        <v>13318</v>
      </c>
      <c r="C31" s="43"/>
    </row>
    <row r="32" spans="1:3">
      <c r="A32" s="42" t="s">
        <v>1864</v>
      </c>
      <c r="B32" s="43">
        <v>13468</v>
      </c>
      <c r="C32" s="43"/>
    </row>
    <row r="33" spans="1:3">
      <c r="A33" s="42" t="s">
        <v>1865</v>
      </c>
      <c r="B33" s="43">
        <v>13468</v>
      </c>
      <c r="C33" s="43"/>
    </row>
    <row r="34" spans="1:3">
      <c r="A34" s="42" t="s">
        <v>1628</v>
      </c>
      <c r="B34" s="43">
        <v>13534</v>
      </c>
      <c r="C34" s="43"/>
    </row>
    <row r="35" spans="1:3">
      <c r="A35" s="42" t="s">
        <v>1629</v>
      </c>
      <c r="B35" s="43">
        <v>13534</v>
      </c>
      <c r="C35" s="43"/>
    </row>
    <row r="36" spans="1:3">
      <c r="A36" s="42" t="s">
        <v>1630</v>
      </c>
      <c r="B36" s="43">
        <v>14410</v>
      </c>
      <c r="C36" s="43"/>
    </row>
    <row r="37" spans="1:3">
      <c r="A37" s="42" t="s">
        <v>1868</v>
      </c>
      <c r="B37" s="43">
        <v>14693</v>
      </c>
      <c r="C37" s="43"/>
    </row>
    <row r="38" spans="1:3" s="123" customFormat="1">
      <c r="A38" s="42"/>
      <c r="B38" s="43"/>
      <c r="C38" s="43"/>
    </row>
    <row r="39" spans="1:3" s="123" customFormat="1">
      <c r="A39" s="42"/>
      <c r="B39" s="43"/>
      <c r="C39" s="43"/>
    </row>
    <row r="40" spans="1:3">
      <c r="A40" s="126" t="s">
        <v>798</v>
      </c>
    </row>
    <row r="41" spans="1:3" s="123" customFormat="1" ht="15">
      <c r="A41" s="23" t="s">
        <v>1563</v>
      </c>
      <c r="B41" s="42"/>
      <c r="C41" s="42"/>
    </row>
    <row r="42" spans="1:3" s="123" customFormat="1">
      <c r="A42" s="42" t="s">
        <v>1562</v>
      </c>
      <c r="B42" s="42"/>
      <c r="C42" s="42"/>
    </row>
    <row r="43" spans="1:3" s="123" customFormat="1">
      <c r="A43" s="42" t="s">
        <v>1621</v>
      </c>
      <c r="B43" s="42"/>
      <c r="C43" s="42"/>
    </row>
    <row r="44" spans="1:3" s="123" customFormat="1">
      <c r="A44" s="42" t="s">
        <v>1877</v>
      </c>
      <c r="B44" s="42"/>
      <c r="C44" s="42"/>
    </row>
    <row r="45" spans="1:3" s="123" customFormat="1">
      <c r="A45" s="215" t="s">
        <v>1925</v>
      </c>
      <c r="B45" s="42"/>
      <c r="C45" s="42"/>
    </row>
    <row r="46" spans="1:3" s="123" customFormat="1">
      <c r="A46" s="215" t="s">
        <v>2867</v>
      </c>
      <c r="B46" s="42"/>
      <c r="C46" s="42"/>
    </row>
    <row r="47" spans="1:3" s="204" customFormat="1">
      <c r="A47" s="215" t="s">
        <v>2772</v>
      </c>
      <c r="B47" s="42"/>
      <c r="C47" s="42"/>
    </row>
    <row r="48" spans="1:3" s="123" customFormat="1">
      <c r="A48" s="215"/>
      <c r="B48" s="42"/>
      <c r="C48" s="42"/>
    </row>
    <row r="49" spans="1:18">
      <c r="A49" s="185" t="s">
        <v>1898</v>
      </c>
    </row>
    <row r="50" spans="1:18" s="26" customFormat="1">
      <c r="A50" s="143" t="s">
        <v>1622</v>
      </c>
      <c r="B50" s="143">
        <v>1781876</v>
      </c>
      <c r="C50" s="143"/>
      <c r="D50" s="40">
        <v>9328</v>
      </c>
      <c r="E50" s="35">
        <v>9818</v>
      </c>
      <c r="F50" s="33" t="s">
        <v>1593</v>
      </c>
      <c r="G50" s="27">
        <v>337</v>
      </c>
      <c r="H50" s="27">
        <v>203</v>
      </c>
      <c r="I50" s="27">
        <v>196</v>
      </c>
      <c r="J50" s="27">
        <v>212</v>
      </c>
      <c r="K50" s="27"/>
      <c r="L50" s="27"/>
      <c r="M50" s="27"/>
      <c r="N50" s="27"/>
      <c r="O50" s="27"/>
      <c r="P50" s="27"/>
      <c r="Q50" s="27"/>
      <c r="R50" s="27"/>
    </row>
    <row r="51" spans="1:18">
      <c r="A51" s="143" t="s">
        <v>1622</v>
      </c>
      <c r="B51" s="143">
        <v>1821761</v>
      </c>
      <c r="C51" s="143"/>
      <c r="D51" s="40">
        <v>8443</v>
      </c>
    </row>
  </sheetData>
  <sheetCalcPr fullCalcOnLoad="1"/>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W68"/>
  <sheetViews>
    <sheetView topLeftCell="A16" workbookViewId="0">
      <selection activeCell="A30" sqref="A30"/>
    </sheetView>
  </sheetViews>
  <sheetFormatPr baseColWidth="10" defaultRowHeight="13"/>
  <cols>
    <col min="1" max="3" width="10.7109375" style="42"/>
    <col min="4" max="16384" width="10.7109375" style="115"/>
  </cols>
  <sheetData>
    <row r="1" spans="1:49" s="87" customFormat="1" ht="39">
      <c r="A1" s="100" t="s">
        <v>1869</v>
      </c>
      <c r="B1" s="100" t="s">
        <v>1747</v>
      </c>
      <c r="C1" s="100" t="s">
        <v>1175</v>
      </c>
      <c r="D1" s="82" t="s">
        <v>2174</v>
      </c>
      <c r="E1" s="82" t="s">
        <v>2022</v>
      </c>
      <c r="F1" s="82" t="s">
        <v>2023</v>
      </c>
      <c r="G1" s="90" t="s">
        <v>1631</v>
      </c>
      <c r="H1" s="91" t="s">
        <v>1632</v>
      </c>
      <c r="I1" s="92" t="s">
        <v>1797</v>
      </c>
      <c r="J1" s="92" t="s">
        <v>1689</v>
      </c>
      <c r="K1" s="92" t="s">
        <v>1633</v>
      </c>
      <c r="L1" s="92" t="s">
        <v>1827</v>
      </c>
      <c r="M1" s="92" t="s">
        <v>1828</v>
      </c>
      <c r="N1" s="92" t="s">
        <v>1692</v>
      </c>
      <c r="O1" s="92" t="s">
        <v>1793</v>
      </c>
      <c r="P1" s="92" t="s">
        <v>1638</v>
      </c>
      <c r="Q1" s="92" t="s">
        <v>1801</v>
      </c>
      <c r="R1" s="92" t="s">
        <v>1700</v>
      </c>
      <c r="S1" s="93" t="s">
        <v>1683</v>
      </c>
      <c r="T1" s="94" t="s">
        <v>1684</v>
      </c>
      <c r="U1" s="94" t="s">
        <v>1900</v>
      </c>
      <c r="V1" s="94" t="s">
        <v>1901</v>
      </c>
      <c r="W1" s="94" t="s">
        <v>1685</v>
      </c>
      <c r="X1" s="94" t="s">
        <v>1686</v>
      </c>
      <c r="Y1" s="95" t="s">
        <v>1687</v>
      </c>
      <c r="Z1" s="96" t="s">
        <v>1688</v>
      </c>
      <c r="AA1" s="97" t="s">
        <v>1810</v>
      </c>
      <c r="AB1" s="97" t="s">
        <v>1728</v>
      </c>
      <c r="AC1" s="97" t="s">
        <v>1763</v>
      </c>
      <c r="AD1" s="97" t="s">
        <v>1764</v>
      </c>
      <c r="AE1" s="97" t="s">
        <v>1860</v>
      </c>
      <c r="AF1" s="97" t="s">
        <v>1861</v>
      </c>
      <c r="AG1" s="97" t="s">
        <v>1693</v>
      </c>
      <c r="AH1" s="93" t="s">
        <v>1694</v>
      </c>
      <c r="AI1" s="94" t="s">
        <v>1862</v>
      </c>
      <c r="AJ1" s="94" t="s">
        <v>1744</v>
      </c>
      <c r="AK1" s="95" t="s">
        <v>1758</v>
      </c>
      <c r="AL1" s="95" t="s">
        <v>1921</v>
      </c>
      <c r="AM1" s="95" t="s">
        <v>1835</v>
      </c>
      <c r="AN1" s="95" t="s">
        <v>1836</v>
      </c>
      <c r="AO1" s="95" t="s">
        <v>1893</v>
      </c>
      <c r="AP1" s="95" t="s">
        <v>1894</v>
      </c>
      <c r="AQ1" s="98" t="s">
        <v>1895</v>
      </c>
      <c r="AR1" s="98" t="s">
        <v>1745</v>
      </c>
      <c r="AS1" s="98" t="s">
        <v>2193</v>
      </c>
      <c r="AT1" s="99" t="s">
        <v>1746</v>
      </c>
      <c r="AU1" s="82" t="s">
        <v>1899</v>
      </c>
      <c r="AV1" s="82" t="s">
        <v>2194</v>
      </c>
      <c r="AW1" s="82" t="s">
        <v>2195</v>
      </c>
    </row>
    <row r="2" spans="1:49">
      <c r="A2" s="42" t="s">
        <v>873</v>
      </c>
    </row>
    <row r="3" spans="1:49">
      <c r="A3" s="220" t="s">
        <v>2312</v>
      </c>
      <c r="B3" s="220">
        <v>1739049</v>
      </c>
      <c r="C3" s="221" t="s">
        <v>1176</v>
      </c>
      <c r="D3" s="112">
        <v>7474</v>
      </c>
      <c r="E3" s="112">
        <v>9475</v>
      </c>
      <c r="F3" s="42" t="s">
        <v>2314</v>
      </c>
    </row>
    <row r="4" spans="1:49">
      <c r="A4" s="220" t="s">
        <v>2312</v>
      </c>
      <c r="B4" s="220">
        <v>1685192</v>
      </c>
      <c r="C4" s="221" t="s">
        <v>1176</v>
      </c>
      <c r="D4" s="112">
        <v>7930</v>
      </c>
      <c r="E4" s="112">
        <v>9034</v>
      </c>
      <c r="F4" s="42" t="s">
        <v>2313</v>
      </c>
    </row>
    <row r="5" spans="1:49">
      <c r="A5" s="220" t="s">
        <v>2312</v>
      </c>
      <c r="B5" s="220">
        <v>1747904</v>
      </c>
      <c r="C5" s="221" t="s">
        <v>1176</v>
      </c>
      <c r="D5" s="112">
        <v>8499</v>
      </c>
      <c r="E5" s="112">
        <v>9545</v>
      </c>
      <c r="F5" s="109" t="s">
        <v>2392</v>
      </c>
    </row>
    <row r="6" spans="1:49">
      <c r="A6" s="220" t="s">
        <v>2312</v>
      </c>
      <c r="B6" s="220">
        <v>2041638</v>
      </c>
      <c r="C6" s="221" t="s">
        <v>1176</v>
      </c>
      <c r="D6" s="112">
        <v>9296</v>
      </c>
      <c r="E6" s="112">
        <v>11827</v>
      </c>
      <c r="F6" s="109" t="s">
        <v>2316</v>
      </c>
    </row>
    <row r="7" spans="1:49">
      <c r="A7" s="220" t="s">
        <v>2312</v>
      </c>
      <c r="B7" s="220">
        <v>2063170</v>
      </c>
      <c r="C7" s="221" t="s">
        <v>1176</v>
      </c>
      <c r="D7" s="112">
        <v>9598</v>
      </c>
      <c r="E7" s="112">
        <v>12030</v>
      </c>
      <c r="F7" s="109" t="s">
        <v>2445</v>
      </c>
    </row>
    <row r="8" spans="1:49">
      <c r="A8" s="220" t="s">
        <v>2312</v>
      </c>
      <c r="B8" s="220">
        <v>1935433</v>
      </c>
      <c r="C8" s="221" t="s">
        <v>1176</v>
      </c>
      <c r="D8" s="112">
        <v>9848</v>
      </c>
      <c r="E8" s="112">
        <v>10910</v>
      </c>
      <c r="F8" s="109" t="s">
        <v>2391</v>
      </c>
    </row>
    <row r="9" spans="1:49">
      <c r="A9" s="220" t="s">
        <v>2312</v>
      </c>
      <c r="B9" s="220">
        <v>1953922</v>
      </c>
      <c r="C9" s="221" t="s">
        <v>1176</v>
      </c>
      <c r="D9" s="112">
        <v>9981</v>
      </c>
      <c r="E9" s="112">
        <v>11057</v>
      </c>
      <c r="F9" s="109" t="s">
        <v>2391</v>
      </c>
    </row>
    <row r="10" spans="1:49">
      <c r="A10" s="220" t="s">
        <v>2312</v>
      </c>
      <c r="B10" s="220">
        <v>1964664</v>
      </c>
      <c r="C10" s="221" t="s">
        <v>1176</v>
      </c>
      <c r="D10" s="112">
        <v>10007</v>
      </c>
      <c r="E10" s="112">
        <v>11134</v>
      </c>
      <c r="F10" s="109" t="s">
        <v>2315</v>
      </c>
    </row>
    <row r="11" spans="1:49">
      <c r="A11" s="220" t="s">
        <v>2312</v>
      </c>
      <c r="B11" s="220">
        <v>1878370</v>
      </c>
      <c r="C11" s="221" t="s">
        <v>1176</v>
      </c>
      <c r="D11" s="112">
        <v>10304</v>
      </c>
      <c r="E11" s="112">
        <v>10490</v>
      </c>
      <c r="F11" s="109" t="s">
        <v>2445</v>
      </c>
    </row>
    <row r="12" spans="1:49">
      <c r="A12" s="220" t="s">
        <v>2312</v>
      </c>
      <c r="B12" s="220">
        <v>1878366</v>
      </c>
      <c r="C12" s="221" t="s">
        <v>1176</v>
      </c>
      <c r="D12" s="112">
        <v>10403</v>
      </c>
      <c r="E12" s="112">
        <v>10490</v>
      </c>
      <c r="F12" s="109" t="s">
        <v>2444</v>
      </c>
    </row>
    <row r="13" spans="1:49">
      <c r="A13" s="220" t="s">
        <v>2312</v>
      </c>
      <c r="B13" s="220">
        <v>1878371</v>
      </c>
      <c r="C13" s="221" t="s">
        <v>1176</v>
      </c>
      <c r="D13" s="112">
        <v>10403</v>
      </c>
      <c r="E13" s="112">
        <v>10490</v>
      </c>
      <c r="F13" s="109" t="s">
        <v>2445</v>
      </c>
    </row>
    <row r="14" spans="1:49">
      <c r="A14" s="220" t="s">
        <v>2312</v>
      </c>
      <c r="B14" s="220">
        <v>1978890</v>
      </c>
      <c r="C14" s="221" t="s">
        <v>1176</v>
      </c>
      <c r="D14" s="112">
        <v>10409</v>
      </c>
      <c r="E14" s="112">
        <v>11260</v>
      </c>
      <c r="F14" s="109" t="s">
        <v>2445</v>
      </c>
    </row>
    <row r="15" spans="1:49">
      <c r="A15" s="220" t="s">
        <v>2312</v>
      </c>
      <c r="B15" s="220">
        <v>1984541</v>
      </c>
      <c r="C15" s="221" t="s">
        <v>1176</v>
      </c>
      <c r="D15" s="112">
        <v>10636</v>
      </c>
      <c r="E15" s="112">
        <v>11309</v>
      </c>
      <c r="F15" s="109" t="s">
        <v>2504</v>
      </c>
    </row>
    <row r="16" spans="1:49">
      <c r="A16" s="220" t="s">
        <v>2312</v>
      </c>
      <c r="B16" s="220">
        <v>2050525</v>
      </c>
      <c r="C16" s="221" t="s">
        <v>1176</v>
      </c>
      <c r="D16" s="112">
        <v>10650</v>
      </c>
      <c r="E16" s="112">
        <v>11911</v>
      </c>
      <c r="F16" s="109" t="s">
        <v>2443</v>
      </c>
    </row>
    <row r="17" spans="1:6">
      <c r="A17" s="220" t="s">
        <v>2312</v>
      </c>
      <c r="B17" s="220">
        <v>1985499</v>
      </c>
      <c r="C17" s="221" t="s">
        <v>1176</v>
      </c>
      <c r="D17" s="112">
        <v>10653</v>
      </c>
      <c r="E17" s="112">
        <v>11316</v>
      </c>
      <c r="F17" s="109" t="s">
        <v>2445</v>
      </c>
    </row>
    <row r="18" spans="1:6">
      <c r="A18" s="220" t="s">
        <v>2312</v>
      </c>
      <c r="B18" s="220">
        <v>1976661</v>
      </c>
      <c r="C18" s="221" t="s">
        <v>1176</v>
      </c>
      <c r="D18" s="112">
        <v>10969</v>
      </c>
      <c r="E18" s="112">
        <v>11239</v>
      </c>
      <c r="F18" s="109" t="s">
        <v>2313</v>
      </c>
    </row>
    <row r="19" spans="1:6">
      <c r="A19" s="220" t="s">
        <v>2312</v>
      </c>
      <c r="B19" s="220">
        <v>2033608</v>
      </c>
      <c r="C19" s="221" t="s">
        <v>1176</v>
      </c>
      <c r="D19" s="112">
        <v>11199</v>
      </c>
      <c r="E19" s="112">
        <v>11757</v>
      </c>
      <c r="F19" s="109" t="s">
        <v>2445</v>
      </c>
    </row>
    <row r="20" spans="1:6">
      <c r="A20" s="220" t="s">
        <v>2312</v>
      </c>
      <c r="B20" s="220">
        <v>2108875</v>
      </c>
      <c r="C20" s="221" t="s">
        <v>1176</v>
      </c>
      <c r="D20" s="112">
        <v>12165</v>
      </c>
      <c r="E20" s="112">
        <v>12471</v>
      </c>
      <c r="F20" s="109" t="s">
        <v>2482</v>
      </c>
    </row>
    <row r="21" spans="1:6">
      <c r="A21" s="220" t="s">
        <v>2312</v>
      </c>
      <c r="B21" s="220">
        <v>2164557</v>
      </c>
      <c r="C21" s="221" t="s">
        <v>1176</v>
      </c>
      <c r="D21" s="112">
        <v>12383</v>
      </c>
      <c r="E21" s="112">
        <v>12968</v>
      </c>
      <c r="F21" s="109" t="s">
        <v>2346</v>
      </c>
    </row>
    <row r="22" spans="1:6">
      <c r="A22" s="220" t="s">
        <v>2312</v>
      </c>
      <c r="B22" s="220">
        <v>2188380</v>
      </c>
      <c r="C22" s="221" t="s">
        <v>1176</v>
      </c>
      <c r="D22" s="112">
        <v>12498</v>
      </c>
      <c r="E22" s="112">
        <v>13178</v>
      </c>
      <c r="F22" s="109" t="s">
        <v>2346</v>
      </c>
    </row>
    <row r="23" spans="1:6">
      <c r="A23" s="220" t="s">
        <v>2312</v>
      </c>
      <c r="B23" s="220">
        <v>2236304</v>
      </c>
      <c r="C23" s="221" t="s">
        <v>1176</v>
      </c>
      <c r="D23" s="112">
        <v>12689</v>
      </c>
      <c r="E23" s="112">
        <v>13598</v>
      </c>
      <c r="F23" s="109" t="s">
        <v>2443</v>
      </c>
    </row>
    <row r="24" spans="1:6">
      <c r="A24" s="42" t="s">
        <v>2312</v>
      </c>
      <c r="B24" s="42">
        <v>2197682</v>
      </c>
      <c r="C24" s="151" t="s">
        <v>1176</v>
      </c>
      <c r="D24" s="112">
        <v>12905</v>
      </c>
      <c r="E24" s="112">
        <v>13255</v>
      </c>
      <c r="F24" s="109" t="s">
        <v>2317</v>
      </c>
    </row>
    <row r="26" spans="1:6">
      <c r="A26" s="126" t="s">
        <v>2271</v>
      </c>
    </row>
    <row r="27" spans="1:6">
      <c r="A27" s="125" t="s">
        <v>2311</v>
      </c>
    </row>
    <row r="29" spans="1:6">
      <c r="A29" s="42" t="s">
        <v>4137</v>
      </c>
    </row>
    <row r="30" spans="1:6">
      <c r="A30" s="42" t="s">
        <v>1239</v>
      </c>
    </row>
    <row r="31" spans="1:6">
      <c r="A31" s="42" t="s">
        <v>1195</v>
      </c>
    </row>
    <row r="32" spans="1:6">
      <c r="A32" s="42" t="s">
        <v>1196</v>
      </c>
    </row>
    <row r="33" spans="1:3">
      <c r="A33" s="42" t="s">
        <v>4015</v>
      </c>
    </row>
    <row r="34" spans="1:3">
      <c r="A34" s="42" t="s">
        <v>1369</v>
      </c>
    </row>
    <row r="35" spans="1:3">
      <c r="A35" s="42" t="s">
        <v>1197</v>
      </c>
    </row>
    <row r="36" spans="1:3">
      <c r="A36" s="42" t="s">
        <v>1249</v>
      </c>
    </row>
    <row r="37" spans="1:3">
      <c r="A37" s="42" t="s">
        <v>1194</v>
      </c>
    </row>
    <row r="38" spans="1:3">
      <c r="A38" s="42" t="s">
        <v>1198</v>
      </c>
    </row>
    <row r="39" spans="1:3">
      <c r="A39" s="42" t="s">
        <v>1199</v>
      </c>
    </row>
    <row r="40" spans="1:3" s="367" customFormat="1">
      <c r="A40" s="42" t="s">
        <v>10</v>
      </c>
      <c r="B40" s="42"/>
      <c r="C40" s="42"/>
    </row>
    <row r="41" spans="1:3" s="203" customFormat="1">
      <c r="A41" s="42" t="s">
        <v>9</v>
      </c>
      <c r="B41" s="42"/>
      <c r="C41" s="42"/>
    </row>
    <row r="43" spans="1:3">
      <c r="A43" s="126" t="s">
        <v>1407</v>
      </c>
    </row>
    <row r="44" spans="1:3">
      <c r="A44" s="42" t="s">
        <v>1190</v>
      </c>
    </row>
    <row r="45" spans="1:3">
      <c r="A45" s="42" t="s">
        <v>1247</v>
      </c>
    </row>
    <row r="46" spans="1:3" s="204" customFormat="1">
      <c r="A46" s="42" t="s">
        <v>2753</v>
      </c>
      <c r="B46" s="42"/>
      <c r="C46" s="42"/>
    </row>
    <row r="48" spans="1:3">
      <c r="A48" s="126" t="s">
        <v>1411</v>
      </c>
    </row>
    <row r="49" spans="1:3">
      <c r="A49" s="42" t="s">
        <v>1200</v>
      </c>
      <c r="B49" s="42">
        <v>1938</v>
      </c>
    </row>
    <row r="50" spans="1:3">
      <c r="A50" s="42" t="s">
        <v>1272</v>
      </c>
      <c r="B50" s="42">
        <v>1938</v>
      </c>
    </row>
    <row r="51" spans="1:3">
      <c r="A51" s="42" t="s">
        <v>4134</v>
      </c>
      <c r="B51" s="42">
        <v>1938</v>
      </c>
    </row>
    <row r="52" spans="1:3">
      <c r="A52" s="42" t="s">
        <v>4136</v>
      </c>
      <c r="B52" s="42">
        <v>1938</v>
      </c>
      <c r="C52" s="125"/>
    </row>
    <row r="53" spans="1:3" s="120" customFormat="1">
      <c r="C53" s="125"/>
    </row>
    <row r="54" spans="1:3">
      <c r="A54" s="126" t="s">
        <v>1253</v>
      </c>
      <c r="B54" s="125"/>
      <c r="C54" s="125"/>
    </row>
    <row r="55" spans="1:3">
      <c r="A55" s="189" t="s">
        <v>1189</v>
      </c>
      <c r="B55" s="125">
        <v>1939</v>
      </c>
      <c r="C55" s="125"/>
    </row>
    <row r="56" spans="1:3">
      <c r="A56" s="42" t="s">
        <v>1273</v>
      </c>
      <c r="B56" s="125">
        <v>1939</v>
      </c>
      <c r="C56" s="125"/>
    </row>
    <row r="57" spans="1:3">
      <c r="A57" s="42" t="s">
        <v>1274</v>
      </c>
      <c r="B57" s="125">
        <v>1939</v>
      </c>
      <c r="C57" s="125"/>
    </row>
    <row r="58" spans="1:3">
      <c r="A58" s="42" t="s">
        <v>1319</v>
      </c>
      <c r="B58" s="125">
        <v>1939</v>
      </c>
      <c r="C58" s="125"/>
    </row>
    <row r="59" spans="1:3">
      <c r="A59" s="42" t="s">
        <v>1230</v>
      </c>
      <c r="B59" s="125">
        <v>1939</v>
      </c>
      <c r="C59" s="125"/>
    </row>
    <row r="60" spans="1:3">
      <c r="A60" s="42" t="s">
        <v>1254</v>
      </c>
      <c r="B60" s="125">
        <v>1939</v>
      </c>
      <c r="C60" s="125"/>
    </row>
    <row r="61" spans="1:3">
      <c r="A61" s="42" t="s">
        <v>1231</v>
      </c>
      <c r="B61" s="125">
        <v>1939</v>
      </c>
      <c r="C61" s="125"/>
    </row>
    <row r="62" spans="1:3">
      <c r="A62" s="42" t="s">
        <v>1232</v>
      </c>
      <c r="B62" s="125">
        <v>1939</v>
      </c>
      <c r="C62" s="125"/>
    </row>
    <row r="63" spans="1:3">
      <c r="A63" s="42" t="s">
        <v>1233</v>
      </c>
      <c r="B63" s="125">
        <v>1939</v>
      </c>
      <c r="C63" s="125"/>
    </row>
    <row r="64" spans="1:3">
      <c r="A64" s="42" t="s">
        <v>1255</v>
      </c>
      <c r="B64" s="125">
        <v>1939</v>
      </c>
      <c r="C64" s="125"/>
    </row>
    <row r="65" spans="1:3">
      <c r="A65" s="42" t="s">
        <v>1186</v>
      </c>
      <c r="B65" s="125">
        <v>1939</v>
      </c>
      <c r="C65" s="125"/>
    </row>
    <row r="66" spans="1:3">
      <c r="A66" s="42" t="s">
        <v>1187</v>
      </c>
      <c r="B66" s="125">
        <v>1939</v>
      </c>
      <c r="C66" s="125"/>
    </row>
    <row r="67" spans="1:3">
      <c r="A67" s="42" t="s">
        <v>1188</v>
      </c>
      <c r="B67" s="125">
        <v>1939</v>
      </c>
    </row>
    <row r="68" spans="1:3">
      <c r="A68" s="42" t="s">
        <v>1248</v>
      </c>
      <c r="B68" s="125"/>
    </row>
  </sheetData>
  <sheetCalcPr fullCalcOnLoad="1"/>
  <sortState ref="A3:XFD24">
    <sortCondition ref="D3:D24"/>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W36"/>
  <sheetViews>
    <sheetView workbookViewId="0">
      <selection activeCell="F4" sqref="F4"/>
    </sheetView>
  </sheetViews>
  <sheetFormatPr baseColWidth="10" defaultColWidth="11" defaultRowHeight="13"/>
  <cols>
    <col min="1" max="4" width="11" style="42"/>
  </cols>
  <sheetData>
    <row r="1" spans="1:49" ht="36">
      <c r="A1" s="52" t="s">
        <v>1869</v>
      </c>
      <c r="B1" s="52" t="s">
        <v>1890</v>
      </c>
      <c r="C1" s="52" t="s">
        <v>2829</v>
      </c>
      <c r="D1" s="52" t="s">
        <v>1891</v>
      </c>
      <c r="E1" s="1" t="s">
        <v>1892</v>
      </c>
      <c r="F1" s="1" t="s">
        <v>1837</v>
      </c>
      <c r="G1" s="2" t="s">
        <v>1631</v>
      </c>
      <c r="H1" s="3" t="s">
        <v>1838</v>
      </c>
      <c r="I1" s="4" t="s">
        <v>1797</v>
      </c>
      <c r="J1" s="4" t="s">
        <v>1689</v>
      </c>
      <c r="K1" s="4" t="s">
        <v>1839</v>
      </c>
      <c r="L1" s="4" t="s">
        <v>1827</v>
      </c>
      <c r="M1" s="4" t="s">
        <v>1840</v>
      </c>
      <c r="N1" s="4" t="s">
        <v>1841</v>
      </c>
      <c r="O1" s="4" t="s">
        <v>1842</v>
      </c>
      <c r="P1" s="4" t="s">
        <v>1843</v>
      </c>
      <c r="Q1" s="4" t="s">
        <v>1711</v>
      </c>
      <c r="R1" s="4" t="s">
        <v>1712</v>
      </c>
      <c r="S1" s="5" t="s">
        <v>1683</v>
      </c>
      <c r="T1" s="37" t="s">
        <v>1684</v>
      </c>
      <c r="U1" s="37" t="s">
        <v>1900</v>
      </c>
      <c r="V1" s="37" t="s">
        <v>1901</v>
      </c>
      <c r="W1" s="37" t="s">
        <v>1685</v>
      </c>
      <c r="X1" s="37" t="s">
        <v>1686</v>
      </c>
      <c r="Y1" s="7" t="s">
        <v>1687</v>
      </c>
      <c r="Z1" s="8" t="s">
        <v>1688</v>
      </c>
      <c r="AA1" s="10" t="s">
        <v>1810</v>
      </c>
      <c r="AB1" s="10" t="s">
        <v>1728</v>
      </c>
      <c r="AC1" s="10" t="s">
        <v>1763</v>
      </c>
      <c r="AD1" s="10" t="s">
        <v>1764</v>
      </c>
      <c r="AE1" s="10" t="s">
        <v>1860</v>
      </c>
      <c r="AF1" s="10" t="s">
        <v>1861</v>
      </c>
      <c r="AG1" s="10" t="s">
        <v>1693</v>
      </c>
      <c r="AH1" s="5" t="s">
        <v>1694</v>
      </c>
      <c r="AI1" s="37" t="s">
        <v>1862</v>
      </c>
      <c r="AJ1" s="37" t="s">
        <v>1744</v>
      </c>
      <c r="AK1" s="7" t="s">
        <v>1758</v>
      </c>
      <c r="AL1" s="7" t="s">
        <v>1921</v>
      </c>
      <c r="AM1" s="7" t="s">
        <v>1835</v>
      </c>
      <c r="AN1" s="7" t="s">
        <v>1836</v>
      </c>
      <c r="AO1" s="7" t="s">
        <v>1893</v>
      </c>
      <c r="AP1" s="7" t="s">
        <v>1894</v>
      </c>
      <c r="AQ1" s="10" t="s">
        <v>1895</v>
      </c>
      <c r="AR1" s="10" t="s">
        <v>1745</v>
      </c>
      <c r="AS1" s="10" t="s">
        <v>1713</v>
      </c>
      <c r="AT1" s="11" t="s">
        <v>1746</v>
      </c>
      <c r="AU1" s="1" t="s">
        <v>1899</v>
      </c>
      <c r="AV1" s="1" t="s">
        <v>1714</v>
      </c>
      <c r="AW1" s="1" t="s">
        <v>1715</v>
      </c>
    </row>
    <row r="2" spans="1:49" s="42" customFormat="1">
      <c r="A2" s="58" t="s">
        <v>1923</v>
      </c>
      <c r="B2" s="52"/>
      <c r="C2" s="52"/>
      <c r="D2" s="52"/>
      <c r="E2" s="52"/>
      <c r="F2" s="52"/>
      <c r="G2" s="53"/>
      <c r="H2" s="53"/>
      <c r="I2" s="52"/>
      <c r="J2" s="52"/>
      <c r="K2" s="52"/>
      <c r="L2" s="52"/>
      <c r="M2" s="52"/>
      <c r="N2" s="52"/>
      <c r="O2" s="52"/>
      <c r="P2" s="52"/>
      <c r="Q2" s="52"/>
      <c r="R2" s="52"/>
      <c r="S2" s="53"/>
      <c r="T2" s="52"/>
      <c r="U2" s="52"/>
      <c r="V2" s="52"/>
      <c r="W2" s="52"/>
      <c r="X2" s="52"/>
      <c r="Y2" s="53"/>
      <c r="Z2" s="53"/>
      <c r="AA2" s="52"/>
      <c r="AB2" s="52"/>
      <c r="AC2" s="52"/>
      <c r="AD2" s="52"/>
      <c r="AE2" s="52"/>
      <c r="AF2" s="52"/>
      <c r="AG2" s="52"/>
      <c r="AH2" s="53"/>
      <c r="AI2" s="52"/>
      <c r="AJ2" s="52"/>
      <c r="AK2" s="53"/>
      <c r="AL2" s="53"/>
      <c r="AM2" s="53"/>
      <c r="AN2" s="53"/>
      <c r="AO2" s="53"/>
      <c r="AP2" s="53"/>
      <c r="AQ2" s="52"/>
      <c r="AR2" s="52"/>
      <c r="AS2" s="52"/>
      <c r="AT2" s="53"/>
      <c r="AU2" s="52"/>
      <c r="AV2" s="52"/>
      <c r="AW2" s="52"/>
    </row>
    <row r="3" spans="1:49" s="26" customFormat="1">
      <c r="A3" s="231" t="s">
        <v>1752</v>
      </c>
      <c r="B3" s="231">
        <v>1984973</v>
      </c>
      <c r="C3" s="231"/>
      <c r="D3" s="43">
        <v>11218</v>
      </c>
      <c r="E3" s="40">
        <v>11309</v>
      </c>
      <c r="F3" s="33" t="s">
        <v>1814</v>
      </c>
      <c r="G3" s="27">
        <v>297</v>
      </c>
      <c r="H3" s="27">
        <v>228</v>
      </c>
      <c r="I3" s="27"/>
      <c r="J3" s="27"/>
      <c r="K3" s="27"/>
      <c r="L3" s="27"/>
      <c r="M3" s="27"/>
      <c r="N3" s="27"/>
      <c r="O3" s="27"/>
      <c r="P3" s="27"/>
      <c r="Q3" s="27"/>
      <c r="R3" s="27"/>
    </row>
    <row r="4" spans="1:49" s="26" customFormat="1">
      <c r="A4" s="231" t="s">
        <v>1752</v>
      </c>
      <c r="B4" s="231">
        <v>2100868</v>
      </c>
      <c r="C4" s="231"/>
      <c r="D4" s="43">
        <v>11569</v>
      </c>
      <c r="E4" s="35">
        <v>12387</v>
      </c>
      <c r="F4" s="33" t="s">
        <v>1781</v>
      </c>
      <c r="G4" s="27">
        <v>297</v>
      </c>
      <c r="H4" s="27">
        <v>224</v>
      </c>
      <c r="I4" s="27"/>
      <c r="J4" s="27"/>
      <c r="K4" s="27"/>
      <c r="L4" s="27"/>
      <c r="M4" s="27"/>
      <c r="N4" s="27"/>
      <c r="O4" s="27"/>
      <c r="P4" s="27"/>
      <c r="Q4" s="27"/>
      <c r="R4" s="27"/>
    </row>
    <row r="6" spans="1:49">
      <c r="A6" s="222" t="s">
        <v>1955</v>
      </c>
    </row>
    <row r="7" spans="1:49">
      <c r="A7" s="146" t="s">
        <v>1571</v>
      </c>
    </row>
    <row r="8" spans="1:49">
      <c r="A8" s="146" t="s">
        <v>1919</v>
      </c>
    </row>
    <row r="9" spans="1:49">
      <c r="A9" s="146" t="s">
        <v>1888</v>
      </c>
    </row>
    <row r="10" spans="1:49">
      <c r="A10" s="146" t="s">
        <v>1875</v>
      </c>
    </row>
    <row r="11" spans="1:49">
      <c r="A11" s="146" t="s">
        <v>1908</v>
      </c>
    </row>
    <row r="12" spans="1:49">
      <c r="A12" s="146" t="s">
        <v>1599</v>
      </c>
    </row>
    <row r="13" spans="1:49" s="69" customFormat="1">
      <c r="A13" s="146" t="s">
        <v>1956</v>
      </c>
      <c r="B13" s="42"/>
      <c r="C13" s="42"/>
      <c r="D13" s="42"/>
    </row>
    <row r="15" spans="1:49">
      <c r="A15" s="222" t="s">
        <v>2638</v>
      </c>
    </row>
    <row r="16" spans="1:49">
      <c r="A16" s="146" t="s">
        <v>1641</v>
      </c>
      <c r="B16" s="42">
        <v>1939</v>
      </c>
    </row>
    <row r="17" spans="1:2">
      <c r="A17" s="146" t="s">
        <v>1642</v>
      </c>
      <c r="B17" s="42">
        <v>1941</v>
      </c>
    </row>
    <row r="20" spans="1:2">
      <c r="A20" s="42" t="s">
        <v>1338</v>
      </c>
    </row>
    <row r="21" spans="1:2">
      <c r="A21" s="42" t="s">
        <v>1365</v>
      </c>
    </row>
    <row r="22" spans="1:2">
      <c r="A22" s="42" t="s">
        <v>1366</v>
      </c>
    </row>
    <row r="23" spans="1:2">
      <c r="A23" s="42" t="s">
        <v>1367</v>
      </c>
    </row>
    <row r="24" spans="1:2">
      <c r="A24" s="42" t="s">
        <v>1368</v>
      </c>
    </row>
    <row r="25" spans="1:2">
      <c r="A25" s="42" t="s">
        <v>1369</v>
      </c>
    </row>
    <row r="26" spans="1:2">
      <c r="A26" s="42" t="s">
        <v>1370</v>
      </c>
    </row>
    <row r="27" spans="1:2">
      <c r="A27" s="42" t="s">
        <v>1371</v>
      </c>
    </row>
    <row r="28" spans="1:2">
      <c r="A28" s="42" t="s">
        <v>1375</v>
      </c>
    </row>
    <row r="29" spans="1:2">
      <c r="A29" s="42" t="s">
        <v>1376</v>
      </c>
    </row>
    <row r="30" spans="1:2">
      <c r="A30" s="42" t="s">
        <v>1377</v>
      </c>
    </row>
    <row r="32" spans="1:2">
      <c r="A32" s="126" t="s">
        <v>1407</v>
      </c>
    </row>
    <row r="36" spans="1:1">
      <c r="A36" s="126" t="s">
        <v>1411</v>
      </c>
    </row>
  </sheetData>
  <sheetCalcPr fullCalcOnLoad="1"/>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W105"/>
  <sheetViews>
    <sheetView workbookViewId="0">
      <selection activeCell="I125" sqref="I125"/>
    </sheetView>
  </sheetViews>
  <sheetFormatPr baseColWidth="10" defaultRowHeight="13"/>
  <cols>
    <col min="1" max="6" width="10.7109375" style="42"/>
    <col min="7" max="16384" width="10.7109375" style="115"/>
  </cols>
  <sheetData>
    <row r="1" spans="1:49" s="87" customFormat="1" ht="39">
      <c r="A1" s="100" t="s">
        <v>1869</v>
      </c>
      <c r="B1" s="100" t="s">
        <v>1747</v>
      </c>
      <c r="C1" s="52" t="s">
        <v>2613</v>
      </c>
      <c r="D1" s="100" t="s">
        <v>2174</v>
      </c>
      <c r="E1" s="100" t="s">
        <v>2022</v>
      </c>
      <c r="F1" s="100" t="s">
        <v>2023</v>
      </c>
      <c r="G1" s="90" t="s">
        <v>1631</v>
      </c>
      <c r="H1" s="91" t="s">
        <v>1632</v>
      </c>
      <c r="I1" s="92" t="s">
        <v>1797</v>
      </c>
      <c r="J1" s="92" t="s">
        <v>1689</v>
      </c>
      <c r="K1" s="92" t="s">
        <v>1633</v>
      </c>
      <c r="L1" s="92" t="s">
        <v>1827</v>
      </c>
      <c r="M1" s="92" t="s">
        <v>1828</v>
      </c>
      <c r="N1" s="92" t="s">
        <v>1692</v>
      </c>
      <c r="O1" s="92" t="s">
        <v>1793</v>
      </c>
      <c r="P1" s="92" t="s">
        <v>1638</v>
      </c>
      <c r="Q1" s="92" t="s">
        <v>1801</v>
      </c>
      <c r="R1" s="92" t="s">
        <v>1700</v>
      </c>
      <c r="S1" s="93" t="s">
        <v>1683</v>
      </c>
      <c r="T1" s="94" t="s">
        <v>1684</v>
      </c>
      <c r="U1" s="94" t="s">
        <v>1900</v>
      </c>
      <c r="V1" s="94" t="s">
        <v>1901</v>
      </c>
      <c r="W1" s="94" t="s">
        <v>1685</v>
      </c>
      <c r="X1" s="94" t="s">
        <v>1686</v>
      </c>
      <c r="Y1" s="95" t="s">
        <v>1687</v>
      </c>
      <c r="Z1" s="96" t="s">
        <v>1688</v>
      </c>
      <c r="AA1" s="97" t="s">
        <v>1810</v>
      </c>
      <c r="AB1" s="97" t="s">
        <v>1728</v>
      </c>
      <c r="AC1" s="97" t="s">
        <v>1763</v>
      </c>
      <c r="AD1" s="97" t="s">
        <v>1764</v>
      </c>
      <c r="AE1" s="97" t="s">
        <v>1860</v>
      </c>
      <c r="AF1" s="97" t="s">
        <v>1861</v>
      </c>
      <c r="AG1" s="97" t="s">
        <v>1693</v>
      </c>
      <c r="AH1" s="93" t="s">
        <v>1694</v>
      </c>
      <c r="AI1" s="94" t="s">
        <v>1862</v>
      </c>
      <c r="AJ1" s="94" t="s">
        <v>1744</v>
      </c>
      <c r="AK1" s="95" t="s">
        <v>1758</v>
      </c>
      <c r="AL1" s="95" t="s">
        <v>1921</v>
      </c>
      <c r="AM1" s="95" t="s">
        <v>1835</v>
      </c>
      <c r="AN1" s="95" t="s">
        <v>1836</v>
      </c>
      <c r="AO1" s="95" t="s">
        <v>1893</v>
      </c>
      <c r="AP1" s="95" t="s">
        <v>1894</v>
      </c>
      <c r="AQ1" s="98" t="s">
        <v>1895</v>
      </c>
      <c r="AR1" s="98" t="s">
        <v>1745</v>
      </c>
      <c r="AS1" s="98" t="s">
        <v>2193</v>
      </c>
      <c r="AT1" s="99" t="s">
        <v>1746</v>
      </c>
      <c r="AU1" s="82" t="s">
        <v>1899</v>
      </c>
      <c r="AV1" s="82" t="s">
        <v>2194</v>
      </c>
      <c r="AW1" s="82" t="s">
        <v>2195</v>
      </c>
    </row>
    <row r="2" spans="1:49">
      <c r="A2" s="42" t="s">
        <v>2627</v>
      </c>
    </row>
    <row r="3" spans="1:49">
      <c r="A3" s="220" t="s">
        <v>1732</v>
      </c>
      <c r="B3" s="220">
        <v>2088732</v>
      </c>
      <c r="C3" s="221" t="s">
        <v>2587</v>
      </c>
      <c r="D3" s="112">
        <v>9423</v>
      </c>
      <c r="E3" s="112">
        <v>12268</v>
      </c>
      <c r="F3" s="109" t="s">
        <v>2408</v>
      </c>
      <c r="G3"/>
      <c r="H3"/>
    </row>
    <row r="4" spans="1:49">
      <c r="A4" s="220" t="s">
        <v>1732</v>
      </c>
      <c r="B4" s="220">
        <v>2089155</v>
      </c>
      <c r="C4" s="221" t="s">
        <v>2587</v>
      </c>
      <c r="D4" s="112">
        <v>9423</v>
      </c>
      <c r="E4" s="112">
        <v>12268</v>
      </c>
      <c r="F4" s="109" t="s">
        <v>2408</v>
      </c>
      <c r="G4"/>
      <c r="H4"/>
    </row>
    <row r="5" spans="1:49">
      <c r="A5" s="220" t="s">
        <v>1732</v>
      </c>
      <c r="B5" s="220">
        <v>2112002</v>
      </c>
      <c r="C5" s="221" t="s">
        <v>2587</v>
      </c>
      <c r="D5" s="112">
        <v>9423</v>
      </c>
      <c r="E5" s="112">
        <v>12499</v>
      </c>
      <c r="F5" s="109" t="s">
        <v>2408</v>
      </c>
      <c r="G5"/>
      <c r="H5"/>
    </row>
    <row r="6" spans="1:49">
      <c r="A6" s="220" t="s">
        <v>1732</v>
      </c>
      <c r="B6" s="220">
        <v>2088626</v>
      </c>
      <c r="C6" s="221" t="s">
        <v>2587</v>
      </c>
      <c r="D6" s="112">
        <v>9533</v>
      </c>
      <c r="E6" s="112">
        <v>12268</v>
      </c>
      <c r="F6" s="109" t="s">
        <v>2408</v>
      </c>
      <c r="G6"/>
      <c r="H6"/>
    </row>
    <row r="7" spans="1:49">
      <c r="A7" s="220" t="s">
        <v>1732</v>
      </c>
      <c r="B7" s="220">
        <v>2193953</v>
      </c>
      <c r="C7" s="221" t="s">
        <v>2587</v>
      </c>
      <c r="D7" s="112">
        <v>9539</v>
      </c>
      <c r="E7" s="112">
        <v>13227</v>
      </c>
      <c r="F7" s="42" t="s">
        <v>2408</v>
      </c>
      <c r="G7"/>
      <c r="H7"/>
    </row>
    <row r="8" spans="1:49">
      <c r="A8" s="220" t="s">
        <v>1732</v>
      </c>
      <c r="B8" s="220">
        <v>2086833</v>
      </c>
      <c r="C8" s="221" t="s">
        <v>2587</v>
      </c>
      <c r="D8" s="112">
        <v>10164</v>
      </c>
      <c r="E8" s="112">
        <v>12247</v>
      </c>
      <c r="F8" s="109" t="s">
        <v>2408</v>
      </c>
      <c r="G8"/>
      <c r="H8"/>
    </row>
    <row r="9" spans="1:49">
      <c r="A9" s="220" t="s">
        <v>1732</v>
      </c>
      <c r="B9" s="220">
        <v>2025186</v>
      </c>
      <c r="C9" s="221" t="s">
        <v>2587</v>
      </c>
      <c r="D9" s="112">
        <v>10217</v>
      </c>
      <c r="E9" s="112">
        <v>11680</v>
      </c>
      <c r="F9" s="109" t="s">
        <v>2408</v>
      </c>
      <c r="G9"/>
      <c r="H9"/>
    </row>
    <row r="10" spans="1:49">
      <c r="A10" s="220" t="s">
        <v>1732</v>
      </c>
      <c r="B10" s="220">
        <v>2012207</v>
      </c>
      <c r="C10" s="221" t="s">
        <v>2587</v>
      </c>
      <c r="D10" s="112">
        <v>10240</v>
      </c>
      <c r="E10" s="112">
        <v>11554</v>
      </c>
      <c r="F10" s="109" t="s">
        <v>2408</v>
      </c>
      <c r="G10"/>
      <c r="H10"/>
    </row>
    <row r="11" spans="1:49">
      <c r="A11" s="220" t="s">
        <v>1732</v>
      </c>
      <c r="B11" s="220">
        <v>2029401</v>
      </c>
      <c r="C11" s="221" t="s">
        <v>2587</v>
      </c>
      <c r="D11" s="112">
        <v>10240</v>
      </c>
      <c r="E11" s="112">
        <v>11722</v>
      </c>
      <c r="F11" s="109" t="s">
        <v>2408</v>
      </c>
      <c r="G11"/>
      <c r="H11"/>
    </row>
    <row r="12" spans="1:49">
      <c r="A12" s="220" t="s">
        <v>1732</v>
      </c>
      <c r="B12" s="220">
        <v>1918358</v>
      </c>
      <c r="C12" s="221" t="s">
        <v>2587</v>
      </c>
      <c r="D12" s="112">
        <v>10296</v>
      </c>
      <c r="E12" s="112">
        <v>10791</v>
      </c>
      <c r="F12" s="42" t="s">
        <v>2408</v>
      </c>
      <c r="G12"/>
      <c r="H12"/>
    </row>
    <row r="13" spans="1:49">
      <c r="A13" s="220" t="s">
        <v>1732</v>
      </c>
      <c r="B13" s="220">
        <v>1919139</v>
      </c>
      <c r="C13" s="221" t="s">
        <v>2587</v>
      </c>
      <c r="D13" s="112">
        <v>10296</v>
      </c>
      <c r="E13" s="112">
        <v>10791</v>
      </c>
      <c r="F13" s="109" t="s">
        <v>2408</v>
      </c>
      <c r="G13"/>
      <c r="H13"/>
    </row>
    <row r="14" spans="1:49">
      <c r="A14" s="220" t="s">
        <v>1732</v>
      </c>
      <c r="B14" s="220">
        <v>2021162</v>
      </c>
      <c r="C14" s="221" t="s">
        <v>2587</v>
      </c>
      <c r="D14" s="112">
        <v>10296</v>
      </c>
      <c r="E14" s="112">
        <v>11645</v>
      </c>
      <c r="F14" s="109" t="s">
        <v>2408</v>
      </c>
      <c r="G14"/>
      <c r="H14"/>
    </row>
    <row r="15" spans="1:49">
      <c r="A15" s="220" t="s">
        <v>1732</v>
      </c>
      <c r="B15" s="220">
        <v>1914314</v>
      </c>
      <c r="C15" s="221" t="s">
        <v>2587</v>
      </c>
      <c r="D15" s="112">
        <v>10302</v>
      </c>
      <c r="E15" s="112">
        <v>10756</v>
      </c>
      <c r="F15" s="42" t="s">
        <v>2408</v>
      </c>
      <c r="G15"/>
      <c r="H15"/>
    </row>
    <row r="16" spans="1:49">
      <c r="A16" s="220" t="s">
        <v>1732</v>
      </c>
      <c r="B16" s="220">
        <v>2061016</v>
      </c>
      <c r="C16" s="221" t="s">
        <v>2587</v>
      </c>
      <c r="D16" s="112">
        <v>10302</v>
      </c>
      <c r="E16" s="112">
        <v>12009</v>
      </c>
      <c r="F16" s="109" t="s">
        <v>2408</v>
      </c>
      <c r="G16"/>
      <c r="H16"/>
    </row>
    <row r="17" spans="1:8">
      <c r="A17" s="220" t="s">
        <v>1732</v>
      </c>
      <c r="B17" s="220">
        <v>2100044</v>
      </c>
      <c r="C17" s="221" t="s">
        <v>2587</v>
      </c>
      <c r="D17" s="112">
        <v>10302</v>
      </c>
      <c r="E17" s="112">
        <v>12380</v>
      </c>
      <c r="F17" s="109" t="s">
        <v>2408</v>
      </c>
      <c r="G17"/>
      <c r="H17"/>
    </row>
    <row r="18" spans="1:8">
      <c r="A18" s="220" t="s">
        <v>1732</v>
      </c>
      <c r="B18" s="220">
        <v>2041036</v>
      </c>
      <c r="C18" s="221" t="s">
        <v>2587</v>
      </c>
      <c r="D18" s="112">
        <v>10447</v>
      </c>
      <c r="E18" s="112">
        <v>11827</v>
      </c>
      <c r="F18" s="109" t="s">
        <v>2408</v>
      </c>
      <c r="G18"/>
      <c r="H18"/>
    </row>
    <row r="19" spans="1:8">
      <c r="A19" s="220" t="s">
        <v>1732</v>
      </c>
      <c r="B19" s="220">
        <v>2238089</v>
      </c>
      <c r="C19" s="221" t="s">
        <v>2587</v>
      </c>
      <c r="D19" s="112">
        <v>10628</v>
      </c>
      <c r="E19" s="112">
        <v>13619</v>
      </c>
      <c r="F19" s="42" t="s">
        <v>2332</v>
      </c>
    </row>
    <row r="20" spans="1:8">
      <c r="A20" s="220" t="s">
        <v>1732</v>
      </c>
      <c r="B20" s="220">
        <v>2053014</v>
      </c>
      <c r="C20" s="221" t="s">
        <v>2587</v>
      </c>
      <c r="D20" s="112">
        <v>10694</v>
      </c>
      <c r="E20" s="112">
        <v>11932</v>
      </c>
      <c r="F20" s="109" t="s">
        <v>2408</v>
      </c>
    </row>
    <row r="21" spans="1:8">
      <c r="A21" s="220" t="s">
        <v>1732</v>
      </c>
      <c r="B21" s="220">
        <v>2110945</v>
      </c>
      <c r="C21" s="221" t="s">
        <v>2587</v>
      </c>
      <c r="D21" s="112">
        <v>10834</v>
      </c>
      <c r="E21" s="112">
        <v>12492</v>
      </c>
      <c r="F21" s="109" t="s">
        <v>2408</v>
      </c>
    </row>
    <row r="22" spans="1:8">
      <c r="A22" s="220" t="s">
        <v>1732</v>
      </c>
      <c r="B22" s="220">
        <v>2030235</v>
      </c>
      <c r="C22" s="221" t="s">
        <v>2587</v>
      </c>
      <c r="D22" s="112">
        <v>10869</v>
      </c>
      <c r="E22" s="112">
        <v>11729</v>
      </c>
      <c r="F22" s="109" t="s">
        <v>2408</v>
      </c>
    </row>
    <row r="23" spans="1:8">
      <c r="A23" s="220" t="s">
        <v>1732</v>
      </c>
      <c r="B23" s="220">
        <v>2140584</v>
      </c>
      <c r="C23" s="221" t="s">
        <v>2587</v>
      </c>
      <c r="D23" s="112">
        <v>11345</v>
      </c>
      <c r="E23" s="112">
        <v>12772</v>
      </c>
      <c r="F23" s="42" t="s">
        <v>2327</v>
      </c>
    </row>
    <row r="24" spans="1:8">
      <c r="A24" s="220" t="s">
        <v>1732</v>
      </c>
      <c r="B24" s="220">
        <v>2155659</v>
      </c>
      <c r="C24" s="221" t="s">
        <v>2587</v>
      </c>
      <c r="D24" s="112">
        <v>11380</v>
      </c>
      <c r="E24" s="112">
        <v>12898</v>
      </c>
      <c r="F24" s="42" t="s">
        <v>2328</v>
      </c>
    </row>
    <row r="25" spans="1:8">
      <c r="A25" s="220" t="s">
        <v>1732</v>
      </c>
      <c r="B25" s="220">
        <v>2155661</v>
      </c>
      <c r="C25" s="221" t="s">
        <v>2587</v>
      </c>
      <c r="D25" s="112">
        <v>11380</v>
      </c>
      <c r="E25" s="112">
        <v>12898</v>
      </c>
      <c r="F25" s="42" t="s">
        <v>2328</v>
      </c>
    </row>
    <row r="26" spans="1:8">
      <c r="A26" s="220" t="s">
        <v>1732</v>
      </c>
      <c r="B26" s="220">
        <v>2157468</v>
      </c>
      <c r="C26" s="221" t="s">
        <v>2587</v>
      </c>
      <c r="D26" s="112">
        <v>11793</v>
      </c>
      <c r="E26" s="112">
        <v>12912</v>
      </c>
      <c r="F26" s="42" t="s">
        <v>2408</v>
      </c>
    </row>
    <row r="27" spans="1:8">
      <c r="A27" s="220" t="s">
        <v>1732</v>
      </c>
      <c r="B27" s="220">
        <v>2182043</v>
      </c>
      <c r="C27" s="221" t="s">
        <v>2587</v>
      </c>
      <c r="D27" s="112">
        <v>11901</v>
      </c>
      <c r="E27" s="112">
        <v>13122</v>
      </c>
      <c r="F27" s="42" t="s">
        <v>2408</v>
      </c>
    </row>
    <row r="28" spans="1:8">
      <c r="A28" s="220" t="s">
        <v>1732</v>
      </c>
      <c r="B28" s="220">
        <v>2161299</v>
      </c>
      <c r="C28" s="221" t="s">
        <v>2587</v>
      </c>
      <c r="D28" s="112">
        <v>12076</v>
      </c>
      <c r="E28" s="112">
        <v>12940</v>
      </c>
      <c r="F28" s="42" t="s">
        <v>2328</v>
      </c>
    </row>
    <row r="29" spans="1:8">
      <c r="A29" s="220" t="s">
        <v>1732</v>
      </c>
      <c r="B29" s="220">
        <v>2193422</v>
      </c>
      <c r="C29" s="221" t="s">
        <v>2587</v>
      </c>
      <c r="D29" s="112">
        <v>12076</v>
      </c>
      <c r="E29" s="112">
        <v>13220</v>
      </c>
      <c r="F29" s="42" t="s">
        <v>2328</v>
      </c>
    </row>
    <row r="30" spans="1:8">
      <c r="A30" s="220" t="s">
        <v>1732</v>
      </c>
      <c r="B30" s="220">
        <v>2158990</v>
      </c>
      <c r="C30" s="221" t="s">
        <v>2587</v>
      </c>
      <c r="D30" s="112">
        <v>12088</v>
      </c>
      <c r="E30" s="112">
        <v>12919</v>
      </c>
      <c r="F30" s="42" t="s">
        <v>2329</v>
      </c>
    </row>
    <row r="31" spans="1:8">
      <c r="A31" s="220" t="s">
        <v>1732</v>
      </c>
      <c r="B31" s="220">
        <v>2155660</v>
      </c>
      <c r="C31" s="221" t="s">
        <v>2587</v>
      </c>
      <c r="D31" s="112">
        <v>12111</v>
      </c>
      <c r="E31" s="112">
        <v>12898</v>
      </c>
      <c r="F31" s="42" t="s">
        <v>2328</v>
      </c>
    </row>
    <row r="32" spans="1:8">
      <c r="A32" s="220" t="s">
        <v>1732</v>
      </c>
      <c r="B32" s="220">
        <v>2138224</v>
      </c>
      <c r="C32" s="221" t="s">
        <v>2587</v>
      </c>
      <c r="D32" s="112">
        <v>12429</v>
      </c>
      <c r="E32" s="112">
        <v>12751</v>
      </c>
      <c r="F32" s="109" t="s">
        <v>2333</v>
      </c>
    </row>
    <row r="33" spans="1:7">
      <c r="A33" s="220" t="s">
        <v>1732</v>
      </c>
      <c r="B33" s="220">
        <v>2258311</v>
      </c>
      <c r="C33" s="221" t="s">
        <v>2587</v>
      </c>
      <c r="D33" s="112">
        <v>12710</v>
      </c>
      <c r="E33" s="112">
        <v>13794</v>
      </c>
      <c r="F33" s="42" t="s">
        <v>2328</v>
      </c>
    </row>
    <row r="34" spans="1:7">
      <c r="A34" s="220" t="s">
        <v>1732</v>
      </c>
      <c r="B34" s="220">
        <v>2153490</v>
      </c>
      <c r="C34" s="221" t="s">
        <v>2587</v>
      </c>
      <c r="D34" s="112">
        <v>12740</v>
      </c>
      <c r="E34" s="112">
        <v>12877</v>
      </c>
      <c r="F34" s="42" t="s">
        <v>2332</v>
      </c>
    </row>
    <row r="35" spans="1:7">
      <c r="A35" s="220" t="s">
        <v>1732</v>
      </c>
      <c r="B35" s="220">
        <v>2245119</v>
      </c>
      <c r="C35" s="221" t="s">
        <v>2587</v>
      </c>
      <c r="D35" s="112">
        <v>12757</v>
      </c>
      <c r="E35" s="112">
        <v>13675</v>
      </c>
      <c r="F35" s="42" t="s">
        <v>2408</v>
      </c>
    </row>
    <row r="36" spans="1:7">
      <c r="A36" s="220" t="s">
        <v>1732</v>
      </c>
      <c r="B36" s="220">
        <v>2270232</v>
      </c>
      <c r="C36" s="221" t="s">
        <v>2587</v>
      </c>
      <c r="D36" s="112">
        <v>12795</v>
      </c>
      <c r="E36" s="112">
        <v>13899</v>
      </c>
      <c r="F36" s="42" t="s">
        <v>2330</v>
      </c>
    </row>
    <row r="37" spans="1:7">
      <c r="A37" s="220" t="s">
        <v>1732</v>
      </c>
      <c r="B37" s="220">
        <v>2267251</v>
      </c>
      <c r="C37" s="221" t="s">
        <v>2587</v>
      </c>
      <c r="D37" s="112">
        <v>12802</v>
      </c>
      <c r="E37" s="112">
        <v>13871</v>
      </c>
      <c r="F37" s="42" t="s">
        <v>2331</v>
      </c>
    </row>
    <row r="38" spans="1:7">
      <c r="A38" s="220" t="s">
        <v>1732</v>
      </c>
      <c r="B38" s="220">
        <v>2330171</v>
      </c>
      <c r="C38" s="221" t="s">
        <v>2587</v>
      </c>
      <c r="D38" s="112">
        <v>12810</v>
      </c>
      <c r="E38" s="112">
        <v>14508</v>
      </c>
      <c r="F38" s="42" t="s">
        <v>2328</v>
      </c>
      <c r="G38" s="115" t="s">
        <v>2407</v>
      </c>
    </row>
    <row r="39" spans="1:7">
      <c r="A39" s="220" t="s">
        <v>1732</v>
      </c>
      <c r="B39" s="220">
        <v>2355110</v>
      </c>
      <c r="C39" s="221" t="s">
        <v>2587</v>
      </c>
      <c r="D39" s="112">
        <v>12837</v>
      </c>
      <c r="E39" s="112">
        <v>14830</v>
      </c>
      <c r="F39" s="42" t="s">
        <v>2328</v>
      </c>
    </row>
    <row r="40" spans="1:7">
      <c r="A40" s="220" t="s">
        <v>1732</v>
      </c>
      <c r="B40" s="220">
        <v>2306407</v>
      </c>
      <c r="C40" s="221" t="s">
        <v>2587</v>
      </c>
      <c r="D40" s="112">
        <v>12853</v>
      </c>
      <c r="E40" s="112">
        <v>14242</v>
      </c>
      <c r="F40" s="42" t="s">
        <v>2328</v>
      </c>
      <c r="G40" s="115" t="s">
        <v>2370</v>
      </c>
    </row>
    <row r="41" spans="1:7">
      <c r="A41" s="220" t="s">
        <v>1732</v>
      </c>
      <c r="B41" s="220">
        <v>2330172</v>
      </c>
      <c r="C41" s="221" t="s">
        <v>2587</v>
      </c>
      <c r="D41" s="112">
        <v>12881</v>
      </c>
      <c r="E41" s="112">
        <v>14508</v>
      </c>
      <c r="F41" s="42" t="s">
        <v>2328</v>
      </c>
    </row>
    <row r="42" spans="1:7">
      <c r="A42" s="220" t="s">
        <v>1732</v>
      </c>
      <c r="B42" s="220">
        <v>2313286</v>
      </c>
      <c r="C42" s="221" t="s">
        <v>2587</v>
      </c>
      <c r="D42" s="112">
        <v>12901</v>
      </c>
      <c r="E42" s="112">
        <v>14312</v>
      </c>
      <c r="F42" s="42" t="s">
        <v>2328</v>
      </c>
    </row>
    <row r="43" spans="1:7">
      <c r="A43" s="220" t="s">
        <v>1732</v>
      </c>
      <c r="B43" s="220">
        <v>2371643</v>
      </c>
      <c r="C43" s="221" t="s">
        <v>2587</v>
      </c>
      <c r="D43" s="112">
        <v>12901</v>
      </c>
      <c r="E43" s="112">
        <v>15054</v>
      </c>
      <c r="F43" s="42" t="s">
        <v>2328</v>
      </c>
    </row>
    <row r="44" spans="1:7">
      <c r="A44" s="220" t="s">
        <v>1732</v>
      </c>
      <c r="B44" s="220">
        <v>2251525</v>
      </c>
      <c r="C44" s="221" t="s">
        <v>2587</v>
      </c>
      <c r="D44" s="112">
        <v>13268</v>
      </c>
      <c r="E44" s="112">
        <v>13731</v>
      </c>
      <c r="F44" s="42" t="s">
        <v>2330</v>
      </c>
    </row>
    <row r="45" spans="1:7">
      <c r="A45" s="220" t="s">
        <v>1732</v>
      </c>
      <c r="B45" s="220">
        <v>2296943</v>
      </c>
      <c r="C45" s="221" t="s">
        <v>2587</v>
      </c>
      <c r="D45" s="112">
        <v>13268</v>
      </c>
      <c r="E45" s="112">
        <v>14151</v>
      </c>
      <c r="F45" s="42" t="s">
        <v>2331</v>
      </c>
    </row>
    <row r="46" spans="1:7">
      <c r="A46" s="220" t="s">
        <v>1732</v>
      </c>
      <c r="B46" s="220">
        <v>2296944</v>
      </c>
      <c r="C46" s="221" t="s">
        <v>2587</v>
      </c>
      <c r="D46" s="112">
        <v>13324</v>
      </c>
      <c r="E46" s="112">
        <v>14151</v>
      </c>
      <c r="F46" s="42" t="s">
        <v>2331</v>
      </c>
    </row>
    <row r="47" spans="1:7">
      <c r="A47" s="220" t="s">
        <v>1732</v>
      </c>
      <c r="B47" s="220">
        <v>2320380</v>
      </c>
      <c r="C47" s="221" t="s">
        <v>2587</v>
      </c>
      <c r="D47" s="112">
        <v>13340</v>
      </c>
      <c r="E47" s="112">
        <v>14396</v>
      </c>
      <c r="F47" s="42" t="s">
        <v>2328</v>
      </c>
    </row>
    <row r="48" spans="1:7">
      <c r="A48" s="220" t="s">
        <v>1732</v>
      </c>
      <c r="B48" s="220">
        <v>2349298</v>
      </c>
      <c r="C48" s="221" t="s">
        <v>2587</v>
      </c>
      <c r="D48" s="112">
        <v>13361</v>
      </c>
      <c r="E48" s="112">
        <v>14753</v>
      </c>
      <c r="F48" s="42" t="s">
        <v>2328</v>
      </c>
    </row>
    <row r="49" spans="1:7">
      <c r="A49" s="220" t="s">
        <v>1732</v>
      </c>
      <c r="B49" s="220">
        <v>2335265</v>
      </c>
      <c r="C49" s="221" t="s">
        <v>2587</v>
      </c>
      <c r="D49" s="112">
        <v>14082</v>
      </c>
      <c r="E49" s="112">
        <v>14547</v>
      </c>
      <c r="F49" s="42" t="s">
        <v>2328</v>
      </c>
    </row>
    <row r="50" spans="1:7">
      <c r="A50" s="42" t="s">
        <v>1732</v>
      </c>
      <c r="B50" s="42">
        <v>2453595</v>
      </c>
      <c r="C50" s="151" t="s">
        <v>2587</v>
      </c>
      <c r="D50" s="112">
        <v>14483</v>
      </c>
      <c r="E50" s="112">
        <v>16384</v>
      </c>
      <c r="F50" s="42" t="s">
        <v>2328</v>
      </c>
    </row>
    <row r="51" spans="1:7">
      <c r="A51" s="42" t="s">
        <v>1732</v>
      </c>
      <c r="B51" s="42">
        <v>2435458</v>
      </c>
      <c r="C51" s="151" t="s">
        <v>2587</v>
      </c>
      <c r="D51" s="112">
        <v>14587</v>
      </c>
      <c r="E51" s="112">
        <v>16104</v>
      </c>
      <c r="F51" s="42" t="s">
        <v>2328</v>
      </c>
    </row>
    <row r="52" spans="1:7">
      <c r="A52" s="42" t="s">
        <v>1732</v>
      </c>
      <c r="B52" s="42">
        <v>2454094</v>
      </c>
      <c r="C52" s="151" t="s">
        <v>2587</v>
      </c>
      <c r="D52" s="112">
        <v>14630</v>
      </c>
      <c r="E52" s="112">
        <v>16391</v>
      </c>
      <c r="F52" s="42" t="s">
        <v>2328</v>
      </c>
    </row>
    <row r="53" spans="1:7">
      <c r="A53" s="42" t="s">
        <v>1732</v>
      </c>
      <c r="B53" s="42">
        <v>2420198</v>
      </c>
      <c r="C53" s="151" t="s">
        <v>2587</v>
      </c>
      <c r="D53" s="112">
        <v>14781</v>
      </c>
      <c r="E53" s="112">
        <v>15831</v>
      </c>
      <c r="F53" s="42" t="s">
        <v>2328</v>
      </c>
    </row>
    <row r="54" spans="1:7">
      <c r="A54" s="42" t="s">
        <v>1732</v>
      </c>
      <c r="B54" s="42">
        <v>2452211</v>
      </c>
      <c r="C54" s="151" t="s">
        <v>2587</v>
      </c>
      <c r="D54" s="112">
        <v>14900</v>
      </c>
      <c r="E54" s="112">
        <v>16370</v>
      </c>
      <c r="F54" s="42" t="s">
        <v>2328</v>
      </c>
    </row>
    <row r="56" spans="1:7">
      <c r="A56" s="42" t="s">
        <v>2584</v>
      </c>
    </row>
    <row r="57" spans="1:7">
      <c r="A57" s="42" t="s">
        <v>1732</v>
      </c>
      <c r="B57" s="42">
        <v>2435548</v>
      </c>
      <c r="C57" s="151" t="s">
        <v>2587</v>
      </c>
      <c r="D57" s="112">
        <v>14553</v>
      </c>
      <c r="E57" s="112">
        <v>16104</v>
      </c>
      <c r="F57" s="42" t="s">
        <v>2328</v>
      </c>
      <c r="G57" s="115" t="s">
        <v>2523</v>
      </c>
    </row>
    <row r="58" spans="1:7">
      <c r="A58" s="42" t="s">
        <v>1732</v>
      </c>
      <c r="B58" s="42">
        <v>2420198</v>
      </c>
      <c r="C58" s="151" t="s">
        <v>2587</v>
      </c>
      <c r="D58" s="112">
        <v>14781</v>
      </c>
      <c r="E58" s="112">
        <v>15831</v>
      </c>
      <c r="F58" s="42" t="s">
        <v>2277</v>
      </c>
      <c r="G58" s="115" t="s">
        <v>2278</v>
      </c>
    </row>
    <row r="59" spans="1:7">
      <c r="A59" s="42" t="s">
        <v>1732</v>
      </c>
      <c r="B59" s="42">
        <v>2513520</v>
      </c>
      <c r="C59" s="151" t="s">
        <v>2587</v>
      </c>
      <c r="D59" s="112">
        <v>14848</v>
      </c>
      <c r="E59" s="112">
        <v>16986</v>
      </c>
      <c r="F59" s="42" t="s">
        <v>2334</v>
      </c>
      <c r="G59" s="115" t="s">
        <v>2358</v>
      </c>
    </row>
    <row r="60" spans="1:7">
      <c r="A60" s="42" t="s">
        <v>1732</v>
      </c>
      <c r="B60" s="42">
        <v>2568303</v>
      </c>
      <c r="C60" s="151" t="s">
        <v>2587</v>
      </c>
      <c r="D60" s="112">
        <v>14887</v>
      </c>
      <c r="E60" s="112">
        <v>17427</v>
      </c>
      <c r="F60" s="42" t="s">
        <v>2328</v>
      </c>
      <c r="G60" s="115" t="s">
        <v>2524</v>
      </c>
    </row>
    <row r="61" spans="1:7">
      <c r="A61" s="42" t="s">
        <v>1732</v>
      </c>
      <c r="B61" s="42">
        <v>2472988</v>
      </c>
      <c r="C61" s="151" t="s">
        <v>2587</v>
      </c>
      <c r="D61" s="112">
        <v>14911</v>
      </c>
      <c r="E61" s="112">
        <v>16601</v>
      </c>
      <c r="F61" s="42" t="s">
        <v>2328</v>
      </c>
      <c r="G61" s="115" t="s">
        <v>2230</v>
      </c>
    </row>
    <row r="62" spans="1:7">
      <c r="A62" s="42" t="s">
        <v>1732</v>
      </c>
      <c r="B62" s="42">
        <v>2481621</v>
      </c>
      <c r="C62" s="151" t="s">
        <v>2587</v>
      </c>
      <c r="D62" s="112">
        <v>15097</v>
      </c>
      <c r="E62" s="112">
        <v>16692</v>
      </c>
      <c r="F62" s="42" t="s">
        <v>2334</v>
      </c>
      <c r="G62" s="115" t="s">
        <v>2296</v>
      </c>
    </row>
    <row r="63" spans="1:7">
      <c r="A63" s="42" t="s">
        <v>1732</v>
      </c>
      <c r="B63" s="42">
        <v>2481622</v>
      </c>
      <c r="C63" s="151" t="s">
        <v>2587</v>
      </c>
      <c r="D63" s="112">
        <v>15132</v>
      </c>
      <c r="E63" s="112">
        <v>16692</v>
      </c>
      <c r="F63" s="42" t="s">
        <v>2334</v>
      </c>
      <c r="G63" s="115" t="s">
        <v>2519</v>
      </c>
    </row>
    <row r="64" spans="1:7">
      <c r="A64" s="42" t="s">
        <v>1732</v>
      </c>
      <c r="B64" s="42">
        <v>2578601</v>
      </c>
      <c r="C64" s="151" t="s">
        <v>2587</v>
      </c>
      <c r="D64" s="112">
        <v>15660</v>
      </c>
      <c r="E64" s="112">
        <v>17511</v>
      </c>
      <c r="F64" s="42" t="s">
        <v>2334</v>
      </c>
      <c r="G64" s="115" t="s">
        <v>2520</v>
      </c>
    </row>
    <row r="65" spans="1:7">
      <c r="A65" s="42" t="s">
        <v>1732</v>
      </c>
      <c r="B65" s="42">
        <v>2601328</v>
      </c>
      <c r="C65" s="151" t="s">
        <v>2587</v>
      </c>
      <c r="D65" s="112">
        <v>15968</v>
      </c>
      <c r="E65" s="112">
        <v>17707</v>
      </c>
      <c r="F65" s="42" t="s">
        <v>2334</v>
      </c>
      <c r="G65" s="115" t="s">
        <v>2521</v>
      </c>
    </row>
    <row r="66" spans="1:7">
      <c r="A66" s="42" t="s">
        <v>1732</v>
      </c>
      <c r="B66" s="42">
        <v>2585846</v>
      </c>
      <c r="C66" s="151" t="s">
        <v>2587</v>
      </c>
      <c r="D66" s="112">
        <v>16129</v>
      </c>
      <c r="E66" s="112">
        <v>17574</v>
      </c>
      <c r="F66" s="42" t="s">
        <v>2334</v>
      </c>
      <c r="G66" s="115" t="s">
        <v>2522</v>
      </c>
    </row>
    <row r="67" spans="1:7">
      <c r="A67" s="42" t="s">
        <v>1732</v>
      </c>
      <c r="B67" s="42">
        <v>2680146</v>
      </c>
      <c r="C67" s="151" t="s">
        <v>2587</v>
      </c>
      <c r="D67" s="112">
        <v>16952</v>
      </c>
      <c r="E67" s="112">
        <v>18414</v>
      </c>
      <c r="F67" s="42" t="s">
        <v>2334</v>
      </c>
      <c r="G67" s="115" t="s">
        <v>2295</v>
      </c>
    </row>
    <row r="68" spans="1:7" s="123" customFormat="1">
      <c r="A68" s="42"/>
      <c r="B68" s="42"/>
      <c r="C68" s="42"/>
      <c r="D68" s="112"/>
      <c r="E68" s="112"/>
      <c r="F68" s="42"/>
    </row>
    <row r="69" spans="1:7">
      <c r="A69" s="42" t="s">
        <v>1732</v>
      </c>
      <c r="B69" s="42">
        <v>709735</v>
      </c>
      <c r="C69" s="151" t="s">
        <v>2588</v>
      </c>
    </row>
    <row r="70" spans="1:7">
      <c r="A70" s="42" t="s">
        <v>1732</v>
      </c>
      <c r="B70" s="42">
        <v>599574</v>
      </c>
      <c r="C70" s="151" t="s">
        <v>2588</v>
      </c>
    </row>
    <row r="71" spans="1:7">
      <c r="A71" s="42" t="s">
        <v>1732</v>
      </c>
      <c r="B71" s="42">
        <v>590823</v>
      </c>
      <c r="C71" s="151" t="s">
        <v>2588</v>
      </c>
    </row>
    <row r="72" spans="1:7">
      <c r="A72" s="42" t="s">
        <v>1732</v>
      </c>
      <c r="B72" s="42">
        <v>580908</v>
      </c>
      <c r="C72" s="151" t="s">
        <v>2588</v>
      </c>
    </row>
    <row r="73" spans="1:7">
      <c r="A73" s="42" t="s">
        <v>1732</v>
      </c>
      <c r="B73" s="42">
        <v>576819</v>
      </c>
      <c r="C73" s="151" t="s">
        <v>2588</v>
      </c>
    </row>
    <row r="74" spans="1:7">
      <c r="A74" s="42" t="s">
        <v>1732</v>
      </c>
      <c r="B74" s="42">
        <v>563864</v>
      </c>
      <c r="C74" s="151" t="s">
        <v>2588</v>
      </c>
    </row>
    <row r="75" spans="1:7">
      <c r="A75" s="42" t="s">
        <v>1732</v>
      </c>
      <c r="B75" s="42">
        <v>556881</v>
      </c>
      <c r="C75" s="151" t="s">
        <v>2588</v>
      </c>
    </row>
    <row r="76" spans="1:7">
      <c r="A76" s="42" t="s">
        <v>1732</v>
      </c>
      <c r="B76" s="42">
        <v>544036</v>
      </c>
      <c r="C76" s="151" t="s">
        <v>2588</v>
      </c>
    </row>
    <row r="77" spans="1:7">
      <c r="A77" s="42" t="s">
        <v>1732</v>
      </c>
      <c r="B77" s="42">
        <v>523716</v>
      </c>
      <c r="C77" s="151" t="s">
        <v>2588</v>
      </c>
    </row>
    <row r="78" spans="1:7">
      <c r="A78" s="42" t="s">
        <v>1732</v>
      </c>
      <c r="B78" s="42">
        <v>12256</v>
      </c>
      <c r="C78" s="151" t="s">
        <v>2588</v>
      </c>
    </row>
    <row r="81" spans="1:6">
      <c r="A81" s="126" t="s">
        <v>2271</v>
      </c>
    </row>
    <row r="82" spans="1:6">
      <c r="A82" s="125" t="s">
        <v>2641</v>
      </c>
    </row>
    <row r="84" spans="1:6">
      <c r="A84" s="42" t="s">
        <v>2639</v>
      </c>
    </row>
    <row r="85" spans="1:6">
      <c r="A85" s="42" t="s">
        <v>2640</v>
      </c>
    </row>
    <row r="86" spans="1:6">
      <c r="A86" s="42" t="s">
        <v>2580</v>
      </c>
    </row>
    <row r="87" spans="1:6">
      <c r="A87" s="42" t="s">
        <v>2647</v>
      </c>
    </row>
    <row r="88" spans="1:6">
      <c r="A88" s="42" t="s">
        <v>1368</v>
      </c>
    </row>
    <row r="89" spans="1:6">
      <c r="A89" s="42" t="s">
        <v>1369</v>
      </c>
    </row>
    <row r="90" spans="1:6">
      <c r="A90" s="42" t="s">
        <v>2551</v>
      </c>
    </row>
    <row r="91" spans="1:6">
      <c r="A91" s="42" t="s">
        <v>2546</v>
      </c>
    </row>
    <row r="92" spans="1:6">
      <c r="A92" s="42" t="s">
        <v>2547</v>
      </c>
    </row>
    <row r="93" spans="1:6">
      <c r="A93" s="42" t="s">
        <v>2548</v>
      </c>
    </row>
    <row r="94" spans="1:6">
      <c r="A94" s="42" t="s">
        <v>2564</v>
      </c>
    </row>
    <row r="95" spans="1:6" s="205" customFormat="1">
      <c r="A95" s="42" t="s">
        <v>179</v>
      </c>
      <c r="B95" s="42"/>
      <c r="C95" s="42"/>
      <c r="D95" s="42"/>
      <c r="E95" s="42"/>
      <c r="F95" s="42"/>
    </row>
    <row r="97" spans="1:6">
      <c r="A97" s="126" t="s">
        <v>1407</v>
      </c>
    </row>
    <row r="98" spans="1:6">
      <c r="A98" s="42" t="s">
        <v>2597</v>
      </c>
    </row>
    <row r="99" spans="1:6">
      <c r="A99" s="42" t="s">
        <v>2725</v>
      </c>
    </row>
    <row r="100" spans="1:6" s="204" customFormat="1">
      <c r="A100" s="42" t="s">
        <v>2726</v>
      </c>
      <c r="B100" s="42"/>
      <c r="C100" s="42"/>
      <c r="D100" s="42"/>
      <c r="E100" s="42"/>
      <c r="F100" s="42"/>
    </row>
    <row r="102" spans="1:6">
      <c r="A102" s="126" t="s">
        <v>1411</v>
      </c>
    </row>
    <row r="103" spans="1:6">
      <c r="A103" s="42" t="s">
        <v>2571</v>
      </c>
      <c r="B103" s="42">
        <v>1942</v>
      </c>
    </row>
    <row r="104" spans="1:6">
      <c r="A104" s="42" t="s">
        <v>2552</v>
      </c>
      <c r="B104" s="42">
        <v>1942</v>
      </c>
    </row>
    <row r="105" spans="1:6">
      <c r="A105" s="42" t="s">
        <v>2554</v>
      </c>
      <c r="B105" s="42">
        <v>1942</v>
      </c>
    </row>
  </sheetData>
  <sheetCalcPr fullCalcOnLoad="1"/>
  <sortState ref="A57:XFD67">
    <sortCondition ref="D57:D67"/>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W110"/>
  <sheetViews>
    <sheetView topLeftCell="A25" workbookViewId="0">
      <selection activeCell="A42" sqref="A42:XFD135"/>
    </sheetView>
  </sheetViews>
  <sheetFormatPr baseColWidth="10" defaultColWidth="11" defaultRowHeight="13"/>
  <cols>
    <col min="1" max="1" width="11" style="123"/>
    <col min="2" max="2" width="11" style="27"/>
    <col min="3" max="3" width="11" style="62"/>
    <col min="4" max="6" width="11" style="27"/>
    <col min="7" max="16384" width="11" style="123"/>
  </cols>
  <sheetData>
    <row r="1" spans="1:49" ht="36">
      <c r="A1" s="1" t="s">
        <v>1869</v>
      </c>
      <c r="B1" s="1" t="s">
        <v>1890</v>
      </c>
      <c r="C1" s="1" t="s">
        <v>2613</v>
      </c>
      <c r="D1" s="1" t="s">
        <v>1891</v>
      </c>
      <c r="E1" s="1" t="s">
        <v>1892</v>
      </c>
      <c r="F1" s="1" t="s">
        <v>1837</v>
      </c>
      <c r="G1" s="2" t="s">
        <v>1631</v>
      </c>
      <c r="H1" s="3" t="s">
        <v>1838</v>
      </c>
      <c r="I1" s="4" t="s">
        <v>1797</v>
      </c>
      <c r="J1" s="4" t="s">
        <v>1689</v>
      </c>
      <c r="K1" s="4" t="s">
        <v>1839</v>
      </c>
      <c r="L1" s="4" t="s">
        <v>1827</v>
      </c>
      <c r="M1" s="4" t="s">
        <v>1840</v>
      </c>
      <c r="N1" s="4" t="s">
        <v>1841</v>
      </c>
      <c r="O1" s="4" t="s">
        <v>1842</v>
      </c>
      <c r="P1" s="4" t="s">
        <v>1843</v>
      </c>
      <c r="Q1" s="4" t="s">
        <v>1711</v>
      </c>
      <c r="R1" s="4" t="s">
        <v>1712</v>
      </c>
      <c r="S1" s="5" t="s">
        <v>1683</v>
      </c>
      <c r="T1" s="37" t="s">
        <v>1684</v>
      </c>
      <c r="U1" s="37" t="s">
        <v>1900</v>
      </c>
      <c r="V1" s="37" t="s">
        <v>1901</v>
      </c>
      <c r="W1" s="37" t="s">
        <v>1685</v>
      </c>
      <c r="X1" s="37" t="s">
        <v>1686</v>
      </c>
      <c r="Y1" s="7" t="s">
        <v>1687</v>
      </c>
      <c r="Z1" s="8" t="s">
        <v>1688</v>
      </c>
      <c r="AA1" s="10" t="s">
        <v>1810</v>
      </c>
      <c r="AB1" s="10" t="s">
        <v>1728</v>
      </c>
      <c r="AC1" s="10" t="s">
        <v>1763</v>
      </c>
      <c r="AD1" s="10" t="s">
        <v>1764</v>
      </c>
      <c r="AE1" s="10" t="s">
        <v>1860</v>
      </c>
      <c r="AF1" s="10" t="s">
        <v>1861</v>
      </c>
      <c r="AG1" s="10" t="s">
        <v>1693</v>
      </c>
      <c r="AH1" s="5" t="s">
        <v>1694</v>
      </c>
      <c r="AI1" s="37" t="s">
        <v>1862</v>
      </c>
      <c r="AJ1" s="37" t="s">
        <v>1744</v>
      </c>
      <c r="AK1" s="7" t="s">
        <v>1758</v>
      </c>
      <c r="AL1" s="7" t="s">
        <v>1921</v>
      </c>
      <c r="AM1" s="7" t="s">
        <v>1835</v>
      </c>
      <c r="AN1" s="7" t="s">
        <v>1836</v>
      </c>
      <c r="AO1" s="7" t="s">
        <v>1893</v>
      </c>
      <c r="AP1" s="7" t="s">
        <v>1894</v>
      </c>
      <c r="AQ1" s="10" t="s">
        <v>1895</v>
      </c>
      <c r="AR1" s="10" t="s">
        <v>1745</v>
      </c>
      <c r="AS1" s="10" t="s">
        <v>1713</v>
      </c>
      <c r="AT1" s="11" t="s">
        <v>1746</v>
      </c>
      <c r="AU1" s="1" t="s">
        <v>1899</v>
      </c>
      <c r="AV1" s="1" t="s">
        <v>1714</v>
      </c>
      <c r="AW1" s="1" t="s">
        <v>1715</v>
      </c>
    </row>
    <row r="2" spans="1:49">
      <c r="A2" s="123" t="s">
        <v>2700</v>
      </c>
      <c r="B2" s="1"/>
      <c r="C2" s="1"/>
      <c r="D2" s="1"/>
      <c r="E2" s="1"/>
      <c r="F2" s="1"/>
      <c r="G2" s="50"/>
      <c r="H2" s="50"/>
      <c r="I2" s="4"/>
      <c r="J2" s="4"/>
      <c r="K2" s="4"/>
      <c r="L2" s="4"/>
      <c r="M2" s="4"/>
      <c r="N2" s="4"/>
      <c r="O2" s="4"/>
      <c r="P2" s="4"/>
      <c r="Q2" s="4"/>
      <c r="R2" s="4"/>
      <c r="S2" s="6"/>
      <c r="T2" s="37"/>
      <c r="U2" s="37"/>
      <c r="V2" s="37"/>
      <c r="W2" s="37"/>
      <c r="X2" s="37"/>
      <c r="Y2" s="6"/>
      <c r="Z2" s="9"/>
      <c r="AA2" s="10"/>
      <c r="AB2" s="10"/>
      <c r="AC2" s="10"/>
      <c r="AD2" s="10"/>
      <c r="AE2" s="10"/>
      <c r="AF2" s="10"/>
      <c r="AG2" s="10"/>
      <c r="AH2" s="6"/>
      <c r="AI2" s="37"/>
      <c r="AJ2" s="37"/>
      <c r="AK2" s="6"/>
      <c r="AL2" s="6"/>
      <c r="AM2" s="6"/>
      <c r="AN2" s="6"/>
      <c r="AO2" s="6"/>
      <c r="AP2" s="6"/>
      <c r="AQ2" s="10"/>
      <c r="AR2" s="10"/>
      <c r="AS2" s="10"/>
      <c r="AT2" s="51"/>
      <c r="AU2" s="1"/>
      <c r="AV2" s="1"/>
      <c r="AW2" s="1"/>
    </row>
    <row r="3" spans="1:49" s="146" customFormat="1">
      <c r="A3" s="260" t="s">
        <v>2698</v>
      </c>
      <c r="B3" s="231">
        <v>2475529</v>
      </c>
      <c r="C3" s="261" t="s">
        <v>2677</v>
      </c>
      <c r="D3" s="144">
        <v>13796</v>
      </c>
      <c r="E3" s="144">
        <v>16622</v>
      </c>
      <c r="F3" s="143" t="s">
        <v>2703</v>
      </c>
      <c r="G3" s="143"/>
      <c r="H3" s="143"/>
      <c r="I3" s="143"/>
      <c r="J3" s="143"/>
      <c r="K3" s="143"/>
      <c r="L3" s="143"/>
      <c r="M3" s="143"/>
      <c r="N3" s="143"/>
      <c r="O3" s="143"/>
      <c r="P3" s="143"/>
      <c r="Q3" s="143"/>
      <c r="R3" s="143"/>
    </row>
    <row r="4" spans="1:49" s="125" customFormat="1">
      <c r="A4" s="260" t="s">
        <v>2698</v>
      </c>
      <c r="B4" s="262">
        <v>2417384</v>
      </c>
      <c r="C4" s="262" t="s">
        <v>2678</v>
      </c>
      <c r="D4" s="156">
        <v>14441</v>
      </c>
      <c r="E4" s="156">
        <v>15775</v>
      </c>
      <c r="F4" s="45" t="s">
        <v>2704</v>
      </c>
      <c r="G4" s="44"/>
      <c r="H4" s="44"/>
      <c r="I4" s="45"/>
      <c r="J4" s="45"/>
      <c r="K4" s="45"/>
      <c r="L4" s="45"/>
      <c r="M4" s="45"/>
      <c r="N4" s="45"/>
      <c r="O4" s="45"/>
      <c r="P4" s="45"/>
      <c r="Q4" s="45"/>
      <c r="R4" s="45"/>
      <c r="S4" s="44"/>
      <c r="T4" s="45"/>
      <c r="U4" s="45"/>
      <c r="V4" s="45"/>
      <c r="W4" s="45"/>
      <c r="X4" s="45"/>
      <c r="Y4" s="44"/>
      <c r="Z4" s="44"/>
      <c r="AA4" s="45"/>
      <c r="AB4" s="45"/>
      <c r="AC4" s="45"/>
      <c r="AD4" s="45"/>
      <c r="AE4" s="45"/>
      <c r="AF4" s="45"/>
      <c r="AG4" s="45"/>
      <c r="AH4" s="44"/>
      <c r="AI4" s="45"/>
      <c r="AJ4" s="45"/>
      <c r="AK4" s="44"/>
      <c r="AL4" s="44"/>
      <c r="AM4" s="44"/>
      <c r="AN4" s="44"/>
      <c r="AO4" s="44"/>
      <c r="AP4" s="44"/>
      <c r="AQ4" s="45"/>
      <c r="AR4" s="45"/>
      <c r="AS4" s="45"/>
      <c r="AT4" s="44"/>
      <c r="AU4" s="45"/>
      <c r="AV4" s="45"/>
      <c r="AW4" s="45"/>
    </row>
    <row r="5" spans="1:49" s="223" customFormat="1">
      <c r="A5" s="154" t="s">
        <v>2698</v>
      </c>
      <c r="B5" s="143">
        <v>2450085</v>
      </c>
      <c r="C5" s="143" t="s">
        <v>2677</v>
      </c>
      <c r="D5" s="144">
        <v>15760</v>
      </c>
      <c r="E5" s="144">
        <v>16342</v>
      </c>
      <c r="F5" s="143" t="s">
        <v>2705</v>
      </c>
      <c r="G5" s="224"/>
      <c r="H5" s="224"/>
      <c r="I5" s="224"/>
      <c r="J5" s="224"/>
      <c r="K5" s="224"/>
      <c r="L5" s="224"/>
      <c r="M5" s="224"/>
      <c r="N5" s="224"/>
      <c r="O5" s="224"/>
      <c r="P5" s="224"/>
      <c r="Q5" s="224"/>
      <c r="R5" s="224"/>
    </row>
    <row r="6" spans="1:49" s="247" customFormat="1">
      <c r="A6" s="154"/>
      <c r="B6" s="143"/>
      <c r="C6" s="259"/>
      <c r="D6" s="143"/>
      <c r="E6" s="143"/>
      <c r="F6" s="143"/>
    </row>
    <row r="7" spans="1:49" s="247" customFormat="1">
      <c r="A7" s="154" t="s">
        <v>2701</v>
      </c>
      <c r="B7" s="143"/>
      <c r="C7" s="259"/>
      <c r="D7" s="143"/>
      <c r="E7" s="143"/>
      <c r="F7" s="143"/>
    </row>
    <row r="8" spans="1:49" s="247" customFormat="1">
      <c r="A8" s="260" t="s">
        <v>2698</v>
      </c>
      <c r="B8" s="231">
        <v>2277169</v>
      </c>
      <c r="C8" s="263" t="s">
        <v>2588</v>
      </c>
      <c r="D8" s="206">
        <v>12632</v>
      </c>
      <c r="E8" s="206">
        <v>13962</v>
      </c>
      <c r="F8" s="143" t="s">
        <v>2706</v>
      </c>
    </row>
    <row r="9" spans="1:49" s="247" customFormat="1">
      <c r="A9" s="260" t="s">
        <v>2698</v>
      </c>
      <c r="B9" s="231">
        <v>2302645</v>
      </c>
      <c r="C9" s="263" t="s">
        <v>2702</v>
      </c>
      <c r="D9" s="206">
        <v>12632</v>
      </c>
      <c r="E9" s="206">
        <v>14200</v>
      </c>
      <c r="F9" s="143" t="s">
        <v>2704</v>
      </c>
    </row>
    <row r="10" spans="1:49" s="247" customFormat="1">
      <c r="A10" s="260" t="s">
        <v>2649</v>
      </c>
      <c r="B10" s="231">
        <v>2606809</v>
      </c>
      <c r="C10" s="263" t="s">
        <v>2588</v>
      </c>
      <c r="D10" s="206">
        <v>13923</v>
      </c>
      <c r="E10" s="206">
        <v>17756</v>
      </c>
      <c r="F10" s="143" t="s">
        <v>2703</v>
      </c>
    </row>
    <row r="11" spans="1:49" s="247" customFormat="1">
      <c r="A11" s="260" t="s">
        <v>2698</v>
      </c>
      <c r="B11" s="231">
        <v>2417383</v>
      </c>
      <c r="C11" s="263" t="s">
        <v>2587</v>
      </c>
      <c r="D11" s="206">
        <v>14208</v>
      </c>
      <c r="E11" s="206">
        <v>15775</v>
      </c>
      <c r="F11" s="143" t="s">
        <v>2704</v>
      </c>
    </row>
    <row r="12" spans="1:49" s="42" customFormat="1">
      <c r="A12" s="260" t="s">
        <v>2698</v>
      </c>
      <c r="B12" s="231">
        <v>2629956</v>
      </c>
      <c r="C12" s="263" t="s">
        <v>2702</v>
      </c>
      <c r="D12" s="206">
        <v>14300</v>
      </c>
      <c r="E12" s="206">
        <v>17959</v>
      </c>
      <c r="F12" s="143" t="s">
        <v>2703</v>
      </c>
    </row>
    <row r="13" spans="1:49" s="247" customFormat="1">
      <c r="A13" s="260" t="s">
        <v>2698</v>
      </c>
      <c r="B13" s="231">
        <v>2498592</v>
      </c>
      <c r="C13" s="263" t="s">
        <v>2702</v>
      </c>
      <c r="D13" s="206">
        <v>15005</v>
      </c>
      <c r="E13" s="206">
        <v>16853</v>
      </c>
      <c r="F13" s="143" t="s">
        <v>2703</v>
      </c>
    </row>
    <row r="14" spans="1:49" s="42" customFormat="1">
      <c r="B14" s="143"/>
      <c r="C14" s="151"/>
      <c r="D14" s="143"/>
      <c r="E14" s="143"/>
      <c r="F14" s="143"/>
    </row>
    <row r="15" spans="1:49">
      <c r="A15" s="47" t="s">
        <v>2271</v>
      </c>
    </row>
    <row r="16" spans="1:49">
      <c r="A16" s="70" t="s">
        <v>2651</v>
      </c>
    </row>
    <row r="18" spans="1:6">
      <c r="A18" s="123" t="s">
        <v>2674</v>
      </c>
    </row>
    <row r="19" spans="1:6">
      <c r="A19" s="123" t="s">
        <v>2636</v>
      </c>
    </row>
    <row r="20" spans="1:6">
      <c r="A20" s="123" t="s">
        <v>2532</v>
      </c>
    </row>
    <row r="21" spans="1:6">
      <c r="A21" s="123" t="s">
        <v>2615</v>
      </c>
    </row>
    <row r="22" spans="1:6">
      <c r="A22" s="123" t="s">
        <v>2622</v>
      </c>
    </row>
    <row r="23" spans="1:6">
      <c r="A23" s="123" t="s">
        <v>1369</v>
      </c>
    </row>
    <row r="24" spans="1:6">
      <c r="A24" s="123" t="s">
        <v>2623</v>
      </c>
    </row>
    <row r="25" spans="1:6">
      <c r="A25" s="123" t="s">
        <v>2648</v>
      </c>
    </row>
    <row r="26" spans="1:6">
      <c r="A26" s="123" t="s">
        <v>2625</v>
      </c>
    </row>
    <row r="27" spans="1:6">
      <c r="A27" s="123" t="s">
        <v>2676</v>
      </c>
    </row>
    <row r="28" spans="1:6">
      <c r="A28" s="207" t="s">
        <v>2869</v>
      </c>
    </row>
    <row r="29" spans="1:6" s="204" customFormat="1">
      <c r="B29" s="27"/>
      <c r="C29" s="62"/>
      <c r="D29" s="27"/>
      <c r="E29" s="27"/>
      <c r="F29" s="27"/>
    </row>
    <row r="31" spans="1:6">
      <c r="A31" s="47" t="s">
        <v>1411</v>
      </c>
    </row>
    <row r="32" spans="1:6">
      <c r="A32" s="123" t="s">
        <v>2650</v>
      </c>
      <c r="B32" s="155">
        <v>1946</v>
      </c>
    </row>
    <row r="33" spans="1:6">
      <c r="A33" s="123" t="s">
        <v>2598</v>
      </c>
      <c r="B33" s="155">
        <v>1946</v>
      </c>
    </row>
    <row r="34" spans="1:6">
      <c r="A34" s="123" t="s">
        <v>2675</v>
      </c>
      <c r="B34" s="155">
        <v>1949</v>
      </c>
    </row>
    <row r="35" spans="1:6">
      <c r="A35" s="123" t="s">
        <v>2654</v>
      </c>
      <c r="B35" s="155">
        <v>1949</v>
      </c>
    </row>
    <row r="36" spans="1:6">
      <c r="A36" s="123" t="s">
        <v>2621</v>
      </c>
      <c r="B36" s="155">
        <v>1949</v>
      </c>
    </row>
    <row r="37" spans="1:6">
      <c r="A37" s="123" t="s">
        <v>2673</v>
      </c>
      <c r="B37" s="155">
        <v>1949</v>
      </c>
    </row>
    <row r="39" spans="1:6" s="204" customFormat="1">
      <c r="A39" s="204" t="s">
        <v>2727</v>
      </c>
      <c r="B39" s="27"/>
      <c r="C39" s="62"/>
      <c r="D39" s="27"/>
      <c r="E39" s="27"/>
      <c r="F39" s="27"/>
    </row>
    <row r="40" spans="1:6">
      <c r="A40" s="204" t="s">
        <v>2754</v>
      </c>
    </row>
    <row r="42" spans="1:6">
      <c r="A42"/>
      <c r="C42"/>
    </row>
    <row r="43" spans="1:6">
      <c r="A43"/>
      <c r="C43"/>
    </row>
    <row r="44" spans="1:6">
      <c r="A44"/>
      <c r="C44"/>
    </row>
    <row r="45" spans="1:6">
      <c r="A45"/>
      <c r="C45"/>
    </row>
    <row r="46" spans="1:6">
      <c r="A46"/>
      <c r="C46"/>
    </row>
    <row r="47" spans="1:6">
      <c r="A47"/>
      <c r="C47"/>
    </row>
    <row r="48" spans="1:6">
      <c r="A48"/>
      <c r="C48"/>
    </row>
    <row r="49" spans="1:3">
      <c r="A49"/>
      <c r="C49"/>
    </row>
    <row r="50" spans="1:3">
      <c r="A50"/>
      <c r="C50"/>
    </row>
    <row r="51" spans="1:3">
      <c r="A51"/>
      <c r="C51"/>
    </row>
    <row r="52" spans="1:3">
      <c r="A52"/>
      <c r="C52"/>
    </row>
    <row r="53" spans="1:3">
      <c r="A53"/>
      <c r="C53"/>
    </row>
    <row r="54" spans="1:3">
      <c r="A54"/>
      <c r="C54"/>
    </row>
    <row r="55" spans="1:3">
      <c r="A55"/>
      <c r="C55"/>
    </row>
    <row r="56" spans="1:3">
      <c r="A56"/>
      <c r="C56"/>
    </row>
    <row r="57" spans="1:3">
      <c r="A57"/>
      <c r="C57"/>
    </row>
    <row r="58" spans="1:3">
      <c r="A58"/>
      <c r="C58"/>
    </row>
    <row r="59" spans="1:3">
      <c r="A59"/>
      <c r="C59"/>
    </row>
    <row r="60" spans="1:3">
      <c r="A60"/>
      <c r="C60"/>
    </row>
    <row r="61" spans="1:3">
      <c r="A61"/>
      <c r="C61"/>
    </row>
    <row r="62" spans="1:3">
      <c r="A62"/>
      <c r="C62"/>
    </row>
    <row r="63" spans="1:3">
      <c r="A63"/>
      <c r="C63"/>
    </row>
    <row r="64" spans="1:3">
      <c r="A64"/>
      <c r="C64"/>
    </row>
    <row r="65" spans="1:3">
      <c r="A65"/>
      <c r="C65"/>
    </row>
    <row r="66" spans="1:3">
      <c r="A66"/>
      <c r="C66"/>
    </row>
    <row r="67" spans="1:3">
      <c r="A67"/>
      <c r="C67"/>
    </row>
    <row r="68" spans="1:3">
      <c r="A68"/>
      <c r="C68"/>
    </row>
    <row r="69" spans="1:3">
      <c r="A69"/>
      <c r="C69"/>
    </row>
    <row r="70" spans="1:3">
      <c r="A70"/>
      <c r="C70"/>
    </row>
    <row r="71" spans="1:3">
      <c r="A71"/>
      <c r="C71"/>
    </row>
    <row r="72" spans="1:3">
      <c r="A72"/>
      <c r="C72"/>
    </row>
    <row r="73" spans="1:3">
      <c r="A73"/>
      <c r="C73"/>
    </row>
    <row r="74" spans="1:3">
      <c r="A74"/>
      <c r="C74"/>
    </row>
    <row r="75" spans="1:3">
      <c r="A75"/>
      <c r="C75"/>
    </row>
    <row r="76" spans="1:3">
      <c r="A76"/>
      <c r="C76"/>
    </row>
    <row r="77" spans="1:3">
      <c r="A77"/>
      <c r="C77"/>
    </row>
    <row r="78" spans="1:3">
      <c r="A78"/>
      <c r="C78"/>
    </row>
    <row r="79" spans="1:3">
      <c r="A79"/>
      <c r="C79"/>
    </row>
    <row r="80" spans="1:3">
      <c r="A80"/>
      <c r="C80"/>
    </row>
    <row r="81" spans="1:3">
      <c r="A81"/>
      <c r="C81"/>
    </row>
    <row r="82" spans="1:3">
      <c r="A82"/>
      <c r="C82"/>
    </row>
    <row r="83" spans="1:3">
      <c r="A83"/>
      <c r="C83"/>
    </row>
    <row r="84" spans="1:3">
      <c r="A84"/>
      <c r="C84"/>
    </row>
    <row r="85" spans="1:3">
      <c r="A85"/>
      <c r="C85"/>
    </row>
    <row r="86" spans="1:3">
      <c r="A86"/>
      <c r="C86"/>
    </row>
    <row r="87" spans="1:3">
      <c r="A87"/>
      <c r="C87"/>
    </row>
    <row r="88" spans="1:3">
      <c r="A88"/>
      <c r="C88"/>
    </row>
    <row r="89" spans="1:3">
      <c r="A89"/>
      <c r="C89"/>
    </row>
    <row r="90" spans="1:3">
      <c r="A90"/>
      <c r="C90"/>
    </row>
    <row r="91" spans="1:3">
      <c r="A91"/>
      <c r="C91"/>
    </row>
    <row r="92" spans="1:3">
      <c r="A92"/>
      <c r="C92"/>
    </row>
    <row r="93" spans="1:3">
      <c r="A93"/>
      <c r="C93"/>
    </row>
    <row r="94" spans="1:3">
      <c r="A94"/>
      <c r="C94"/>
    </row>
    <row r="95" spans="1:3">
      <c r="A95"/>
      <c r="C95"/>
    </row>
    <row r="96" spans="1:3">
      <c r="A96"/>
      <c r="C96"/>
    </row>
    <row r="97" spans="1:3">
      <c r="A97"/>
      <c r="C97"/>
    </row>
    <row r="98" spans="1:3">
      <c r="A98"/>
      <c r="C98"/>
    </row>
    <row r="99" spans="1:3">
      <c r="A99"/>
      <c r="C99"/>
    </row>
    <row r="100" spans="1:3">
      <c r="A100"/>
      <c r="C100"/>
    </row>
    <row r="101" spans="1:3">
      <c r="A101"/>
      <c r="C101"/>
    </row>
    <row r="102" spans="1:3">
      <c r="A102"/>
      <c r="C102"/>
    </row>
    <row r="103" spans="1:3">
      <c r="A103"/>
      <c r="C103"/>
    </row>
    <row r="104" spans="1:3">
      <c r="A104"/>
      <c r="C104"/>
    </row>
    <row r="105" spans="1:3">
      <c r="A105"/>
      <c r="C105"/>
    </row>
    <row r="106" spans="1:3">
      <c r="A106"/>
      <c r="C106"/>
    </row>
    <row r="107" spans="1:3">
      <c r="A107"/>
      <c r="C107"/>
    </row>
    <row r="108" spans="1:3">
      <c r="A108"/>
      <c r="C108"/>
    </row>
    <row r="109" spans="1:3">
      <c r="A109"/>
      <c r="C109"/>
    </row>
    <row r="110" spans="1:3">
      <c r="A110"/>
      <c r="C110"/>
    </row>
  </sheetData>
  <sheetCalcPr fullCalcOnLoad="1"/>
  <sortState ref="A8:XFD13">
    <sortCondition ref="D8:D13"/>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W45"/>
  <sheetViews>
    <sheetView topLeftCell="A31" workbookViewId="0">
      <selection activeCell="A48" sqref="A48:XFD133"/>
    </sheetView>
  </sheetViews>
  <sheetFormatPr baseColWidth="10" defaultRowHeight="13"/>
  <cols>
    <col min="1" max="5" width="10.7109375" style="42"/>
    <col min="6" max="16384" width="10.7109375" style="115"/>
  </cols>
  <sheetData>
    <row r="1" spans="1:49" s="87" customFormat="1" ht="39">
      <c r="A1" s="100" t="s">
        <v>1869</v>
      </c>
      <c r="B1" s="100" t="s">
        <v>1747</v>
      </c>
      <c r="C1" s="52" t="s">
        <v>2613</v>
      </c>
      <c r="D1" s="100" t="s">
        <v>2174</v>
      </c>
      <c r="E1" s="100" t="s">
        <v>2022</v>
      </c>
      <c r="F1" s="82" t="s">
        <v>2023</v>
      </c>
      <c r="G1" s="90" t="s">
        <v>1631</v>
      </c>
      <c r="H1" s="91" t="s">
        <v>1632</v>
      </c>
      <c r="I1" s="92" t="s">
        <v>1797</v>
      </c>
      <c r="J1" s="92" t="s">
        <v>1689</v>
      </c>
      <c r="K1" s="92" t="s">
        <v>1633</v>
      </c>
      <c r="L1" s="92" t="s">
        <v>1827</v>
      </c>
      <c r="M1" s="92" t="s">
        <v>1828</v>
      </c>
      <c r="N1" s="92" t="s">
        <v>1692</v>
      </c>
      <c r="O1" s="92" t="s">
        <v>1793</v>
      </c>
      <c r="P1" s="92" t="s">
        <v>1638</v>
      </c>
      <c r="Q1" s="92" t="s">
        <v>1801</v>
      </c>
      <c r="R1" s="92" t="s">
        <v>1700</v>
      </c>
      <c r="S1" s="93" t="s">
        <v>1683</v>
      </c>
      <c r="T1" s="94" t="s">
        <v>1684</v>
      </c>
      <c r="U1" s="94" t="s">
        <v>1900</v>
      </c>
      <c r="V1" s="94" t="s">
        <v>1901</v>
      </c>
      <c r="W1" s="94" t="s">
        <v>1685</v>
      </c>
      <c r="X1" s="94" t="s">
        <v>1686</v>
      </c>
      <c r="Y1" s="95" t="s">
        <v>1687</v>
      </c>
      <c r="Z1" s="96" t="s">
        <v>1688</v>
      </c>
      <c r="AA1" s="97" t="s">
        <v>1810</v>
      </c>
      <c r="AB1" s="97" t="s">
        <v>1728</v>
      </c>
      <c r="AC1" s="97" t="s">
        <v>1763</v>
      </c>
      <c r="AD1" s="97" t="s">
        <v>1764</v>
      </c>
      <c r="AE1" s="97" t="s">
        <v>1860</v>
      </c>
      <c r="AF1" s="97" t="s">
        <v>1861</v>
      </c>
      <c r="AG1" s="97" t="s">
        <v>1693</v>
      </c>
      <c r="AH1" s="93" t="s">
        <v>1694</v>
      </c>
      <c r="AI1" s="94" t="s">
        <v>1862</v>
      </c>
      <c r="AJ1" s="94" t="s">
        <v>1744</v>
      </c>
      <c r="AK1" s="95" t="s">
        <v>1758</v>
      </c>
      <c r="AL1" s="95" t="s">
        <v>1921</v>
      </c>
      <c r="AM1" s="95" t="s">
        <v>1835</v>
      </c>
      <c r="AN1" s="95" t="s">
        <v>1836</v>
      </c>
      <c r="AO1" s="95" t="s">
        <v>1893</v>
      </c>
      <c r="AP1" s="95" t="s">
        <v>1894</v>
      </c>
      <c r="AQ1" s="98" t="s">
        <v>1895</v>
      </c>
      <c r="AR1" s="98" t="s">
        <v>1745</v>
      </c>
      <c r="AS1" s="98" t="s">
        <v>2193</v>
      </c>
      <c r="AT1" s="99" t="s">
        <v>1746</v>
      </c>
      <c r="AU1" s="82" t="s">
        <v>1899</v>
      </c>
      <c r="AV1" s="82" t="s">
        <v>2194</v>
      </c>
      <c r="AW1" s="82" t="s">
        <v>2195</v>
      </c>
    </row>
    <row r="2" spans="1:49">
      <c r="A2" s="42" t="s">
        <v>1352</v>
      </c>
    </row>
    <row r="3" spans="1:49">
      <c r="A3" s="220" t="s">
        <v>226</v>
      </c>
      <c r="B3" s="220">
        <v>2306207</v>
      </c>
      <c r="C3" s="221" t="s">
        <v>2589</v>
      </c>
      <c r="D3" s="112">
        <v>11536</v>
      </c>
      <c r="E3" s="112">
        <v>14235</v>
      </c>
      <c r="F3" s="115" t="s">
        <v>2335</v>
      </c>
    </row>
    <row r="4" spans="1:49">
      <c r="A4" s="220" t="s">
        <v>226</v>
      </c>
      <c r="B4" s="220">
        <v>2161250</v>
      </c>
      <c r="C4" s="221" t="s">
        <v>2589</v>
      </c>
      <c r="D4" s="112">
        <v>11666</v>
      </c>
      <c r="E4" s="112">
        <v>12940</v>
      </c>
      <c r="F4" s="109" t="s">
        <v>2289</v>
      </c>
    </row>
    <row r="5" spans="1:49">
      <c r="A5" s="220" t="s">
        <v>226</v>
      </c>
      <c r="B5" s="220">
        <v>2168869</v>
      </c>
      <c r="C5" s="221" t="s">
        <v>2589</v>
      </c>
      <c r="D5" s="112">
        <v>12222</v>
      </c>
      <c r="E5" s="112">
        <v>13003</v>
      </c>
      <c r="F5" s="109" t="s">
        <v>1317</v>
      </c>
    </row>
    <row r="6" spans="1:49">
      <c r="A6" s="220" t="s">
        <v>226</v>
      </c>
      <c r="B6" s="220">
        <v>2201716</v>
      </c>
      <c r="C6" s="221" t="s">
        <v>2589</v>
      </c>
      <c r="D6" s="112">
        <v>12480</v>
      </c>
      <c r="E6" s="112">
        <v>13290</v>
      </c>
      <c r="F6" s="207" t="s">
        <v>2335</v>
      </c>
    </row>
    <row r="8" spans="1:49">
      <c r="A8" s="42" t="s">
        <v>1353</v>
      </c>
    </row>
    <row r="9" spans="1:49">
      <c r="A9" s="220" t="s">
        <v>226</v>
      </c>
      <c r="B9" s="220">
        <v>2306246</v>
      </c>
      <c r="C9" s="221" t="s">
        <v>2588</v>
      </c>
      <c r="D9" s="112">
        <v>11499</v>
      </c>
      <c r="E9" s="112">
        <v>14235</v>
      </c>
      <c r="F9" s="115" t="s">
        <v>2288</v>
      </c>
    </row>
    <row r="10" spans="1:49">
      <c r="A10" s="220" t="s">
        <v>226</v>
      </c>
      <c r="B10" s="220">
        <v>2230402</v>
      </c>
      <c r="C10" s="221" t="s">
        <v>2588</v>
      </c>
      <c r="D10" s="112">
        <v>11666</v>
      </c>
      <c r="E10" s="112">
        <v>13549</v>
      </c>
      <c r="F10" s="115" t="s">
        <v>2290</v>
      </c>
    </row>
    <row r="11" spans="1:49">
      <c r="A11" s="220" t="s">
        <v>226</v>
      </c>
      <c r="B11" s="220">
        <v>2054217</v>
      </c>
      <c r="C11" s="221" t="s">
        <v>2588</v>
      </c>
      <c r="D11" s="112">
        <v>11666</v>
      </c>
      <c r="E11" s="112">
        <v>11946</v>
      </c>
      <c r="F11" s="115" t="s">
        <v>2289</v>
      </c>
    </row>
    <row r="12" spans="1:49">
      <c r="A12" s="220" t="s">
        <v>226</v>
      </c>
      <c r="B12" s="220">
        <v>2230403</v>
      </c>
      <c r="C12" s="221" t="s">
        <v>2588</v>
      </c>
      <c r="D12" s="112">
        <v>11666</v>
      </c>
      <c r="E12" s="112">
        <v>13549</v>
      </c>
      <c r="F12" s="115" t="s">
        <v>2289</v>
      </c>
    </row>
    <row r="13" spans="1:49">
      <c r="A13" s="220" t="s">
        <v>226</v>
      </c>
      <c r="B13" s="220">
        <v>2357506</v>
      </c>
      <c r="C13" s="221" t="s">
        <v>2588</v>
      </c>
      <c r="D13" s="112">
        <v>12380</v>
      </c>
      <c r="E13" s="112">
        <v>14858</v>
      </c>
      <c r="F13" s="115" t="s">
        <v>2288</v>
      </c>
    </row>
    <row r="14" spans="1:49">
      <c r="A14" s="220" t="s">
        <v>226</v>
      </c>
      <c r="B14" s="220">
        <v>2223719</v>
      </c>
      <c r="C14" s="221" t="s">
        <v>2588</v>
      </c>
      <c r="D14" s="112">
        <v>12433</v>
      </c>
      <c r="E14" s="112">
        <v>13486</v>
      </c>
      <c r="F14" s="115" t="s">
        <v>2291</v>
      </c>
    </row>
    <row r="15" spans="1:49">
      <c r="A15" s="220" t="s">
        <v>226</v>
      </c>
      <c r="B15" s="220">
        <v>2191456</v>
      </c>
      <c r="C15" s="221" t="s">
        <v>2588</v>
      </c>
      <c r="D15" s="112">
        <v>12473</v>
      </c>
      <c r="E15" s="112">
        <v>13206</v>
      </c>
      <c r="F15" s="115" t="s">
        <v>2291</v>
      </c>
    </row>
    <row r="16" spans="1:49">
      <c r="A16" s="220" t="s">
        <v>226</v>
      </c>
      <c r="B16" s="220">
        <v>2215286</v>
      </c>
      <c r="C16" s="221" t="s">
        <v>2588</v>
      </c>
      <c r="D16" s="112">
        <v>12473</v>
      </c>
      <c r="E16" s="112">
        <v>13409</v>
      </c>
      <c r="F16" s="115" t="s">
        <v>2291</v>
      </c>
    </row>
    <row r="17" spans="1:6">
      <c r="A17" s="220" t="s">
        <v>226</v>
      </c>
      <c r="B17" s="220">
        <v>2344350</v>
      </c>
      <c r="C17" s="221" t="s">
        <v>2588</v>
      </c>
      <c r="D17" s="112">
        <v>12522</v>
      </c>
      <c r="E17" s="112">
        <v>14683</v>
      </c>
      <c r="F17" s="115" t="s">
        <v>2289</v>
      </c>
    </row>
    <row r="18" spans="1:6">
      <c r="A18" s="220" t="s">
        <v>226</v>
      </c>
      <c r="B18" s="220">
        <v>2183862</v>
      </c>
      <c r="C18" s="221" t="s">
        <v>2588</v>
      </c>
      <c r="D18" s="112">
        <v>12804</v>
      </c>
      <c r="E18" s="112">
        <v>13136</v>
      </c>
      <c r="F18" s="115" t="s">
        <v>2288</v>
      </c>
    </row>
    <row r="20" spans="1:6">
      <c r="A20" s="126" t="s">
        <v>2271</v>
      </c>
    </row>
    <row r="21" spans="1:6">
      <c r="A21" s="125" t="s">
        <v>2683</v>
      </c>
    </row>
    <row r="23" spans="1:6">
      <c r="A23" s="42" t="s">
        <v>2687</v>
      </c>
    </row>
    <row r="24" spans="1:6">
      <c r="A24" s="42" t="s">
        <v>2636</v>
      </c>
    </row>
    <row r="25" spans="1:6">
      <c r="A25" s="42" t="s">
        <v>1298</v>
      </c>
    </row>
    <row r="26" spans="1:6">
      <c r="A26" s="42" t="s">
        <v>1318</v>
      </c>
    </row>
    <row r="27" spans="1:6">
      <c r="A27" s="42" t="s">
        <v>1368</v>
      </c>
    </row>
    <row r="28" spans="1:6">
      <c r="A28" s="42" t="s">
        <v>1369</v>
      </c>
    </row>
    <row r="29" spans="1:6">
      <c r="A29" s="42" t="s">
        <v>2685</v>
      </c>
    </row>
    <row r="30" spans="1:6">
      <c r="A30" s="42" t="s">
        <v>2686</v>
      </c>
    </row>
    <row r="31" spans="1:6">
      <c r="A31" s="42" t="s">
        <v>2626</v>
      </c>
    </row>
    <row r="32" spans="1:6">
      <c r="A32" s="42" t="s">
        <v>2593</v>
      </c>
    </row>
    <row r="33" spans="1:5">
      <c r="A33" s="42" t="s">
        <v>2776</v>
      </c>
    </row>
    <row r="35" spans="1:5">
      <c r="A35" s="126" t="s">
        <v>1407</v>
      </c>
    </row>
    <row r="36" spans="1:5">
      <c r="A36" s="42" t="s">
        <v>1315</v>
      </c>
    </row>
    <row r="37" spans="1:5">
      <c r="A37" s="42" t="s">
        <v>1316</v>
      </c>
    </row>
    <row r="38" spans="1:5">
      <c r="A38" s="42" t="s">
        <v>1296</v>
      </c>
    </row>
    <row r="39" spans="1:5" s="123" customFormat="1">
      <c r="A39" s="42" t="s">
        <v>2689</v>
      </c>
      <c r="B39" s="42"/>
      <c r="C39" s="42"/>
      <c r="D39" s="42"/>
      <c r="E39" s="42"/>
    </row>
    <row r="40" spans="1:5" s="204" customFormat="1">
      <c r="A40" s="42" t="s">
        <v>2721</v>
      </c>
      <c r="B40" s="42"/>
      <c r="C40" s="42"/>
      <c r="D40" s="42"/>
      <c r="E40" s="42"/>
    </row>
    <row r="42" spans="1:5">
      <c r="A42" s="126" t="s">
        <v>1411</v>
      </c>
    </row>
    <row r="43" spans="1:5">
      <c r="A43" s="42" t="s">
        <v>2591</v>
      </c>
      <c r="B43" s="42">
        <v>1946</v>
      </c>
    </row>
    <row r="44" spans="1:5">
      <c r="A44" s="42" t="s">
        <v>2628</v>
      </c>
      <c r="B44" s="42">
        <v>1946</v>
      </c>
    </row>
    <row r="45" spans="1:5">
      <c r="A45" s="42" t="s">
        <v>2618</v>
      </c>
      <c r="B45" s="42">
        <v>1946</v>
      </c>
    </row>
  </sheetData>
  <sheetCalcPr fullCalcOnLoad="1"/>
  <sortState ref="A9:XFD18">
    <sortCondition ref="D9:D18"/>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W27"/>
  <sheetViews>
    <sheetView workbookViewId="0">
      <selection activeCell="A2" sqref="A2:D3"/>
    </sheetView>
  </sheetViews>
  <sheetFormatPr baseColWidth="10" defaultColWidth="11" defaultRowHeight="13"/>
  <cols>
    <col min="3" max="3" width="11" style="123"/>
  </cols>
  <sheetData>
    <row r="1" spans="1:49" ht="36">
      <c r="A1" s="1" t="s">
        <v>1869</v>
      </c>
      <c r="B1" s="1" t="s">
        <v>1890</v>
      </c>
      <c r="C1" s="1" t="s">
        <v>2613</v>
      </c>
      <c r="D1" s="1" t="s">
        <v>1891</v>
      </c>
      <c r="E1" s="1" t="s">
        <v>1892</v>
      </c>
      <c r="F1" s="1" t="s">
        <v>1837</v>
      </c>
      <c r="G1" s="2" t="s">
        <v>1631</v>
      </c>
      <c r="H1" s="3" t="s">
        <v>1838</v>
      </c>
      <c r="I1" s="4" t="s">
        <v>1797</v>
      </c>
      <c r="J1" s="4" t="s">
        <v>1689</v>
      </c>
      <c r="K1" s="4" t="s">
        <v>1839</v>
      </c>
      <c r="L1" s="4" t="s">
        <v>1827</v>
      </c>
      <c r="M1" s="4" t="s">
        <v>1840</v>
      </c>
      <c r="N1" s="4" t="s">
        <v>1841</v>
      </c>
      <c r="O1" s="4" t="s">
        <v>1842</v>
      </c>
      <c r="P1" s="4" t="s">
        <v>1843</v>
      </c>
      <c r="Q1" s="4" t="s">
        <v>1711</v>
      </c>
      <c r="R1" s="4" t="s">
        <v>1712</v>
      </c>
      <c r="S1" s="5" t="s">
        <v>1683</v>
      </c>
      <c r="T1" s="37" t="s">
        <v>1684</v>
      </c>
      <c r="U1" s="37" t="s">
        <v>1900</v>
      </c>
      <c r="V1" s="37" t="s">
        <v>1901</v>
      </c>
      <c r="W1" s="37" t="s">
        <v>1685</v>
      </c>
      <c r="X1" s="37" t="s">
        <v>1686</v>
      </c>
      <c r="Y1" s="7" t="s">
        <v>1687</v>
      </c>
      <c r="Z1" s="8" t="s">
        <v>1688</v>
      </c>
      <c r="AA1" s="10" t="s">
        <v>1810</v>
      </c>
      <c r="AB1" s="10" t="s">
        <v>1728</v>
      </c>
      <c r="AC1" s="10" t="s">
        <v>1763</v>
      </c>
      <c r="AD1" s="10" t="s">
        <v>1764</v>
      </c>
      <c r="AE1" s="10" t="s">
        <v>1860</v>
      </c>
      <c r="AF1" s="10" t="s">
        <v>1861</v>
      </c>
      <c r="AG1" s="10" t="s">
        <v>1693</v>
      </c>
      <c r="AH1" s="5" t="s">
        <v>1694</v>
      </c>
      <c r="AI1" s="37" t="s">
        <v>1862</v>
      </c>
      <c r="AJ1" s="37" t="s">
        <v>1744</v>
      </c>
      <c r="AK1" s="7" t="s">
        <v>1758</v>
      </c>
      <c r="AL1" s="7" t="s">
        <v>1921</v>
      </c>
      <c r="AM1" s="7" t="s">
        <v>1835</v>
      </c>
      <c r="AN1" s="7" t="s">
        <v>1836</v>
      </c>
      <c r="AO1" s="7" t="s">
        <v>1893</v>
      </c>
      <c r="AP1" s="7" t="s">
        <v>1894</v>
      </c>
      <c r="AQ1" s="10" t="s">
        <v>1895</v>
      </c>
      <c r="AR1" s="10" t="s">
        <v>1745</v>
      </c>
      <c r="AS1" s="10" t="s">
        <v>1713</v>
      </c>
      <c r="AT1" s="11" t="s">
        <v>1746</v>
      </c>
      <c r="AU1" s="1" t="s">
        <v>1899</v>
      </c>
      <c r="AV1" s="1" t="s">
        <v>1714</v>
      </c>
      <c r="AW1" s="1" t="s">
        <v>1715</v>
      </c>
    </row>
    <row r="2" spans="1:49" s="42" customFormat="1">
      <c r="A2" s="220" t="s">
        <v>2611</v>
      </c>
      <c r="B2" s="220">
        <v>2452834</v>
      </c>
      <c r="C2" s="221" t="s">
        <v>2588</v>
      </c>
      <c r="D2" s="112">
        <v>15416</v>
      </c>
      <c r="E2" s="112">
        <v>16377</v>
      </c>
      <c r="F2" s="42" t="s">
        <v>2614</v>
      </c>
    </row>
    <row r="3" spans="1:49" s="42" customFormat="1">
      <c r="A3" s="220" t="s">
        <v>2612</v>
      </c>
      <c r="B3" s="220">
        <v>2461974</v>
      </c>
      <c r="C3" s="221" t="s">
        <v>2588</v>
      </c>
      <c r="D3" s="112">
        <v>15236</v>
      </c>
      <c r="E3" s="112">
        <v>16482</v>
      </c>
      <c r="F3" s="42" t="s">
        <v>2579</v>
      </c>
    </row>
    <row r="6" spans="1:49">
      <c r="A6" s="47" t="s">
        <v>2271</v>
      </c>
    </row>
    <row r="7" spans="1:49">
      <c r="A7" s="70" t="s">
        <v>2528</v>
      </c>
    </row>
    <row r="8" spans="1:49">
      <c r="A8" s="123"/>
    </row>
    <row r="9" spans="1:49">
      <c r="A9" s="123" t="s">
        <v>2531</v>
      </c>
    </row>
    <row r="10" spans="1:49">
      <c r="A10" s="123" t="s">
        <v>2636</v>
      </c>
    </row>
    <row r="11" spans="1:49">
      <c r="A11" s="123" t="s">
        <v>2532</v>
      </c>
    </row>
    <row r="12" spans="1:49">
      <c r="A12" s="123" t="s">
        <v>2533</v>
      </c>
    </row>
    <row r="13" spans="1:49">
      <c r="A13" s="123" t="s">
        <v>2622</v>
      </c>
    </row>
    <row r="14" spans="1:49">
      <c r="A14" s="123" t="s">
        <v>1369</v>
      </c>
    </row>
    <row r="15" spans="1:49">
      <c r="A15" s="123" t="s">
        <v>2623</v>
      </c>
    </row>
    <row r="16" spans="1:49">
      <c r="A16" s="123" t="s">
        <v>2624</v>
      </c>
    </row>
    <row r="17" spans="1:2">
      <c r="A17" s="123" t="s">
        <v>2625</v>
      </c>
    </row>
    <row r="18" spans="1:2">
      <c r="A18" s="123" t="s">
        <v>2593</v>
      </c>
    </row>
    <row r="19" spans="1:2">
      <c r="A19" s="123" t="s">
        <v>2607</v>
      </c>
    </row>
    <row r="20" spans="1:2">
      <c r="A20" s="123"/>
    </row>
    <row r="21" spans="1:2">
      <c r="A21" s="47" t="s">
        <v>1411</v>
      </c>
    </row>
    <row r="22" spans="1:2">
      <c r="A22" s="123" t="s">
        <v>2608</v>
      </c>
      <c r="B22">
        <v>1948</v>
      </c>
    </row>
    <row r="23" spans="1:2">
      <c r="A23" s="123" t="s">
        <v>2609</v>
      </c>
      <c r="B23">
        <v>1948</v>
      </c>
    </row>
    <row r="24" spans="1:2">
      <c r="A24" s="123" t="s">
        <v>2610</v>
      </c>
      <c r="B24">
        <v>1948</v>
      </c>
    </row>
    <row r="26" spans="1:2">
      <c r="A26" s="47" t="s">
        <v>2722</v>
      </c>
    </row>
    <row r="27" spans="1:2">
      <c r="A27" s="204" t="s">
        <v>2723</v>
      </c>
    </row>
  </sheetData>
  <sheetCalcPr fullCalcOnLoad="1"/>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E607"/>
  <sheetViews>
    <sheetView topLeftCell="A250" workbookViewId="0">
      <selection activeCell="E255" sqref="E255:E284"/>
    </sheetView>
  </sheetViews>
  <sheetFormatPr baseColWidth="10" defaultRowHeight="13"/>
  <cols>
    <col min="1" max="1" width="10.7109375" style="338"/>
    <col min="2" max="2" width="10.7109375" style="342"/>
    <col min="3" max="3" width="10.7109375" style="63"/>
  </cols>
  <sheetData>
    <row r="1" spans="1:5">
      <c r="A1" s="330" t="s">
        <v>4101</v>
      </c>
      <c r="B1" s="333" t="s">
        <v>4019</v>
      </c>
      <c r="C1" s="332" t="s">
        <v>3094</v>
      </c>
      <c r="D1" s="372" t="s">
        <v>4131</v>
      </c>
      <c r="E1" s="378" t="s">
        <v>4155</v>
      </c>
    </row>
    <row r="2" spans="1:5">
      <c r="A2" s="234" t="s">
        <v>225</v>
      </c>
      <c r="B2" s="234">
        <v>1869308</v>
      </c>
      <c r="C2" s="235" t="s">
        <v>50</v>
      </c>
      <c r="D2">
        <v>1</v>
      </c>
      <c r="E2" s="377" t="s">
        <v>4156</v>
      </c>
    </row>
    <row r="3" spans="1:5">
      <c r="A3" s="234" t="s">
        <v>225</v>
      </c>
      <c r="B3" s="234">
        <v>1875732</v>
      </c>
      <c r="C3" s="235" t="s">
        <v>50</v>
      </c>
      <c r="D3" s="371">
        <v>1</v>
      </c>
      <c r="E3" s="377" t="s">
        <v>4156</v>
      </c>
    </row>
    <row r="4" spans="1:5">
      <c r="A4" s="234" t="s">
        <v>225</v>
      </c>
      <c r="B4" s="234">
        <v>1883648</v>
      </c>
      <c r="C4" s="235" t="s">
        <v>50</v>
      </c>
      <c r="D4" s="371">
        <v>1</v>
      </c>
      <c r="E4" s="377" t="s">
        <v>4156</v>
      </c>
    </row>
    <row r="5" spans="1:5">
      <c r="A5" s="234" t="s">
        <v>225</v>
      </c>
      <c r="B5" s="234">
        <v>1895982</v>
      </c>
      <c r="C5" s="235" t="s">
        <v>50</v>
      </c>
      <c r="D5" s="371">
        <v>1</v>
      </c>
      <c r="E5" s="377" t="s">
        <v>4156</v>
      </c>
    </row>
    <row r="6" spans="1:5">
      <c r="A6" s="234" t="s">
        <v>225</v>
      </c>
      <c r="B6" s="234">
        <v>1895983</v>
      </c>
      <c r="C6" s="235" t="s">
        <v>50</v>
      </c>
      <c r="D6" s="371">
        <v>1</v>
      </c>
      <c r="E6" s="377" t="s">
        <v>4156</v>
      </c>
    </row>
    <row r="7" spans="1:5">
      <c r="A7" s="234" t="s">
        <v>225</v>
      </c>
      <c r="B7" s="234">
        <v>1900600</v>
      </c>
      <c r="C7" s="235" t="s">
        <v>50</v>
      </c>
      <c r="D7" s="371">
        <v>1</v>
      </c>
      <c r="E7" s="377" t="s">
        <v>4156</v>
      </c>
    </row>
    <row r="8" spans="1:5">
      <c r="A8" s="234" t="s">
        <v>225</v>
      </c>
      <c r="B8" s="234">
        <v>1906636</v>
      </c>
      <c r="C8" s="235" t="s">
        <v>50</v>
      </c>
      <c r="D8" s="371">
        <v>1</v>
      </c>
      <c r="E8" s="377" t="s">
        <v>4156</v>
      </c>
    </row>
    <row r="9" spans="1:5">
      <c r="A9" s="234" t="s">
        <v>225</v>
      </c>
      <c r="B9" s="234">
        <v>1947929</v>
      </c>
      <c r="C9" s="235" t="s">
        <v>50</v>
      </c>
      <c r="D9" s="371">
        <v>1</v>
      </c>
      <c r="E9" s="377" t="s">
        <v>4156</v>
      </c>
    </row>
    <row r="10" spans="1:5">
      <c r="A10" s="234" t="s">
        <v>225</v>
      </c>
      <c r="B10" s="234">
        <v>1957995</v>
      </c>
      <c r="C10" s="235" t="s">
        <v>50</v>
      </c>
      <c r="D10" s="371">
        <v>1</v>
      </c>
      <c r="E10" s="377" t="s">
        <v>4156</v>
      </c>
    </row>
    <row r="11" spans="1:5">
      <c r="A11" s="234" t="s">
        <v>225</v>
      </c>
      <c r="B11" s="234">
        <v>1962059</v>
      </c>
      <c r="C11" s="235" t="s">
        <v>50</v>
      </c>
      <c r="D11" s="371">
        <v>1</v>
      </c>
      <c r="E11" s="377" t="s">
        <v>4156</v>
      </c>
    </row>
    <row r="12" spans="1:5">
      <c r="A12" s="234" t="s">
        <v>225</v>
      </c>
      <c r="B12" s="234">
        <v>1964907</v>
      </c>
      <c r="C12" s="235" t="s">
        <v>50</v>
      </c>
      <c r="D12" s="371">
        <v>1</v>
      </c>
      <c r="E12" s="377" t="s">
        <v>4156</v>
      </c>
    </row>
    <row r="13" spans="1:5">
      <c r="A13" s="234" t="s">
        <v>225</v>
      </c>
      <c r="B13" s="234">
        <v>1979149</v>
      </c>
      <c r="C13" s="235" t="s">
        <v>50</v>
      </c>
      <c r="D13" s="371">
        <v>1</v>
      </c>
      <c r="E13" s="377" t="s">
        <v>4156</v>
      </c>
    </row>
    <row r="14" spans="1:5">
      <c r="A14" s="234" t="s">
        <v>225</v>
      </c>
      <c r="B14" s="234">
        <v>1981535</v>
      </c>
      <c r="C14" s="235" t="s">
        <v>50</v>
      </c>
      <c r="D14" s="371">
        <v>1</v>
      </c>
      <c r="E14" s="377" t="s">
        <v>4156</v>
      </c>
    </row>
    <row r="15" spans="1:5">
      <c r="A15" s="234" t="s">
        <v>225</v>
      </c>
      <c r="B15" s="234">
        <v>2049835</v>
      </c>
      <c r="C15" s="235" t="s">
        <v>50</v>
      </c>
      <c r="D15" s="371">
        <v>1</v>
      </c>
      <c r="E15" s="377" t="s">
        <v>4156</v>
      </c>
    </row>
    <row r="16" spans="1:5">
      <c r="A16" s="234" t="s">
        <v>225</v>
      </c>
      <c r="B16" s="234">
        <v>2081880</v>
      </c>
      <c r="C16" s="235" t="s">
        <v>50</v>
      </c>
      <c r="D16" s="371">
        <v>1</v>
      </c>
      <c r="E16" s="377" t="s">
        <v>4156</v>
      </c>
    </row>
    <row r="17" spans="1:5">
      <c r="A17" s="234" t="s">
        <v>225</v>
      </c>
      <c r="B17" s="234">
        <v>2133382</v>
      </c>
      <c r="C17" s="235" t="s">
        <v>50</v>
      </c>
      <c r="D17" s="371">
        <v>1</v>
      </c>
      <c r="E17" s="377" t="s">
        <v>4156</v>
      </c>
    </row>
    <row r="18" spans="1:5">
      <c r="A18" s="234" t="s">
        <v>225</v>
      </c>
      <c r="B18" s="234">
        <v>2133398</v>
      </c>
      <c r="C18" s="235" t="s">
        <v>50</v>
      </c>
      <c r="D18" s="371">
        <v>1</v>
      </c>
      <c r="E18" s="377" t="s">
        <v>4156</v>
      </c>
    </row>
    <row r="19" spans="1:5">
      <c r="A19" s="234" t="s">
        <v>225</v>
      </c>
      <c r="B19" s="234">
        <v>2133399</v>
      </c>
      <c r="C19" s="235" t="s">
        <v>50</v>
      </c>
      <c r="D19" s="371">
        <v>1</v>
      </c>
      <c r="E19" s="377" t="s">
        <v>4156</v>
      </c>
    </row>
    <row r="20" spans="1:5">
      <c r="A20" s="234" t="s">
        <v>225</v>
      </c>
      <c r="B20" s="234">
        <v>1836570</v>
      </c>
      <c r="C20" s="235" t="s">
        <v>50</v>
      </c>
      <c r="D20">
        <v>2</v>
      </c>
      <c r="E20" s="377" t="s">
        <v>4157</v>
      </c>
    </row>
    <row r="21" spans="1:5">
      <c r="A21" s="234" t="s">
        <v>225</v>
      </c>
      <c r="B21" s="234">
        <v>1837375</v>
      </c>
      <c r="C21" s="235" t="s">
        <v>50</v>
      </c>
      <c r="D21" s="371">
        <v>2</v>
      </c>
      <c r="E21" s="377" t="s">
        <v>4157</v>
      </c>
    </row>
    <row r="22" spans="1:5">
      <c r="A22" s="234" t="s">
        <v>225</v>
      </c>
      <c r="B22" s="234">
        <v>1868962</v>
      </c>
      <c r="C22" s="235" t="s">
        <v>50</v>
      </c>
      <c r="D22" s="371">
        <v>2</v>
      </c>
      <c r="E22" s="377" t="s">
        <v>4157</v>
      </c>
    </row>
    <row r="23" spans="1:5">
      <c r="A23" s="234" t="s">
        <v>225</v>
      </c>
      <c r="B23" s="234">
        <v>1878094</v>
      </c>
      <c r="C23" s="235" t="s">
        <v>50</v>
      </c>
      <c r="D23" s="371">
        <v>2</v>
      </c>
      <c r="E23" s="377" t="s">
        <v>4157</v>
      </c>
    </row>
    <row r="24" spans="1:5">
      <c r="A24" s="234" t="s">
        <v>225</v>
      </c>
      <c r="B24" s="234">
        <v>1878169</v>
      </c>
      <c r="C24" s="235" t="s">
        <v>50</v>
      </c>
      <c r="D24" s="371">
        <v>2</v>
      </c>
      <c r="E24" s="377" t="s">
        <v>4157</v>
      </c>
    </row>
    <row r="25" spans="1:5">
      <c r="A25" s="234" t="s">
        <v>225</v>
      </c>
      <c r="B25" s="234">
        <v>1884311</v>
      </c>
      <c r="C25" s="235" t="s">
        <v>50</v>
      </c>
      <c r="D25" s="371">
        <v>2</v>
      </c>
      <c r="E25" s="377" t="s">
        <v>4157</v>
      </c>
    </row>
    <row r="26" spans="1:5">
      <c r="A26" s="234" t="s">
        <v>225</v>
      </c>
      <c r="B26" s="234">
        <v>1920903</v>
      </c>
      <c r="C26" s="235" t="s">
        <v>50</v>
      </c>
      <c r="D26" s="371">
        <v>2</v>
      </c>
      <c r="E26" s="377" t="s">
        <v>4157</v>
      </c>
    </row>
    <row r="27" spans="1:5">
      <c r="A27" s="234" t="s">
        <v>225</v>
      </c>
      <c r="B27" s="234">
        <v>1929509</v>
      </c>
      <c r="C27" s="235" t="s">
        <v>50</v>
      </c>
      <c r="D27" s="371">
        <v>2</v>
      </c>
      <c r="E27" s="377" t="s">
        <v>4157</v>
      </c>
    </row>
    <row r="28" spans="1:5">
      <c r="A28" s="234" t="s">
        <v>225</v>
      </c>
      <c r="B28" s="234">
        <v>1948964</v>
      </c>
      <c r="C28" s="235" t="s">
        <v>50</v>
      </c>
      <c r="D28" s="371">
        <v>2</v>
      </c>
      <c r="E28" s="377" t="s">
        <v>4157</v>
      </c>
    </row>
    <row r="29" spans="1:5">
      <c r="A29" s="234" t="s">
        <v>225</v>
      </c>
      <c r="B29" s="234">
        <v>1965540</v>
      </c>
      <c r="C29" s="235" t="s">
        <v>50</v>
      </c>
      <c r="D29" s="371">
        <v>2</v>
      </c>
      <c r="E29" s="377" t="s">
        <v>4157</v>
      </c>
    </row>
    <row r="30" spans="1:5">
      <c r="A30" s="234" t="s">
        <v>225</v>
      </c>
      <c r="B30" s="234">
        <v>1971626</v>
      </c>
      <c r="C30" s="235" t="s">
        <v>50</v>
      </c>
      <c r="D30" s="371">
        <v>2</v>
      </c>
      <c r="E30" s="377" t="s">
        <v>4157</v>
      </c>
    </row>
    <row r="31" spans="1:5">
      <c r="A31" s="234" t="s">
        <v>225</v>
      </c>
      <c r="B31" s="234">
        <v>2010530</v>
      </c>
      <c r="C31" s="235" t="s">
        <v>50</v>
      </c>
      <c r="D31" s="371">
        <v>2</v>
      </c>
      <c r="E31" s="377" t="s">
        <v>4157</v>
      </c>
    </row>
    <row r="32" spans="1:5">
      <c r="A32" s="234" t="s">
        <v>225</v>
      </c>
      <c r="B32" s="234">
        <v>2016004</v>
      </c>
      <c r="C32" s="235" t="s">
        <v>50</v>
      </c>
      <c r="D32" s="371">
        <v>2</v>
      </c>
      <c r="E32" s="377" t="s">
        <v>4157</v>
      </c>
    </row>
    <row r="33" spans="1:5">
      <c r="A33" s="234" t="s">
        <v>225</v>
      </c>
      <c r="B33" s="234">
        <v>2016247</v>
      </c>
      <c r="C33" s="235" t="s">
        <v>50</v>
      </c>
      <c r="D33" s="371">
        <v>2</v>
      </c>
      <c r="E33" s="377" t="s">
        <v>4157</v>
      </c>
    </row>
    <row r="34" spans="1:5">
      <c r="A34" s="234" t="s">
        <v>225</v>
      </c>
      <c r="B34" s="234">
        <v>2025670</v>
      </c>
      <c r="C34" s="235" t="s">
        <v>50</v>
      </c>
      <c r="D34" s="371">
        <v>2</v>
      </c>
      <c r="E34" s="377" t="s">
        <v>4157</v>
      </c>
    </row>
    <row r="35" spans="1:5">
      <c r="A35" s="234" t="s">
        <v>225</v>
      </c>
      <c r="B35" s="234">
        <v>2050990</v>
      </c>
      <c r="C35" s="235" t="s">
        <v>50</v>
      </c>
      <c r="D35" s="371">
        <v>2</v>
      </c>
      <c r="E35" s="377" t="s">
        <v>4157</v>
      </c>
    </row>
    <row r="36" spans="1:5">
      <c r="A36" s="234" t="s">
        <v>225</v>
      </c>
      <c r="B36" s="234">
        <v>2050991</v>
      </c>
      <c r="C36" s="235" t="s">
        <v>50</v>
      </c>
      <c r="D36" s="371">
        <v>2</v>
      </c>
      <c r="E36" s="377" t="s">
        <v>4157</v>
      </c>
    </row>
    <row r="37" spans="1:5">
      <c r="A37" s="234" t="s">
        <v>225</v>
      </c>
      <c r="B37" s="234">
        <v>2068624</v>
      </c>
      <c r="C37" s="235" t="s">
        <v>50</v>
      </c>
      <c r="D37" s="371">
        <v>2</v>
      </c>
      <c r="E37" s="377" t="s">
        <v>4157</v>
      </c>
    </row>
    <row r="38" spans="1:5">
      <c r="A38" s="234" t="s">
        <v>225</v>
      </c>
      <c r="B38" s="234">
        <v>2071102</v>
      </c>
      <c r="C38" s="235" t="s">
        <v>50</v>
      </c>
      <c r="D38" s="371">
        <v>2</v>
      </c>
      <c r="E38" s="377" t="s">
        <v>4157</v>
      </c>
    </row>
    <row r="39" spans="1:5">
      <c r="A39" s="234" t="s">
        <v>225</v>
      </c>
      <c r="B39" s="234">
        <v>2163783</v>
      </c>
      <c r="C39" s="235" t="s">
        <v>50</v>
      </c>
      <c r="D39" s="371">
        <v>2</v>
      </c>
      <c r="E39" s="377" t="s">
        <v>4157</v>
      </c>
    </row>
    <row r="40" spans="1:5">
      <c r="A40" s="234" t="s">
        <v>225</v>
      </c>
      <c r="B40" s="234">
        <v>1819881</v>
      </c>
      <c r="C40" s="235" t="s">
        <v>50</v>
      </c>
      <c r="D40">
        <v>3</v>
      </c>
      <c r="E40" s="377" t="s">
        <v>4158</v>
      </c>
    </row>
    <row r="41" spans="1:5">
      <c r="A41" s="234" t="s">
        <v>225</v>
      </c>
      <c r="B41" s="234">
        <v>1819882</v>
      </c>
      <c r="C41" s="235" t="s">
        <v>50</v>
      </c>
      <c r="D41" s="371">
        <v>3</v>
      </c>
      <c r="E41" s="377" t="s">
        <v>4158</v>
      </c>
    </row>
    <row r="42" spans="1:5">
      <c r="A42" s="234" t="s">
        <v>225</v>
      </c>
      <c r="B42" s="234">
        <v>1822737</v>
      </c>
      <c r="C42" s="235" t="s">
        <v>50</v>
      </c>
      <c r="D42" s="371">
        <v>3</v>
      </c>
      <c r="E42" s="377" t="s">
        <v>4158</v>
      </c>
    </row>
    <row r="43" spans="1:5">
      <c r="A43" s="234" t="s">
        <v>225</v>
      </c>
      <c r="B43" s="234">
        <v>1822738</v>
      </c>
      <c r="C43" s="235" t="s">
        <v>50</v>
      </c>
      <c r="D43" s="371">
        <v>3</v>
      </c>
      <c r="E43" s="377" t="s">
        <v>4158</v>
      </c>
    </row>
    <row r="44" spans="1:5">
      <c r="A44" s="234" t="s">
        <v>225</v>
      </c>
      <c r="B44" s="234">
        <v>1823731</v>
      </c>
      <c r="C44" s="235" t="s">
        <v>50</v>
      </c>
      <c r="D44" s="371">
        <v>3</v>
      </c>
      <c r="E44" s="377" t="s">
        <v>4158</v>
      </c>
    </row>
    <row r="45" spans="1:5">
      <c r="A45" s="234" t="s">
        <v>225</v>
      </c>
      <c r="B45" s="234">
        <v>1830533</v>
      </c>
      <c r="C45" s="235" t="s">
        <v>50</v>
      </c>
      <c r="D45" s="371">
        <v>3</v>
      </c>
      <c r="E45" s="377" t="s">
        <v>4158</v>
      </c>
    </row>
    <row r="46" spans="1:5">
      <c r="A46" s="234" t="s">
        <v>225</v>
      </c>
      <c r="B46" s="234">
        <v>1833798</v>
      </c>
      <c r="C46" s="235" t="s">
        <v>50</v>
      </c>
      <c r="D46" s="371">
        <v>3</v>
      </c>
      <c r="E46" s="377" t="s">
        <v>4158</v>
      </c>
    </row>
    <row r="47" spans="1:5">
      <c r="A47" s="234" t="s">
        <v>225</v>
      </c>
      <c r="B47" s="234">
        <v>1834864</v>
      </c>
      <c r="C47" s="235" t="s">
        <v>50</v>
      </c>
      <c r="D47" s="371">
        <v>3</v>
      </c>
      <c r="E47" s="377" t="s">
        <v>4158</v>
      </c>
    </row>
    <row r="48" spans="1:5">
      <c r="A48" s="234" t="s">
        <v>225</v>
      </c>
      <c r="B48" s="234">
        <v>1835922</v>
      </c>
      <c r="C48" s="235" t="s">
        <v>50</v>
      </c>
      <c r="D48" s="371">
        <v>3</v>
      </c>
      <c r="E48" s="377" t="s">
        <v>4158</v>
      </c>
    </row>
    <row r="49" spans="1:5">
      <c r="A49" s="234" t="s">
        <v>225</v>
      </c>
      <c r="B49" s="234">
        <v>1853882</v>
      </c>
      <c r="C49" s="235" t="s">
        <v>50</v>
      </c>
      <c r="D49" s="371">
        <v>3</v>
      </c>
      <c r="E49" s="377" t="s">
        <v>4158</v>
      </c>
    </row>
    <row r="50" spans="1:5">
      <c r="A50" s="234" t="s">
        <v>225</v>
      </c>
      <c r="B50" s="234">
        <v>1853883</v>
      </c>
      <c r="C50" s="235" t="s">
        <v>50</v>
      </c>
      <c r="D50" s="371">
        <v>3</v>
      </c>
      <c r="E50" s="377" t="s">
        <v>4158</v>
      </c>
    </row>
    <row r="51" spans="1:5">
      <c r="A51" s="234" t="s">
        <v>225</v>
      </c>
      <c r="B51" s="234">
        <v>1888075</v>
      </c>
      <c r="C51" s="235" t="s">
        <v>50</v>
      </c>
      <c r="D51" s="371">
        <v>3</v>
      </c>
      <c r="E51" s="377" t="s">
        <v>4158</v>
      </c>
    </row>
    <row r="52" spans="1:5">
      <c r="A52" s="234" t="s">
        <v>225</v>
      </c>
      <c r="B52" s="234">
        <v>1892551</v>
      </c>
      <c r="C52" s="235" t="s">
        <v>50</v>
      </c>
      <c r="D52" s="371">
        <v>3</v>
      </c>
      <c r="E52" s="377" t="s">
        <v>4158</v>
      </c>
    </row>
    <row r="53" spans="1:5">
      <c r="A53" s="234" t="s">
        <v>225</v>
      </c>
      <c r="B53" s="234">
        <v>1895396</v>
      </c>
      <c r="C53" s="235" t="s">
        <v>50</v>
      </c>
      <c r="D53" s="371">
        <v>3</v>
      </c>
      <c r="E53" s="377" t="s">
        <v>4158</v>
      </c>
    </row>
    <row r="54" spans="1:5">
      <c r="A54" s="234" t="s">
        <v>225</v>
      </c>
      <c r="B54" s="234">
        <v>1896841</v>
      </c>
      <c r="C54" s="235" t="s">
        <v>50</v>
      </c>
      <c r="D54" s="371">
        <v>3</v>
      </c>
      <c r="E54" s="377" t="s">
        <v>4158</v>
      </c>
    </row>
    <row r="55" spans="1:5">
      <c r="A55" s="234" t="s">
        <v>225</v>
      </c>
      <c r="B55" s="234">
        <v>1899591</v>
      </c>
      <c r="C55" s="235" t="s">
        <v>50</v>
      </c>
      <c r="D55" s="371">
        <v>3</v>
      </c>
      <c r="E55" s="377" t="s">
        <v>4158</v>
      </c>
    </row>
    <row r="56" spans="1:5">
      <c r="A56" s="234" t="s">
        <v>225</v>
      </c>
      <c r="B56" s="234">
        <v>1902487</v>
      </c>
      <c r="C56" s="235" t="s">
        <v>50</v>
      </c>
      <c r="D56" s="371">
        <v>3</v>
      </c>
      <c r="E56" s="377" t="s">
        <v>4158</v>
      </c>
    </row>
    <row r="57" spans="1:5">
      <c r="A57" s="234" t="s">
        <v>225</v>
      </c>
      <c r="B57" s="234">
        <v>1905691</v>
      </c>
      <c r="C57" s="235" t="s">
        <v>50</v>
      </c>
      <c r="D57" s="371">
        <v>3</v>
      </c>
      <c r="E57" s="377" t="s">
        <v>4158</v>
      </c>
    </row>
    <row r="58" spans="1:5">
      <c r="A58" s="234" t="s">
        <v>225</v>
      </c>
      <c r="B58" s="234">
        <v>1933312</v>
      </c>
      <c r="C58" s="235" t="s">
        <v>50</v>
      </c>
      <c r="D58" s="371">
        <v>3</v>
      </c>
      <c r="E58" s="377" t="s">
        <v>4158</v>
      </c>
    </row>
    <row r="59" spans="1:5">
      <c r="A59" s="234" t="s">
        <v>225</v>
      </c>
      <c r="B59" s="234">
        <v>1933313</v>
      </c>
      <c r="C59" s="235" t="s">
        <v>50</v>
      </c>
      <c r="D59" s="371">
        <v>3</v>
      </c>
      <c r="E59" s="377" t="s">
        <v>4158</v>
      </c>
    </row>
    <row r="60" spans="1:5">
      <c r="A60" s="234" t="s">
        <v>225</v>
      </c>
      <c r="B60" s="234">
        <v>1933347</v>
      </c>
      <c r="C60" s="235" t="s">
        <v>50</v>
      </c>
      <c r="D60" s="371">
        <v>3</v>
      </c>
      <c r="E60" s="377" t="s">
        <v>4158</v>
      </c>
    </row>
    <row r="61" spans="1:5">
      <c r="A61" s="234" t="s">
        <v>225</v>
      </c>
      <c r="B61" s="234">
        <v>1933348</v>
      </c>
      <c r="C61" s="235" t="s">
        <v>50</v>
      </c>
      <c r="D61" s="371">
        <v>3</v>
      </c>
      <c r="E61" s="377" t="s">
        <v>4158</v>
      </c>
    </row>
    <row r="62" spans="1:5">
      <c r="A62" s="234" t="s">
        <v>225</v>
      </c>
      <c r="B62" s="234">
        <v>1970393</v>
      </c>
      <c r="C62" s="235" t="s">
        <v>50</v>
      </c>
      <c r="D62" s="371">
        <v>3</v>
      </c>
      <c r="E62" s="377" t="s">
        <v>4158</v>
      </c>
    </row>
    <row r="63" spans="1:5">
      <c r="A63" s="234" t="s">
        <v>225</v>
      </c>
      <c r="B63" s="234">
        <v>1978233</v>
      </c>
      <c r="C63" s="235" t="s">
        <v>50</v>
      </c>
      <c r="D63" s="371">
        <v>3</v>
      </c>
      <c r="E63" s="377" t="s">
        <v>4158</v>
      </c>
    </row>
    <row r="64" spans="1:5">
      <c r="A64" s="234" t="s">
        <v>225</v>
      </c>
      <c r="B64" s="234">
        <v>2004769</v>
      </c>
      <c r="C64" s="235" t="s">
        <v>50</v>
      </c>
      <c r="D64" s="371">
        <v>3</v>
      </c>
      <c r="E64" s="377" t="s">
        <v>4158</v>
      </c>
    </row>
    <row r="65" spans="1:5">
      <c r="A65" s="234" t="s">
        <v>225</v>
      </c>
      <c r="B65" s="234">
        <v>2048516</v>
      </c>
      <c r="C65" s="235" t="s">
        <v>50</v>
      </c>
      <c r="D65" s="371">
        <v>3</v>
      </c>
      <c r="E65" s="377" t="s">
        <v>4158</v>
      </c>
    </row>
    <row r="66" spans="1:5">
      <c r="A66" s="234" t="s">
        <v>225</v>
      </c>
      <c r="B66" s="234">
        <v>2053163</v>
      </c>
      <c r="C66" s="235" t="s">
        <v>50</v>
      </c>
      <c r="D66" s="371">
        <v>3</v>
      </c>
      <c r="E66" s="377" t="s">
        <v>4158</v>
      </c>
    </row>
    <row r="67" spans="1:5">
      <c r="A67" s="234" t="s">
        <v>225</v>
      </c>
      <c r="B67" s="234">
        <v>2089052</v>
      </c>
      <c r="C67" s="235" t="s">
        <v>50</v>
      </c>
      <c r="D67" s="371">
        <v>3</v>
      </c>
      <c r="E67" s="377" t="s">
        <v>4158</v>
      </c>
    </row>
    <row r="68" spans="1:5">
      <c r="A68" s="234" t="s">
        <v>225</v>
      </c>
      <c r="B68" s="234">
        <v>2093305</v>
      </c>
      <c r="C68" s="235" t="s">
        <v>50</v>
      </c>
      <c r="D68" s="371">
        <v>3</v>
      </c>
      <c r="E68" s="377" t="s">
        <v>4158</v>
      </c>
    </row>
    <row r="69" spans="1:5">
      <c r="A69" s="234" t="s">
        <v>225</v>
      </c>
      <c r="B69" s="234">
        <v>2133405</v>
      </c>
      <c r="C69" s="235" t="s">
        <v>50</v>
      </c>
      <c r="D69" s="371">
        <v>3</v>
      </c>
      <c r="E69" s="377" t="s">
        <v>4158</v>
      </c>
    </row>
    <row r="70" spans="1:5">
      <c r="A70" s="234" t="s">
        <v>225</v>
      </c>
      <c r="B70" s="234">
        <v>1874235</v>
      </c>
      <c r="C70" s="235" t="s">
        <v>50</v>
      </c>
      <c r="D70">
        <v>4</v>
      </c>
      <c r="E70" s="377" t="s">
        <v>4159</v>
      </c>
    </row>
    <row r="71" spans="1:5">
      <c r="A71" s="234" t="s">
        <v>225</v>
      </c>
      <c r="B71" s="234">
        <v>1931592</v>
      </c>
      <c r="C71" s="235" t="s">
        <v>50</v>
      </c>
      <c r="D71">
        <v>4</v>
      </c>
      <c r="E71" s="377" t="s">
        <v>4159</v>
      </c>
    </row>
    <row r="72" spans="1:5">
      <c r="A72" s="234" t="s">
        <v>225</v>
      </c>
      <c r="B72" s="234">
        <v>1892663</v>
      </c>
      <c r="C72" s="235" t="s">
        <v>50</v>
      </c>
      <c r="D72">
        <v>5</v>
      </c>
      <c r="E72" s="377" t="s">
        <v>4160</v>
      </c>
    </row>
    <row r="73" spans="1:5">
      <c r="A73" s="234" t="s">
        <v>225</v>
      </c>
      <c r="B73" s="234">
        <v>1950608</v>
      </c>
      <c r="C73" s="235" t="s">
        <v>50</v>
      </c>
      <c r="D73">
        <v>5</v>
      </c>
      <c r="E73" s="377" t="s">
        <v>4160</v>
      </c>
    </row>
    <row r="74" spans="1:5">
      <c r="A74" s="234" t="s">
        <v>225</v>
      </c>
      <c r="B74" s="234">
        <v>1959526</v>
      </c>
      <c r="C74" s="235" t="s">
        <v>50</v>
      </c>
      <c r="D74">
        <v>5</v>
      </c>
      <c r="E74" s="377" t="s">
        <v>4160</v>
      </c>
    </row>
    <row r="75" spans="1:5">
      <c r="A75" s="336" t="s">
        <v>334</v>
      </c>
      <c r="B75" s="339">
        <v>1976439</v>
      </c>
      <c r="C75" s="340" t="s">
        <v>4020</v>
      </c>
      <c r="D75">
        <v>1</v>
      </c>
      <c r="E75" s="377" t="s">
        <v>4161</v>
      </c>
    </row>
    <row r="76" spans="1:5">
      <c r="A76" s="336" t="s">
        <v>334</v>
      </c>
      <c r="B76" s="339">
        <v>2003739</v>
      </c>
      <c r="C76" s="340" t="s">
        <v>4020</v>
      </c>
      <c r="D76">
        <v>1</v>
      </c>
      <c r="E76" s="377" t="s">
        <v>4161</v>
      </c>
    </row>
    <row r="77" spans="1:5">
      <c r="A77" s="336" t="s">
        <v>334</v>
      </c>
      <c r="B77" s="339">
        <v>2003760</v>
      </c>
      <c r="C77" s="340" t="s">
        <v>4020</v>
      </c>
      <c r="D77">
        <v>1</v>
      </c>
      <c r="E77" s="377" t="s">
        <v>4161</v>
      </c>
    </row>
    <row r="78" spans="1:5">
      <c r="A78" s="336" t="s">
        <v>334</v>
      </c>
      <c r="B78" s="339">
        <v>2012194</v>
      </c>
      <c r="C78" s="340" t="s">
        <v>4020</v>
      </c>
      <c r="D78">
        <v>1</v>
      </c>
      <c r="E78" s="377" t="s">
        <v>4161</v>
      </c>
    </row>
    <row r="79" spans="1:5">
      <c r="A79" s="337" t="s">
        <v>686</v>
      </c>
      <c r="B79" s="341">
        <v>1805874</v>
      </c>
      <c r="C79" s="340" t="s">
        <v>4020</v>
      </c>
      <c r="D79">
        <v>1</v>
      </c>
      <c r="E79" s="377" t="s">
        <v>4192</v>
      </c>
    </row>
    <row r="80" spans="1:5">
      <c r="A80" s="337" t="s">
        <v>686</v>
      </c>
      <c r="B80" s="341">
        <v>1807340</v>
      </c>
      <c r="C80" s="340" t="s">
        <v>4020</v>
      </c>
      <c r="D80" s="377">
        <v>1</v>
      </c>
      <c r="E80" s="377" t="s">
        <v>4192</v>
      </c>
    </row>
    <row r="81" spans="1:5">
      <c r="A81" s="337" t="s">
        <v>686</v>
      </c>
      <c r="B81" s="341">
        <v>1810367</v>
      </c>
      <c r="C81" s="340" t="s">
        <v>4020</v>
      </c>
      <c r="D81" s="377">
        <v>1</v>
      </c>
      <c r="E81" s="377" t="s">
        <v>4192</v>
      </c>
    </row>
    <row r="82" spans="1:5">
      <c r="A82" s="336" t="s">
        <v>686</v>
      </c>
      <c r="B82" s="341">
        <v>1818693</v>
      </c>
      <c r="C82" s="340" t="s">
        <v>4020</v>
      </c>
      <c r="D82" s="377">
        <v>1</v>
      </c>
      <c r="E82" s="377" t="s">
        <v>4192</v>
      </c>
    </row>
    <row r="83" spans="1:5">
      <c r="A83" s="336" t="s">
        <v>686</v>
      </c>
      <c r="B83" s="341">
        <v>1818721</v>
      </c>
      <c r="C83" s="340" t="s">
        <v>4020</v>
      </c>
      <c r="D83" s="377">
        <v>1</v>
      </c>
      <c r="E83" s="377" t="s">
        <v>4192</v>
      </c>
    </row>
    <row r="84" spans="1:5">
      <c r="A84" s="336" t="s">
        <v>686</v>
      </c>
      <c r="B84" s="341">
        <v>1837231</v>
      </c>
      <c r="C84" s="340" t="s">
        <v>4020</v>
      </c>
      <c r="D84" s="377">
        <v>1</v>
      </c>
      <c r="E84" s="377" t="s">
        <v>4192</v>
      </c>
    </row>
    <row r="85" spans="1:5">
      <c r="A85" s="336" t="s">
        <v>686</v>
      </c>
      <c r="B85" s="341">
        <v>1856774</v>
      </c>
      <c r="C85" s="340" t="s">
        <v>4020</v>
      </c>
      <c r="D85" s="377">
        <v>1</v>
      </c>
      <c r="E85" s="377" t="s">
        <v>4192</v>
      </c>
    </row>
    <row r="86" spans="1:5">
      <c r="A86" s="336" t="s">
        <v>686</v>
      </c>
      <c r="B86" s="341">
        <v>1858675</v>
      </c>
      <c r="C86" s="340" t="s">
        <v>4020</v>
      </c>
      <c r="D86" s="377">
        <v>1</v>
      </c>
      <c r="E86" s="377" t="s">
        <v>4192</v>
      </c>
    </row>
    <row r="87" spans="1:5">
      <c r="A87" s="336" t="s">
        <v>686</v>
      </c>
      <c r="B87" s="341">
        <v>1887320</v>
      </c>
      <c r="C87" s="340" t="s">
        <v>4020</v>
      </c>
      <c r="D87" s="377">
        <v>1</v>
      </c>
      <c r="E87" s="377" t="s">
        <v>4192</v>
      </c>
    </row>
    <row r="88" spans="1:5">
      <c r="A88" s="336" t="s">
        <v>686</v>
      </c>
      <c r="B88" s="341">
        <v>1887522</v>
      </c>
      <c r="C88" s="340" t="s">
        <v>4020</v>
      </c>
      <c r="D88" s="377">
        <v>1</v>
      </c>
      <c r="E88" s="377" t="s">
        <v>4192</v>
      </c>
    </row>
    <row r="89" spans="1:5">
      <c r="A89" s="337" t="s">
        <v>686</v>
      </c>
      <c r="B89" s="341">
        <v>1890305</v>
      </c>
      <c r="C89" s="340" t="s">
        <v>4020</v>
      </c>
      <c r="D89" s="377">
        <v>1</v>
      </c>
      <c r="E89" s="377" t="s">
        <v>4192</v>
      </c>
    </row>
    <row r="90" spans="1:5">
      <c r="A90" s="337" t="s">
        <v>686</v>
      </c>
      <c r="B90" s="341">
        <v>1890306</v>
      </c>
      <c r="C90" s="340" t="s">
        <v>4020</v>
      </c>
      <c r="D90" s="377">
        <v>1</v>
      </c>
      <c r="E90" s="377" t="s">
        <v>4192</v>
      </c>
    </row>
    <row r="91" spans="1:5">
      <c r="A91" s="337" t="s">
        <v>686</v>
      </c>
      <c r="B91" s="341">
        <v>1890518</v>
      </c>
      <c r="C91" s="340" t="s">
        <v>4020</v>
      </c>
      <c r="D91" s="377">
        <v>1</v>
      </c>
      <c r="E91" s="377" t="s">
        <v>4192</v>
      </c>
    </row>
    <row r="92" spans="1:5">
      <c r="A92" s="336" t="s">
        <v>686</v>
      </c>
      <c r="B92" s="341">
        <v>1891369</v>
      </c>
      <c r="C92" s="340" t="s">
        <v>4020</v>
      </c>
      <c r="D92" s="377">
        <v>1</v>
      </c>
      <c r="E92" s="377" t="s">
        <v>4192</v>
      </c>
    </row>
    <row r="93" spans="1:5">
      <c r="A93" s="336" t="s">
        <v>686</v>
      </c>
      <c r="B93" s="341">
        <v>1892802</v>
      </c>
      <c r="C93" s="340" t="s">
        <v>4020</v>
      </c>
      <c r="D93" s="377">
        <v>1</v>
      </c>
      <c r="E93" s="377" t="s">
        <v>4192</v>
      </c>
    </row>
    <row r="94" spans="1:5">
      <c r="A94" s="336" t="s">
        <v>686</v>
      </c>
      <c r="B94" s="341">
        <v>1893840</v>
      </c>
      <c r="C94" s="340" t="s">
        <v>4020</v>
      </c>
      <c r="D94" s="377">
        <v>1</v>
      </c>
      <c r="E94" s="377" t="s">
        <v>4192</v>
      </c>
    </row>
    <row r="95" spans="1:5">
      <c r="A95" s="336" t="s">
        <v>686</v>
      </c>
      <c r="B95" s="341">
        <v>1902655</v>
      </c>
      <c r="C95" s="340" t="s">
        <v>4020</v>
      </c>
      <c r="D95" s="377">
        <v>1</v>
      </c>
      <c r="E95" s="377" t="s">
        <v>4192</v>
      </c>
    </row>
    <row r="96" spans="1:5">
      <c r="A96" s="336" t="s">
        <v>686</v>
      </c>
      <c r="B96" s="341">
        <v>1902874</v>
      </c>
      <c r="C96" s="340" t="s">
        <v>4020</v>
      </c>
      <c r="D96" s="377">
        <v>1</v>
      </c>
      <c r="E96" s="377" t="s">
        <v>4192</v>
      </c>
    </row>
    <row r="97" spans="1:5">
      <c r="A97" s="336" t="s">
        <v>686</v>
      </c>
      <c r="B97" s="341">
        <v>1913586</v>
      </c>
      <c r="C97" s="340" t="s">
        <v>4020</v>
      </c>
      <c r="D97" s="377">
        <v>1</v>
      </c>
      <c r="E97" s="377" t="s">
        <v>4192</v>
      </c>
    </row>
    <row r="98" spans="1:5">
      <c r="A98" s="337" t="s">
        <v>686</v>
      </c>
      <c r="B98" s="341">
        <v>1920743</v>
      </c>
      <c r="C98" s="340" t="s">
        <v>4020</v>
      </c>
      <c r="D98" s="377">
        <v>1</v>
      </c>
      <c r="E98" s="377" t="s">
        <v>4192</v>
      </c>
    </row>
    <row r="99" spans="1:5">
      <c r="A99" s="336" t="s">
        <v>686</v>
      </c>
      <c r="B99" s="341">
        <v>1960479</v>
      </c>
      <c r="C99" s="340" t="s">
        <v>4020</v>
      </c>
      <c r="D99" s="377">
        <v>1</v>
      </c>
      <c r="E99" s="377" t="s">
        <v>4192</v>
      </c>
    </row>
    <row r="100" spans="1:5">
      <c r="A100" s="337" t="s">
        <v>686</v>
      </c>
      <c r="B100" s="341">
        <v>2020302</v>
      </c>
      <c r="C100" s="340" t="s">
        <v>4020</v>
      </c>
      <c r="D100" s="377">
        <v>1</v>
      </c>
      <c r="E100" s="377" t="s">
        <v>4192</v>
      </c>
    </row>
    <row r="101" spans="1:5">
      <c r="A101" s="336" t="s">
        <v>4016</v>
      </c>
      <c r="B101" s="339">
        <v>1935529</v>
      </c>
      <c r="C101" s="340" t="s">
        <v>4021</v>
      </c>
      <c r="D101">
        <v>1</v>
      </c>
      <c r="E101" s="377" t="s">
        <v>4161</v>
      </c>
    </row>
    <row r="102" spans="1:5">
      <c r="A102" s="336" t="s">
        <v>4016</v>
      </c>
      <c r="B102" s="339">
        <v>1941647</v>
      </c>
      <c r="C102" s="340" t="s">
        <v>4021</v>
      </c>
      <c r="D102">
        <v>1</v>
      </c>
      <c r="E102" s="377" t="s">
        <v>4161</v>
      </c>
    </row>
    <row r="103" spans="1:5">
      <c r="A103" s="336" t="s">
        <v>4016</v>
      </c>
      <c r="B103" s="339">
        <v>2021872</v>
      </c>
      <c r="C103" s="340" t="s">
        <v>4021</v>
      </c>
      <c r="D103">
        <v>2</v>
      </c>
      <c r="E103" s="376" t="s">
        <v>636</v>
      </c>
    </row>
    <row r="104" spans="1:5">
      <c r="A104" s="336" t="s">
        <v>4016</v>
      </c>
      <c r="B104" s="339">
        <v>2049442</v>
      </c>
      <c r="C104" s="340" t="s">
        <v>4021</v>
      </c>
      <c r="D104">
        <v>2</v>
      </c>
      <c r="E104" s="376" t="s">
        <v>499</v>
      </c>
    </row>
    <row r="105" spans="1:5">
      <c r="A105" s="336" t="s">
        <v>4016</v>
      </c>
      <c r="B105" s="339">
        <v>1894162</v>
      </c>
      <c r="C105" s="340" t="s">
        <v>4021</v>
      </c>
      <c r="D105">
        <v>1</v>
      </c>
      <c r="E105" s="377" t="s">
        <v>4161</v>
      </c>
    </row>
    <row r="106" spans="1:5">
      <c r="A106" s="336" t="s">
        <v>4017</v>
      </c>
      <c r="B106" s="339">
        <v>1913076</v>
      </c>
      <c r="C106" s="340" t="s">
        <v>4020</v>
      </c>
      <c r="D106">
        <v>1</v>
      </c>
      <c r="E106" t="s">
        <v>4197</v>
      </c>
    </row>
    <row r="107" spans="1:5">
      <c r="A107" s="336" t="s">
        <v>4017</v>
      </c>
      <c r="B107" s="339">
        <v>2047192</v>
      </c>
      <c r="C107" s="340" t="s">
        <v>4022</v>
      </c>
      <c r="D107">
        <v>2</v>
      </c>
      <c r="E107" s="377" t="s">
        <v>4195</v>
      </c>
    </row>
    <row r="108" spans="1:5">
      <c r="A108" s="336" t="s">
        <v>4017</v>
      </c>
      <c r="B108" s="339">
        <v>2094557</v>
      </c>
      <c r="C108" s="340" t="s">
        <v>4022</v>
      </c>
      <c r="D108">
        <v>2</v>
      </c>
      <c r="E108" s="377" t="s">
        <v>4195</v>
      </c>
    </row>
    <row r="109" spans="1:5">
      <c r="A109" s="336" t="s">
        <v>4017</v>
      </c>
      <c r="B109" s="339">
        <v>2137151</v>
      </c>
      <c r="C109" s="340" t="s">
        <v>4022</v>
      </c>
      <c r="D109">
        <v>2</v>
      </c>
      <c r="E109" s="377" t="s">
        <v>4195</v>
      </c>
    </row>
    <row r="110" spans="1:5">
      <c r="A110" s="336" t="s">
        <v>4017</v>
      </c>
      <c r="B110" s="339">
        <v>2146200</v>
      </c>
      <c r="C110" s="340" t="s">
        <v>4022</v>
      </c>
      <c r="D110">
        <v>2</v>
      </c>
      <c r="E110" s="377" t="s">
        <v>4195</v>
      </c>
    </row>
    <row r="111" spans="1:5">
      <c r="A111" s="336" t="s">
        <v>4017</v>
      </c>
      <c r="B111" s="339">
        <v>2205369</v>
      </c>
      <c r="C111" s="340" t="s">
        <v>4022</v>
      </c>
      <c r="D111">
        <v>2</v>
      </c>
      <c r="E111" s="377" t="s">
        <v>4195</v>
      </c>
    </row>
    <row r="112" spans="1:5">
      <c r="A112" s="220" t="s">
        <v>350</v>
      </c>
      <c r="B112" s="220">
        <v>1907247</v>
      </c>
      <c r="C112" s="221" t="s">
        <v>50</v>
      </c>
      <c r="D112">
        <v>1</v>
      </c>
      <c r="E112" s="377" t="s">
        <v>684</v>
      </c>
    </row>
    <row r="113" spans="1:5">
      <c r="A113" s="220" t="s">
        <v>350</v>
      </c>
      <c r="B113" s="220">
        <v>1915929</v>
      </c>
      <c r="C113" s="221" t="s">
        <v>50</v>
      </c>
      <c r="D113">
        <v>1</v>
      </c>
      <c r="E113" s="377" t="s">
        <v>684</v>
      </c>
    </row>
    <row r="114" spans="1:5">
      <c r="A114" s="220" t="s">
        <v>350</v>
      </c>
      <c r="B114" s="220">
        <v>1970935</v>
      </c>
      <c r="C114" s="221" t="s">
        <v>50</v>
      </c>
      <c r="D114">
        <v>1</v>
      </c>
      <c r="E114" s="377" t="s">
        <v>684</v>
      </c>
    </row>
    <row r="115" spans="1:5">
      <c r="A115" s="220" t="s">
        <v>350</v>
      </c>
      <c r="B115" s="220">
        <v>1992666</v>
      </c>
      <c r="C115" s="221" t="s">
        <v>50</v>
      </c>
      <c r="D115">
        <v>1</v>
      </c>
      <c r="E115" s="377" t="s">
        <v>684</v>
      </c>
    </row>
    <row r="116" spans="1:5">
      <c r="A116" s="220" t="s">
        <v>350</v>
      </c>
      <c r="B116" s="220">
        <v>2032476</v>
      </c>
      <c r="C116" s="221" t="s">
        <v>50</v>
      </c>
      <c r="D116">
        <v>1</v>
      </c>
      <c r="E116" s="377" t="s">
        <v>684</v>
      </c>
    </row>
    <row r="117" spans="1:5">
      <c r="A117" s="220" t="s">
        <v>350</v>
      </c>
      <c r="B117" s="220">
        <v>2042834</v>
      </c>
      <c r="C117" s="221" t="s">
        <v>50</v>
      </c>
      <c r="D117">
        <v>1</v>
      </c>
      <c r="E117" s="377" t="s">
        <v>684</v>
      </c>
    </row>
    <row r="118" spans="1:5">
      <c r="A118" s="220" t="s">
        <v>350</v>
      </c>
      <c r="B118" s="220">
        <v>2055457</v>
      </c>
      <c r="C118" s="221" t="s">
        <v>50</v>
      </c>
      <c r="D118">
        <v>1</v>
      </c>
      <c r="E118" s="377" t="s">
        <v>684</v>
      </c>
    </row>
    <row r="119" spans="1:5">
      <c r="A119" s="245" t="s">
        <v>350</v>
      </c>
      <c r="B119" s="245">
        <v>1910352</v>
      </c>
      <c r="C119" s="246" t="s">
        <v>50</v>
      </c>
      <c r="D119">
        <v>2</v>
      </c>
      <c r="E119" s="377" t="s">
        <v>387</v>
      </c>
    </row>
    <row r="120" spans="1:5">
      <c r="A120" s="245" t="s">
        <v>350</v>
      </c>
      <c r="B120" s="245">
        <v>1920435</v>
      </c>
      <c r="C120" s="246" t="s">
        <v>50</v>
      </c>
      <c r="D120" s="371">
        <v>2</v>
      </c>
      <c r="E120" s="377" t="s">
        <v>387</v>
      </c>
    </row>
    <row r="121" spans="1:5">
      <c r="A121" s="245" t="s">
        <v>350</v>
      </c>
      <c r="B121" s="245">
        <v>1931051</v>
      </c>
      <c r="C121" s="246" t="s">
        <v>50</v>
      </c>
      <c r="D121" s="371">
        <v>2</v>
      </c>
      <c r="E121" s="377" t="s">
        <v>387</v>
      </c>
    </row>
    <row r="122" spans="1:5">
      <c r="A122" s="245" t="s">
        <v>350</v>
      </c>
      <c r="B122" s="245">
        <v>1937084</v>
      </c>
      <c r="C122" s="246" t="s">
        <v>50</v>
      </c>
      <c r="D122" s="371">
        <v>2</v>
      </c>
      <c r="E122" s="377" t="s">
        <v>387</v>
      </c>
    </row>
    <row r="123" spans="1:5">
      <c r="A123" s="245" t="s">
        <v>350</v>
      </c>
      <c r="B123" s="245">
        <v>1937539</v>
      </c>
      <c r="C123" s="246" t="s">
        <v>50</v>
      </c>
      <c r="D123" s="371">
        <v>2</v>
      </c>
      <c r="E123" s="377" t="s">
        <v>387</v>
      </c>
    </row>
    <row r="124" spans="1:5">
      <c r="A124" s="245" t="s">
        <v>350</v>
      </c>
      <c r="B124" s="245">
        <v>1938207</v>
      </c>
      <c r="C124" s="246" t="s">
        <v>50</v>
      </c>
      <c r="D124" s="371">
        <v>2</v>
      </c>
      <c r="E124" s="377" t="s">
        <v>387</v>
      </c>
    </row>
    <row r="125" spans="1:5">
      <c r="A125" s="245" t="s">
        <v>350</v>
      </c>
      <c r="B125" s="245">
        <v>1940237</v>
      </c>
      <c r="C125" s="246" t="s">
        <v>50</v>
      </c>
      <c r="D125" s="371">
        <v>2</v>
      </c>
      <c r="E125" s="377" t="s">
        <v>387</v>
      </c>
    </row>
    <row r="126" spans="1:5">
      <c r="A126" s="245" t="s">
        <v>350</v>
      </c>
      <c r="B126" s="245">
        <v>1941296</v>
      </c>
      <c r="C126" s="246" t="s">
        <v>50</v>
      </c>
      <c r="D126" s="371">
        <v>2</v>
      </c>
      <c r="E126" s="377" t="s">
        <v>387</v>
      </c>
    </row>
    <row r="127" spans="1:5">
      <c r="A127" s="245" t="s">
        <v>350</v>
      </c>
      <c r="B127" s="245">
        <v>1949854</v>
      </c>
      <c r="C127" s="246" t="s">
        <v>50</v>
      </c>
      <c r="D127" s="371">
        <v>2</v>
      </c>
      <c r="E127" s="377" t="s">
        <v>387</v>
      </c>
    </row>
    <row r="128" spans="1:5">
      <c r="A128" s="245" t="s">
        <v>350</v>
      </c>
      <c r="B128" s="245">
        <v>1955718</v>
      </c>
      <c r="C128" s="246" t="s">
        <v>50</v>
      </c>
      <c r="D128" s="371">
        <v>2</v>
      </c>
      <c r="E128" s="377" t="s">
        <v>387</v>
      </c>
    </row>
    <row r="129" spans="1:5">
      <c r="A129" s="245" t="s">
        <v>350</v>
      </c>
      <c r="B129" s="245">
        <v>1959403</v>
      </c>
      <c r="C129" s="246" t="s">
        <v>50</v>
      </c>
      <c r="D129" s="371">
        <v>2</v>
      </c>
      <c r="E129" s="377" t="s">
        <v>387</v>
      </c>
    </row>
    <row r="130" spans="1:5">
      <c r="A130" s="245" t="s">
        <v>350</v>
      </c>
      <c r="B130" s="245">
        <v>1959732</v>
      </c>
      <c r="C130" s="246" t="s">
        <v>50</v>
      </c>
      <c r="D130" s="371">
        <v>2</v>
      </c>
      <c r="E130" s="377" t="s">
        <v>387</v>
      </c>
    </row>
    <row r="131" spans="1:5">
      <c r="A131" s="245" t="s">
        <v>350</v>
      </c>
      <c r="B131" s="245">
        <v>1960227</v>
      </c>
      <c r="C131" s="246" t="s">
        <v>50</v>
      </c>
      <c r="D131" s="371">
        <v>2</v>
      </c>
      <c r="E131" s="377" t="s">
        <v>387</v>
      </c>
    </row>
    <row r="132" spans="1:5">
      <c r="A132" s="245" t="s">
        <v>350</v>
      </c>
      <c r="B132" s="245">
        <v>1971725</v>
      </c>
      <c r="C132" s="246" t="s">
        <v>50</v>
      </c>
      <c r="D132" s="371">
        <v>2</v>
      </c>
      <c r="E132" s="377" t="s">
        <v>387</v>
      </c>
    </row>
    <row r="133" spans="1:5">
      <c r="A133" s="245" t="s">
        <v>350</v>
      </c>
      <c r="B133" s="245">
        <v>1977676</v>
      </c>
      <c r="C133" s="246" t="s">
        <v>50</v>
      </c>
      <c r="D133" s="371">
        <v>2</v>
      </c>
      <c r="E133" s="377" t="s">
        <v>387</v>
      </c>
    </row>
    <row r="134" spans="1:5">
      <c r="A134" s="245" t="s">
        <v>350</v>
      </c>
      <c r="B134" s="245">
        <v>1984319</v>
      </c>
      <c r="C134" s="246" t="s">
        <v>50</v>
      </c>
      <c r="D134" s="371">
        <v>2</v>
      </c>
      <c r="E134" s="377" t="s">
        <v>387</v>
      </c>
    </row>
    <row r="135" spans="1:5">
      <c r="A135" s="245" t="s">
        <v>350</v>
      </c>
      <c r="B135" s="245">
        <v>1998364</v>
      </c>
      <c r="C135" s="246" t="s">
        <v>50</v>
      </c>
      <c r="D135" s="371">
        <v>2</v>
      </c>
      <c r="E135" s="377" t="s">
        <v>387</v>
      </c>
    </row>
    <row r="136" spans="1:5">
      <c r="A136" s="220" t="s">
        <v>350</v>
      </c>
      <c r="B136" s="220">
        <v>2001676</v>
      </c>
      <c r="C136" s="221" t="s">
        <v>586</v>
      </c>
      <c r="D136" s="371">
        <v>2</v>
      </c>
      <c r="E136" s="377" t="s">
        <v>387</v>
      </c>
    </row>
    <row r="137" spans="1:5">
      <c r="A137" s="245" t="s">
        <v>350</v>
      </c>
      <c r="B137" s="245">
        <v>2004219</v>
      </c>
      <c r="C137" s="246" t="s">
        <v>50</v>
      </c>
      <c r="D137" s="371">
        <v>2</v>
      </c>
      <c r="E137" s="377" t="s">
        <v>387</v>
      </c>
    </row>
    <row r="138" spans="1:5">
      <c r="A138" s="245" t="s">
        <v>350</v>
      </c>
      <c r="B138" s="245">
        <v>2005461</v>
      </c>
      <c r="C138" s="246" t="s">
        <v>50</v>
      </c>
      <c r="D138" s="371">
        <v>2</v>
      </c>
      <c r="E138" s="377" t="s">
        <v>387</v>
      </c>
    </row>
    <row r="139" spans="1:5">
      <c r="A139" s="245" t="s">
        <v>350</v>
      </c>
      <c r="B139" s="245">
        <v>2015106</v>
      </c>
      <c r="C139" s="246" t="s">
        <v>50</v>
      </c>
      <c r="D139" s="371">
        <v>2</v>
      </c>
      <c r="E139" s="377" t="s">
        <v>387</v>
      </c>
    </row>
    <row r="140" spans="1:5">
      <c r="A140" s="245" t="s">
        <v>350</v>
      </c>
      <c r="B140" s="245">
        <v>2018460</v>
      </c>
      <c r="C140" s="246" t="s">
        <v>50</v>
      </c>
      <c r="D140" s="371">
        <v>2</v>
      </c>
      <c r="E140" s="377" t="s">
        <v>387</v>
      </c>
    </row>
    <row r="141" spans="1:5">
      <c r="A141" s="220" t="s">
        <v>350</v>
      </c>
      <c r="B141" s="220">
        <v>2021598</v>
      </c>
      <c r="C141" s="221" t="s">
        <v>586</v>
      </c>
      <c r="D141" s="371">
        <v>2</v>
      </c>
      <c r="E141" s="377" t="s">
        <v>387</v>
      </c>
    </row>
    <row r="142" spans="1:5">
      <c r="A142" s="245" t="s">
        <v>350</v>
      </c>
      <c r="B142" s="245">
        <v>2030944</v>
      </c>
      <c r="C142" s="246" t="s">
        <v>50</v>
      </c>
      <c r="D142" s="371">
        <v>2</v>
      </c>
      <c r="E142" s="377" t="s">
        <v>387</v>
      </c>
    </row>
    <row r="143" spans="1:5">
      <c r="A143" s="245" t="s">
        <v>350</v>
      </c>
      <c r="B143" s="245">
        <v>2033301</v>
      </c>
      <c r="C143" s="246" t="s">
        <v>50</v>
      </c>
      <c r="D143" s="371">
        <v>2</v>
      </c>
      <c r="E143" s="377" t="s">
        <v>387</v>
      </c>
    </row>
    <row r="144" spans="1:5">
      <c r="A144" s="245" t="s">
        <v>350</v>
      </c>
      <c r="B144" s="245">
        <v>2034990</v>
      </c>
      <c r="C144" s="246" t="s">
        <v>50</v>
      </c>
      <c r="D144" s="371">
        <v>2</v>
      </c>
      <c r="E144" s="377" t="s">
        <v>387</v>
      </c>
    </row>
    <row r="145" spans="1:5">
      <c r="A145" s="220" t="s">
        <v>350</v>
      </c>
      <c r="B145" s="220">
        <v>2042149</v>
      </c>
      <c r="C145" s="221" t="s">
        <v>586</v>
      </c>
      <c r="D145" s="371">
        <v>2</v>
      </c>
      <c r="E145" s="377" t="s">
        <v>387</v>
      </c>
    </row>
    <row r="146" spans="1:5">
      <c r="A146" s="245" t="s">
        <v>350</v>
      </c>
      <c r="B146" s="245">
        <v>2044539</v>
      </c>
      <c r="C146" s="246" t="s">
        <v>50</v>
      </c>
      <c r="D146" s="371">
        <v>2</v>
      </c>
      <c r="E146" s="377" t="s">
        <v>387</v>
      </c>
    </row>
    <row r="147" spans="1:5">
      <c r="A147" s="245" t="s">
        <v>350</v>
      </c>
      <c r="B147" s="245">
        <v>2049887</v>
      </c>
      <c r="C147" s="246" t="s">
        <v>50</v>
      </c>
      <c r="D147" s="371">
        <v>2</v>
      </c>
      <c r="E147" s="377" t="s">
        <v>387</v>
      </c>
    </row>
    <row r="148" spans="1:5">
      <c r="A148" s="245" t="s">
        <v>350</v>
      </c>
      <c r="B148" s="245">
        <v>2080223</v>
      </c>
      <c r="C148" s="246" t="s">
        <v>50</v>
      </c>
      <c r="D148" s="371">
        <v>2</v>
      </c>
      <c r="E148" s="377" t="s">
        <v>387</v>
      </c>
    </row>
    <row r="149" spans="1:5">
      <c r="A149" s="245" t="s">
        <v>350</v>
      </c>
      <c r="B149" s="245">
        <v>2171967</v>
      </c>
      <c r="C149" s="246" t="s">
        <v>50</v>
      </c>
      <c r="D149" s="371">
        <v>2</v>
      </c>
      <c r="E149" s="377" t="s">
        <v>387</v>
      </c>
    </row>
    <row r="150" spans="1:5">
      <c r="A150" s="245" t="s">
        <v>350</v>
      </c>
      <c r="B150" s="245">
        <v>2202528</v>
      </c>
      <c r="C150" s="246" t="s">
        <v>50</v>
      </c>
      <c r="D150" s="371">
        <v>2</v>
      </c>
      <c r="E150" s="377" t="s">
        <v>387</v>
      </c>
    </row>
    <row r="151" spans="1:5">
      <c r="A151" s="331" t="s">
        <v>1771</v>
      </c>
      <c r="B151" s="344">
        <v>1907947</v>
      </c>
      <c r="C151" s="272"/>
      <c r="D151">
        <v>1</v>
      </c>
      <c r="E151" s="377" t="s">
        <v>4164</v>
      </c>
    </row>
    <row r="152" spans="1:5">
      <c r="A152" s="331" t="s">
        <v>1771</v>
      </c>
      <c r="B152" s="334">
        <v>1907951</v>
      </c>
      <c r="C152" s="236"/>
      <c r="D152">
        <v>1</v>
      </c>
      <c r="E152" s="377" t="s">
        <v>4164</v>
      </c>
    </row>
    <row r="153" spans="1:5">
      <c r="A153" s="331" t="s">
        <v>1771</v>
      </c>
      <c r="B153" s="334">
        <v>2081220</v>
      </c>
      <c r="C153" s="236"/>
      <c r="D153">
        <v>2</v>
      </c>
      <c r="E153" s="377" t="s">
        <v>4163</v>
      </c>
    </row>
    <row r="154" spans="1:5">
      <c r="A154" s="331" t="s">
        <v>4018</v>
      </c>
      <c r="B154" s="334">
        <v>1981224</v>
      </c>
      <c r="C154" s="236"/>
      <c r="D154">
        <v>1</v>
      </c>
      <c r="E154" s="377" t="s">
        <v>4165</v>
      </c>
    </row>
    <row r="155" spans="1:5">
      <c r="A155" s="331" t="s">
        <v>4018</v>
      </c>
      <c r="B155" s="334">
        <v>2002991</v>
      </c>
      <c r="C155" s="236"/>
      <c r="D155">
        <v>1</v>
      </c>
      <c r="E155" s="377" t="s">
        <v>4165</v>
      </c>
    </row>
    <row r="156" spans="1:5">
      <c r="A156" s="331" t="s">
        <v>1691</v>
      </c>
      <c r="B156" s="334">
        <v>2029094</v>
      </c>
      <c r="C156" s="236"/>
      <c r="D156">
        <v>1</v>
      </c>
      <c r="E156" s="377" t="s">
        <v>4165</v>
      </c>
    </row>
    <row r="157" spans="1:5">
      <c r="A157" s="336" t="s">
        <v>4023</v>
      </c>
      <c r="B157" s="334">
        <v>1908080</v>
      </c>
      <c r="C157" s="236" t="s">
        <v>4020</v>
      </c>
      <c r="D157">
        <v>1</v>
      </c>
      <c r="E157" s="377" t="s">
        <v>4166</v>
      </c>
    </row>
    <row r="158" spans="1:5">
      <c r="A158" s="336" t="s">
        <v>4023</v>
      </c>
      <c r="B158" s="334">
        <v>1908081</v>
      </c>
      <c r="C158" s="236" t="s">
        <v>4020</v>
      </c>
      <c r="D158">
        <v>1</v>
      </c>
      <c r="E158" s="377" t="s">
        <v>4166</v>
      </c>
    </row>
    <row r="159" spans="1:5">
      <c r="A159" s="241" t="s">
        <v>1302</v>
      </c>
      <c r="B159" s="343">
        <v>1900034</v>
      </c>
      <c r="C159" s="246" t="s">
        <v>4021</v>
      </c>
      <c r="D159">
        <v>1</v>
      </c>
      <c r="E159" s="377" t="s">
        <v>4168</v>
      </c>
    </row>
    <row r="160" spans="1:5">
      <c r="A160" s="241" t="s">
        <v>1302</v>
      </c>
      <c r="B160" s="343">
        <v>1900140</v>
      </c>
      <c r="C160" s="246" t="s">
        <v>4021</v>
      </c>
      <c r="D160">
        <v>1</v>
      </c>
      <c r="E160" s="377" t="s">
        <v>4168</v>
      </c>
    </row>
    <row r="161" spans="1:5">
      <c r="A161" s="241" t="s">
        <v>1302</v>
      </c>
      <c r="B161" s="343">
        <v>1910492</v>
      </c>
      <c r="C161" s="246" t="s">
        <v>4021</v>
      </c>
      <c r="D161">
        <v>1</v>
      </c>
      <c r="E161" s="377" t="s">
        <v>4168</v>
      </c>
    </row>
    <row r="162" spans="1:5">
      <c r="A162" s="241" t="s">
        <v>1302</v>
      </c>
      <c r="B162" s="343">
        <v>1919673</v>
      </c>
      <c r="C162" s="246" t="s">
        <v>4021</v>
      </c>
      <c r="D162">
        <v>1</v>
      </c>
      <c r="E162" s="377" t="s">
        <v>4168</v>
      </c>
    </row>
    <row r="163" spans="1:5">
      <c r="A163" s="241" t="s">
        <v>1302</v>
      </c>
      <c r="B163" s="343">
        <v>1923043</v>
      </c>
      <c r="C163" s="246" t="s">
        <v>4021</v>
      </c>
      <c r="D163">
        <v>1</v>
      </c>
      <c r="E163" s="377" t="s">
        <v>4168</v>
      </c>
    </row>
    <row r="164" spans="1:5">
      <c r="A164" s="241" t="s">
        <v>1302</v>
      </c>
      <c r="B164" s="343">
        <v>1923764</v>
      </c>
      <c r="C164" s="246" t="s">
        <v>4021</v>
      </c>
      <c r="D164">
        <v>1</v>
      </c>
      <c r="E164" s="377" t="s">
        <v>4168</v>
      </c>
    </row>
    <row r="165" spans="1:5">
      <c r="A165" s="241" t="s">
        <v>1302</v>
      </c>
      <c r="B165" s="343">
        <v>1924890</v>
      </c>
      <c r="C165" s="246" t="s">
        <v>4021</v>
      </c>
      <c r="D165">
        <v>1</v>
      </c>
      <c r="E165" s="377" t="s">
        <v>4168</v>
      </c>
    </row>
    <row r="166" spans="1:5">
      <c r="A166" s="241" t="s">
        <v>1302</v>
      </c>
      <c r="B166" s="343">
        <v>1924892</v>
      </c>
      <c r="C166" s="246" t="s">
        <v>4021</v>
      </c>
      <c r="D166">
        <v>1</v>
      </c>
      <c r="E166" s="377" t="s">
        <v>4168</v>
      </c>
    </row>
    <row r="167" spans="1:5">
      <c r="A167" s="241" t="s">
        <v>1302</v>
      </c>
      <c r="B167" s="343">
        <v>1924901</v>
      </c>
      <c r="C167" s="246" t="s">
        <v>4021</v>
      </c>
      <c r="D167">
        <v>1</v>
      </c>
      <c r="E167" s="377" t="s">
        <v>4168</v>
      </c>
    </row>
    <row r="168" spans="1:5">
      <c r="A168" s="241" t="s">
        <v>1302</v>
      </c>
      <c r="B168" s="343">
        <v>1926255</v>
      </c>
      <c r="C168" s="246" t="s">
        <v>4021</v>
      </c>
      <c r="D168">
        <v>1</v>
      </c>
      <c r="E168" s="377" t="s">
        <v>4168</v>
      </c>
    </row>
    <row r="169" spans="1:5">
      <c r="A169" s="241" t="s">
        <v>1302</v>
      </c>
      <c r="B169" s="343">
        <v>1928709</v>
      </c>
      <c r="C169" s="246" t="s">
        <v>4021</v>
      </c>
      <c r="D169">
        <v>1</v>
      </c>
      <c r="E169" s="377" t="s">
        <v>4168</v>
      </c>
    </row>
    <row r="170" spans="1:5">
      <c r="A170" s="241" t="s">
        <v>1302</v>
      </c>
      <c r="B170" s="343">
        <v>1928714</v>
      </c>
      <c r="C170" s="246" t="s">
        <v>4021</v>
      </c>
      <c r="D170">
        <v>1</v>
      </c>
      <c r="E170" s="377" t="s">
        <v>4168</v>
      </c>
    </row>
    <row r="171" spans="1:5">
      <c r="A171" s="241" t="s">
        <v>1302</v>
      </c>
      <c r="B171" s="343">
        <v>1939738</v>
      </c>
      <c r="C171" s="246" t="s">
        <v>4021</v>
      </c>
      <c r="D171">
        <v>1</v>
      </c>
      <c r="E171" s="377" t="s">
        <v>4168</v>
      </c>
    </row>
    <row r="172" spans="1:5">
      <c r="A172" s="241" t="s">
        <v>1302</v>
      </c>
      <c r="B172" s="343">
        <v>1951043</v>
      </c>
      <c r="C172" s="246" t="s">
        <v>4021</v>
      </c>
      <c r="D172">
        <v>1</v>
      </c>
      <c r="E172" s="377" t="s">
        <v>4168</v>
      </c>
    </row>
    <row r="173" spans="1:5">
      <c r="A173" s="241" t="s">
        <v>1302</v>
      </c>
      <c r="B173" s="343">
        <v>1954512</v>
      </c>
      <c r="C173" s="246" t="s">
        <v>4021</v>
      </c>
      <c r="D173">
        <v>1</v>
      </c>
      <c r="E173" s="377" t="s">
        <v>4168</v>
      </c>
    </row>
    <row r="174" spans="1:5">
      <c r="A174" s="241" t="s">
        <v>1302</v>
      </c>
      <c r="B174" s="343">
        <v>1957128</v>
      </c>
      <c r="C174" s="246" t="s">
        <v>4021</v>
      </c>
      <c r="D174">
        <v>1</v>
      </c>
      <c r="E174" s="377" t="s">
        <v>4168</v>
      </c>
    </row>
    <row r="175" spans="1:5">
      <c r="A175" s="241" t="s">
        <v>1302</v>
      </c>
      <c r="B175" s="343">
        <v>1963510</v>
      </c>
      <c r="C175" s="246" t="s">
        <v>4021</v>
      </c>
      <c r="D175">
        <v>1</v>
      </c>
      <c r="E175" s="377" t="s">
        <v>4168</v>
      </c>
    </row>
    <row r="176" spans="1:5">
      <c r="A176" s="241" t="s">
        <v>1302</v>
      </c>
      <c r="B176" s="343">
        <v>1968112</v>
      </c>
      <c r="C176" s="246" t="s">
        <v>4021</v>
      </c>
      <c r="D176">
        <v>1</v>
      </c>
      <c r="E176" s="377" t="s">
        <v>4168</v>
      </c>
    </row>
    <row r="177" spans="1:5">
      <c r="A177" s="241" t="s">
        <v>1302</v>
      </c>
      <c r="B177" s="343">
        <v>1971737</v>
      </c>
      <c r="C177" s="246" t="s">
        <v>4021</v>
      </c>
      <c r="D177">
        <v>1</v>
      </c>
      <c r="E177" s="377" t="s">
        <v>4168</v>
      </c>
    </row>
    <row r="178" spans="1:5">
      <c r="A178" s="241" t="s">
        <v>1302</v>
      </c>
      <c r="B178" s="343">
        <v>1974935</v>
      </c>
      <c r="C178" s="246" t="s">
        <v>4021</v>
      </c>
      <c r="D178">
        <v>1</v>
      </c>
      <c r="E178" s="377" t="s">
        <v>4168</v>
      </c>
    </row>
    <row r="179" spans="1:5">
      <c r="A179" s="241" t="s">
        <v>1302</v>
      </c>
      <c r="B179" s="343">
        <v>1978979</v>
      </c>
      <c r="C179" s="246" t="s">
        <v>4021</v>
      </c>
      <c r="D179">
        <v>1</v>
      </c>
      <c r="E179" s="377" t="s">
        <v>4168</v>
      </c>
    </row>
    <row r="180" spans="1:5">
      <c r="A180" s="241" t="s">
        <v>1302</v>
      </c>
      <c r="B180" s="343">
        <v>1993576</v>
      </c>
      <c r="C180" s="246" t="s">
        <v>4021</v>
      </c>
      <c r="D180">
        <v>1</v>
      </c>
      <c r="E180" s="377" t="s">
        <v>4168</v>
      </c>
    </row>
    <row r="181" spans="1:5">
      <c r="A181" s="241" t="s">
        <v>1302</v>
      </c>
      <c r="B181" s="343">
        <v>2000058</v>
      </c>
      <c r="C181" s="246" t="s">
        <v>4021</v>
      </c>
      <c r="D181">
        <v>1</v>
      </c>
      <c r="E181" s="377" t="s">
        <v>4168</v>
      </c>
    </row>
    <row r="182" spans="1:5">
      <c r="A182" s="241" t="s">
        <v>1302</v>
      </c>
      <c r="B182" s="343">
        <v>2013116</v>
      </c>
      <c r="C182" s="246" t="s">
        <v>4021</v>
      </c>
      <c r="D182">
        <v>1</v>
      </c>
      <c r="E182" s="377" t="s">
        <v>4168</v>
      </c>
    </row>
    <row r="183" spans="1:5">
      <c r="A183" s="241" t="s">
        <v>1302</v>
      </c>
      <c r="B183" s="343">
        <v>2027411</v>
      </c>
      <c r="C183" s="246" t="s">
        <v>4021</v>
      </c>
      <c r="D183">
        <v>1</v>
      </c>
      <c r="E183" s="377" t="s">
        <v>4168</v>
      </c>
    </row>
    <row r="184" spans="1:5">
      <c r="A184" s="241" t="s">
        <v>1302</v>
      </c>
      <c r="B184" s="343">
        <v>2032401</v>
      </c>
      <c r="C184" s="246" t="s">
        <v>4021</v>
      </c>
      <c r="D184">
        <v>1</v>
      </c>
      <c r="E184" s="377" t="s">
        <v>4168</v>
      </c>
    </row>
    <row r="185" spans="1:5">
      <c r="A185" s="241" t="s">
        <v>1302</v>
      </c>
      <c r="B185" s="343">
        <v>2044810</v>
      </c>
      <c r="C185" s="246" t="s">
        <v>4021</v>
      </c>
      <c r="D185">
        <v>1</v>
      </c>
      <c r="E185" s="377" t="s">
        <v>4168</v>
      </c>
    </row>
    <row r="186" spans="1:5">
      <c r="A186" s="241" t="s">
        <v>1302</v>
      </c>
      <c r="B186" s="343">
        <v>2044864</v>
      </c>
      <c r="C186" s="246" t="s">
        <v>4021</v>
      </c>
      <c r="D186">
        <v>1</v>
      </c>
      <c r="E186" s="377" t="s">
        <v>4168</v>
      </c>
    </row>
    <row r="187" spans="1:5">
      <c r="A187" s="241" t="s">
        <v>1302</v>
      </c>
      <c r="B187" s="343">
        <v>2046320</v>
      </c>
      <c r="C187" s="246" t="s">
        <v>4021</v>
      </c>
      <c r="D187">
        <v>1</v>
      </c>
      <c r="E187" s="377" t="s">
        <v>4168</v>
      </c>
    </row>
    <row r="188" spans="1:5">
      <c r="A188" s="241" t="s">
        <v>1302</v>
      </c>
      <c r="B188" s="343">
        <v>2047943</v>
      </c>
      <c r="C188" s="246" t="s">
        <v>4021</v>
      </c>
      <c r="D188">
        <v>1</v>
      </c>
      <c r="E188" s="377" t="s">
        <v>4168</v>
      </c>
    </row>
    <row r="189" spans="1:5">
      <c r="A189" s="241" t="s">
        <v>1302</v>
      </c>
      <c r="B189" s="343">
        <v>2059199</v>
      </c>
      <c r="C189" s="246" t="s">
        <v>4021</v>
      </c>
      <c r="D189">
        <v>1</v>
      </c>
      <c r="E189" s="377" t="s">
        <v>4168</v>
      </c>
    </row>
    <row r="190" spans="1:5">
      <c r="A190" s="241" t="s">
        <v>1302</v>
      </c>
      <c r="B190" s="343">
        <v>2059426</v>
      </c>
      <c r="C190" s="246" t="s">
        <v>4021</v>
      </c>
      <c r="D190">
        <v>1</v>
      </c>
      <c r="E190" s="377" t="s">
        <v>4168</v>
      </c>
    </row>
    <row r="191" spans="1:5">
      <c r="A191" s="241" t="s">
        <v>1302</v>
      </c>
      <c r="B191" s="343">
        <v>2063016</v>
      </c>
      <c r="C191" s="246" t="s">
        <v>4021</v>
      </c>
      <c r="D191">
        <v>1</v>
      </c>
      <c r="E191" s="377" t="s">
        <v>4168</v>
      </c>
    </row>
    <row r="192" spans="1:5">
      <c r="A192" s="241" t="s">
        <v>1302</v>
      </c>
      <c r="B192" s="343">
        <v>2068879</v>
      </c>
      <c r="C192" s="246" t="s">
        <v>4021</v>
      </c>
      <c r="D192">
        <v>1</v>
      </c>
      <c r="E192" s="377" t="s">
        <v>4168</v>
      </c>
    </row>
    <row r="193" spans="1:5">
      <c r="A193" s="241" t="s">
        <v>1302</v>
      </c>
      <c r="B193" s="343">
        <v>2072091</v>
      </c>
      <c r="C193" s="246" t="s">
        <v>4021</v>
      </c>
      <c r="D193">
        <v>1</v>
      </c>
      <c r="E193" s="377" t="s">
        <v>4168</v>
      </c>
    </row>
    <row r="194" spans="1:5">
      <c r="A194" s="241" t="s">
        <v>1302</v>
      </c>
      <c r="B194" s="343">
        <v>2075909</v>
      </c>
      <c r="C194" s="246" t="s">
        <v>4021</v>
      </c>
      <c r="D194">
        <v>1</v>
      </c>
      <c r="E194" s="377" t="s">
        <v>4168</v>
      </c>
    </row>
    <row r="195" spans="1:5">
      <c r="A195" s="241" t="s">
        <v>1302</v>
      </c>
      <c r="B195" s="343">
        <v>2079470</v>
      </c>
      <c r="C195" s="246" t="s">
        <v>4021</v>
      </c>
      <c r="D195">
        <v>1</v>
      </c>
      <c r="E195" s="377" t="s">
        <v>4168</v>
      </c>
    </row>
    <row r="196" spans="1:5">
      <c r="A196" s="241" t="s">
        <v>1302</v>
      </c>
      <c r="B196" s="343">
        <v>2085877</v>
      </c>
      <c r="C196" s="246" t="s">
        <v>4021</v>
      </c>
      <c r="D196">
        <v>1</v>
      </c>
      <c r="E196" s="377" t="s">
        <v>4168</v>
      </c>
    </row>
    <row r="197" spans="1:5">
      <c r="A197" s="241" t="s">
        <v>1302</v>
      </c>
      <c r="B197" s="343">
        <v>2085878</v>
      </c>
      <c r="C197" s="246" t="s">
        <v>4021</v>
      </c>
      <c r="D197">
        <v>1</v>
      </c>
      <c r="E197" s="377" t="s">
        <v>4168</v>
      </c>
    </row>
    <row r="198" spans="1:5">
      <c r="A198" s="241" t="s">
        <v>1302</v>
      </c>
      <c r="B198" s="343">
        <v>2098441</v>
      </c>
      <c r="C198" s="246" t="s">
        <v>4021</v>
      </c>
      <c r="D198">
        <v>1</v>
      </c>
      <c r="E198" s="377" t="s">
        <v>4168</v>
      </c>
    </row>
    <row r="199" spans="1:5">
      <c r="A199" s="241" t="s">
        <v>1302</v>
      </c>
      <c r="B199" s="343">
        <v>2098442</v>
      </c>
      <c r="C199" s="246" t="s">
        <v>4021</v>
      </c>
      <c r="D199">
        <v>1</v>
      </c>
      <c r="E199" s="377" t="s">
        <v>4168</v>
      </c>
    </row>
    <row r="200" spans="1:5">
      <c r="A200" s="241" t="s">
        <v>1302</v>
      </c>
      <c r="B200" s="343">
        <v>2107623</v>
      </c>
      <c r="C200" s="246" t="s">
        <v>4021</v>
      </c>
      <c r="D200">
        <v>1</v>
      </c>
      <c r="E200" s="377" t="s">
        <v>4168</v>
      </c>
    </row>
    <row r="201" spans="1:5">
      <c r="A201" s="241" t="s">
        <v>1302</v>
      </c>
      <c r="B201" s="335">
        <v>1897866</v>
      </c>
      <c r="C201" s="236" t="s">
        <v>4021</v>
      </c>
      <c r="D201">
        <v>2</v>
      </c>
      <c r="E201" s="377" t="s">
        <v>4167</v>
      </c>
    </row>
    <row r="202" spans="1:5">
      <c r="A202" s="241" t="s">
        <v>1302</v>
      </c>
      <c r="B202" s="335">
        <v>1900869</v>
      </c>
      <c r="C202" s="236" t="s">
        <v>4021</v>
      </c>
      <c r="D202">
        <v>2</v>
      </c>
      <c r="E202" s="377" t="s">
        <v>4167</v>
      </c>
    </row>
    <row r="203" spans="1:5">
      <c r="A203" s="241" t="s">
        <v>1302</v>
      </c>
      <c r="B203" s="335">
        <v>1912661</v>
      </c>
      <c r="C203" s="236" t="s">
        <v>4020</v>
      </c>
      <c r="D203">
        <v>2</v>
      </c>
      <c r="E203" s="377" t="s">
        <v>4167</v>
      </c>
    </row>
    <row r="204" spans="1:5">
      <c r="A204" s="241" t="s">
        <v>1302</v>
      </c>
      <c r="B204" s="335">
        <v>1954346</v>
      </c>
      <c r="C204" s="236" t="s">
        <v>4021</v>
      </c>
      <c r="D204">
        <v>2</v>
      </c>
      <c r="E204" s="377" t="s">
        <v>4167</v>
      </c>
    </row>
    <row r="205" spans="1:5">
      <c r="A205" s="241" t="s">
        <v>1302</v>
      </c>
      <c r="B205" s="335">
        <v>1954452</v>
      </c>
      <c r="C205" s="236" t="s">
        <v>4020</v>
      </c>
      <c r="D205">
        <v>2</v>
      </c>
      <c r="E205" s="377" t="s">
        <v>4167</v>
      </c>
    </row>
    <row r="206" spans="1:5">
      <c r="A206" s="241" t="s">
        <v>1302</v>
      </c>
      <c r="B206" s="335">
        <v>1969469</v>
      </c>
      <c r="C206" s="236" t="s">
        <v>4021</v>
      </c>
      <c r="D206">
        <v>2</v>
      </c>
      <c r="E206" s="377" t="s">
        <v>4167</v>
      </c>
    </row>
    <row r="207" spans="1:5">
      <c r="A207" s="241" t="s">
        <v>1302</v>
      </c>
      <c r="B207" s="335">
        <v>1969479</v>
      </c>
      <c r="C207" s="236" t="s">
        <v>4021</v>
      </c>
      <c r="D207">
        <v>2</v>
      </c>
      <c r="E207" s="377" t="s">
        <v>4167</v>
      </c>
    </row>
    <row r="208" spans="1:5">
      <c r="A208" s="241" t="s">
        <v>1302</v>
      </c>
      <c r="B208" s="335">
        <v>1976300</v>
      </c>
      <c r="C208" s="236" t="s">
        <v>4020</v>
      </c>
      <c r="D208">
        <v>2</v>
      </c>
      <c r="E208" s="377" t="s">
        <v>4167</v>
      </c>
    </row>
    <row r="209" spans="1:5">
      <c r="A209" s="241" t="s">
        <v>1302</v>
      </c>
      <c r="B209" s="335">
        <v>1980941</v>
      </c>
      <c r="C209" s="236" t="s">
        <v>4020</v>
      </c>
      <c r="D209">
        <v>2</v>
      </c>
      <c r="E209" s="377" t="s">
        <v>4167</v>
      </c>
    </row>
    <row r="210" spans="1:5">
      <c r="A210" s="241" t="s">
        <v>1302</v>
      </c>
      <c r="B210" s="335">
        <v>1997325</v>
      </c>
      <c r="C210" s="236" t="s">
        <v>4020</v>
      </c>
      <c r="D210">
        <v>2</v>
      </c>
      <c r="E210" s="377" t="s">
        <v>4167</v>
      </c>
    </row>
    <row r="211" spans="1:5">
      <c r="A211" s="241" t="s">
        <v>1302</v>
      </c>
      <c r="B211" s="335">
        <v>1997493</v>
      </c>
      <c r="C211" s="236" t="s">
        <v>4020</v>
      </c>
      <c r="D211">
        <v>2</v>
      </c>
      <c r="E211" s="377" t="s">
        <v>4167</v>
      </c>
    </row>
    <row r="212" spans="1:5">
      <c r="A212" s="241" t="s">
        <v>1302</v>
      </c>
      <c r="B212" s="335">
        <v>2008989</v>
      </c>
      <c r="C212" s="236" t="s">
        <v>4020</v>
      </c>
      <c r="D212">
        <v>2</v>
      </c>
      <c r="E212" s="377" t="s">
        <v>4167</v>
      </c>
    </row>
    <row r="213" spans="1:5">
      <c r="A213" s="241" t="s">
        <v>1302</v>
      </c>
      <c r="B213" s="335">
        <v>2019718</v>
      </c>
      <c r="C213" s="236" t="s">
        <v>4021</v>
      </c>
      <c r="D213">
        <v>2</v>
      </c>
      <c r="E213" s="377" t="s">
        <v>4167</v>
      </c>
    </row>
    <row r="214" spans="1:5">
      <c r="A214" s="241" t="s">
        <v>1302</v>
      </c>
      <c r="B214" s="335">
        <v>2039691</v>
      </c>
      <c r="C214" s="236" t="s">
        <v>4020</v>
      </c>
      <c r="D214">
        <v>2</v>
      </c>
      <c r="E214" s="377" t="s">
        <v>4167</v>
      </c>
    </row>
    <row r="215" spans="1:5">
      <c r="A215" s="241" t="s">
        <v>1302</v>
      </c>
      <c r="B215" s="335">
        <v>2047282</v>
      </c>
      <c r="C215" s="236" t="s">
        <v>4020</v>
      </c>
      <c r="D215">
        <v>2</v>
      </c>
      <c r="E215" s="377" t="s">
        <v>4167</v>
      </c>
    </row>
    <row r="216" spans="1:5">
      <c r="A216" s="241" t="s">
        <v>1302</v>
      </c>
      <c r="B216" s="335">
        <v>2058409</v>
      </c>
      <c r="C216" s="236" t="s">
        <v>4020</v>
      </c>
      <c r="D216">
        <v>2</v>
      </c>
      <c r="E216" s="377" t="s">
        <v>4167</v>
      </c>
    </row>
    <row r="217" spans="1:5">
      <c r="A217" s="241" t="s">
        <v>1302</v>
      </c>
      <c r="B217" s="335">
        <v>2059884</v>
      </c>
      <c r="C217" s="236" t="s">
        <v>4021</v>
      </c>
      <c r="D217">
        <v>2</v>
      </c>
      <c r="E217" s="377" t="s">
        <v>4167</v>
      </c>
    </row>
    <row r="218" spans="1:5">
      <c r="A218" s="220" t="s">
        <v>2298</v>
      </c>
      <c r="B218" s="220">
        <v>2020329</v>
      </c>
      <c r="C218" s="221" t="s">
        <v>1176</v>
      </c>
      <c r="D218" s="379">
        <v>1</v>
      </c>
      <c r="E218" s="377" t="s">
        <v>2458</v>
      </c>
    </row>
    <row r="219" spans="1:5">
      <c r="A219" s="220" t="s">
        <v>2298</v>
      </c>
      <c r="B219" s="220">
        <v>2041516</v>
      </c>
      <c r="C219" s="221" t="s">
        <v>1176</v>
      </c>
      <c r="D219" s="379">
        <v>1</v>
      </c>
      <c r="E219" s="377" t="s">
        <v>2458</v>
      </c>
    </row>
    <row r="220" spans="1:5">
      <c r="A220" s="220" t="s">
        <v>2298</v>
      </c>
      <c r="B220" s="220">
        <v>2157019</v>
      </c>
      <c r="C220" s="221" t="s">
        <v>1176</v>
      </c>
      <c r="D220" s="379">
        <v>1</v>
      </c>
      <c r="E220" s="377" t="s">
        <v>2458</v>
      </c>
    </row>
    <row r="221" spans="1:5">
      <c r="A221" s="220" t="s">
        <v>2298</v>
      </c>
      <c r="B221" s="220">
        <v>2046260</v>
      </c>
      <c r="C221" s="221" t="s">
        <v>1176</v>
      </c>
      <c r="D221" s="379">
        <v>2</v>
      </c>
      <c r="E221" s="377" t="s">
        <v>4138</v>
      </c>
    </row>
    <row r="222" spans="1:5">
      <c r="A222" s="220" t="s">
        <v>2298</v>
      </c>
      <c r="B222" s="220">
        <v>2025698</v>
      </c>
      <c r="C222" s="221" t="s">
        <v>1176</v>
      </c>
      <c r="D222" s="379">
        <v>2</v>
      </c>
      <c r="E222" s="377" t="s">
        <v>2477</v>
      </c>
    </row>
    <row r="223" spans="1:5">
      <c r="A223" s="220" t="s">
        <v>2298</v>
      </c>
      <c r="B223" s="220">
        <v>2047099</v>
      </c>
      <c r="C223" s="221" t="s">
        <v>1176</v>
      </c>
      <c r="D223" s="379">
        <v>2</v>
      </c>
      <c r="E223" s="377" t="s">
        <v>2477</v>
      </c>
    </row>
    <row r="224" spans="1:5">
      <c r="A224" s="220" t="s">
        <v>2298</v>
      </c>
      <c r="B224" s="220">
        <v>2055158</v>
      </c>
      <c r="C224" s="221" t="s">
        <v>1176</v>
      </c>
      <c r="D224" s="379">
        <v>2</v>
      </c>
      <c r="E224" s="377" t="s">
        <v>2477</v>
      </c>
    </row>
    <row r="225" spans="1:5">
      <c r="A225" s="220" t="s">
        <v>2298</v>
      </c>
      <c r="B225" s="220">
        <v>2065987</v>
      </c>
      <c r="C225" s="221" t="s">
        <v>1176</v>
      </c>
      <c r="D225" s="379">
        <v>2</v>
      </c>
      <c r="E225" s="377" t="s">
        <v>2477</v>
      </c>
    </row>
    <row r="226" spans="1:5">
      <c r="A226" s="220" t="s">
        <v>2298</v>
      </c>
      <c r="B226" s="220">
        <v>1992889</v>
      </c>
      <c r="C226" s="221" t="s">
        <v>1176</v>
      </c>
      <c r="D226" s="379">
        <v>2</v>
      </c>
      <c r="E226" s="377" t="s">
        <v>2477</v>
      </c>
    </row>
    <row r="227" spans="1:5">
      <c r="A227" s="220" t="s">
        <v>2298</v>
      </c>
      <c r="B227" s="220">
        <v>2060694</v>
      </c>
      <c r="C227" s="221" t="s">
        <v>1176</v>
      </c>
      <c r="D227" s="379">
        <v>2</v>
      </c>
      <c r="E227" s="377" t="s">
        <v>2477</v>
      </c>
    </row>
    <row r="228" spans="1:5" s="371" customFormat="1">
      <c r="A228" s="220" t="s">
        <v>2298</v>
      </c>
      <c r="B228" s="220">
        <v>2078129</v>
      </c>
      <c r="C228" s="221" t="s">
        <v>1176</v>
      </c>
      <c r="D228" s="379">
        <v>2</v>
      </c>
      <c r="E228" s="377" t="s">
        <v>2477</v>
      </c>
    </row>
    <row r="229" spans="1:5">
      <c r="A229" s="220" t="s">
        <v>2298</v>
      </c>
      <c r="B229" s="220">
        <v>2018608</v>
      </c>
      <c r="C229" s="221" t="s">
        <v>1176</v>
      </c>
      <c r="D229" s="379">
        <v>2</v>
      </c>
      <c r="E229" s="377" t="s">
        <v>2477</v>
      </c>
    </row>
    <row r="230" spans="1:5">
      <c r="A230" s="220" t="s">
        <v>2298</v>
      </c>
      <c r="B230" s="220">
        <v>2017779</v>
      </c>
      <c r="C230" s="221" t="s">
        <v>1176</v>
      </c>
      <c r="D230" s="379">
        <v>2</v>
      </c>
      <c r="E230" s="377" t="s">
        <v>2477</v>
      </c>
    </row>
    <row r="231" spans="1:5">
      <c r="A231" s="220" t="s">
        <v>2298</v>
      </c>
      <c r="B231" s="220">
        <v>2067324</v>
      </c>
      <c r="C231" s="221" t="s">
        <v>1176</v>
      </c>
      <c r="D231" s="379">
        <v>2</v>
      </c>
      <c r="E231" s="377" t="s">
        <v>2477</v>
      </c>
    </row>
    <row r="232" spans="1:5">
      <c r="A232" s="220" t="s">
        <v>2298</v>
      </c>
      <c r="B232" s="220">
        <v>2067325</v>
      </c>
      <c r="C232" s="221" t="s">
        <v>1176</v>
      </c>
      <c r="D232" s="379">
        <v>2</v>
      </c>
      <c r="E232" s="377" t="s">
        <v>2477</v>
      </c>
    </row>
    <row r="233" spans="1:5">
      <c r="A233" s="220" t="s">
        <v>2298</v>
      </c>
      <c r="B233" s="220">
        <v>2090454</v>
      </c>
      <c r="C233" s="221" t="s">
        <v>1176</v>
      </c>
      <c r="D233" s="379">
        <v>2</v>
      </c>
      <c r="E233" s="377" t="s">
        <v>2477</v>
      </c>
    </row>
    <row r="234" spans="1:5">
      <c r="A234" s="220" t="s">
        <v>2298</v>
      </c>
      <c r="B234" s="220">
        <v>2005650</v>
      </c>
      <c r="C234" s="221" t="s">
        <v>1176</v>
      </c>
      <c r="D234" s="379">
        <v>2</v>
      </c>
      <c r="E234" s="377" t="s">
        <v>2477</v>
      </c>
    </row>
    <row r="235" spans="1:5">
      <c r="A235" s="220" t="s">
        <v>2298</v>
      </c>
      <c r="B235" s="220">
        <v>2074256</v>
      </c>
      <c r="C235" s="221" t="s">
        <v>1176</v>
      </c>
      <c r="D235" s="379">
        <v>2</v>
      </c>
      <c r="E235" s="377" t="s">
        <v>2477</v>
      </c>
    </row>
    <row r="236" spans="1:5">
      <c r="A236" s="220" t="s">
        <v>2298</v>
      </c>
      <c r="B236" s="220">
        <v>2043163</v>
      </c>
      <c r="C236" s="221" t="s">
        <v>1176</v>
      </c>
      <c r="D236" s="379">
        <v>2</v>
      </c>
      <c r="E236" s="377" t="s">
        <v>2477</v>
      </c>
    </row>
    <row r="237" spans="1:5">
      <c r="A237" s="220" t="s">
        <v>2298</v>
      </c>
      <c r="B237" s="220">
        <v>2062971</v>
      </c>
      <c r="C237" s="221" t="s">
        <v>1176</v>
      </c>
      <c r="D237" s="379">
        <v>2</v>
      </c>
      <c r="E237" s="377" t="s">
        <v>2477</v>
      </c>
    </row>
    <row r="238" spans="1:5">
      <c r="A238" s="220" t="s">
        <v>2298</v>
      </c>
      <c r="B238" s="220">
        <v>2026353</v>
      </c>
      <c r="C238" s="221" t="s">
        <v>1176</v>
      </c>
      <c r="D238" s="379">
        <v>2</v>
      </c>
      <c r="E238" s="377" t="s">
        <v>2477</v>
      </c>
    </row>
    <row r="239" spans="1:5">
      <c r="A239" s="220" t="s">
        <v>2298</v>
      </c>
      <c r="B239" s="220">
        <v>2037592</v>
      </c>
      <c r="C239" s="221" t="s">
        <v>1176</v>
      </c>
      <c r="D239" s="379">
        <v>2</v>
      </c>
      <c r="E239" s="377" t="s">
        <v>2477</v>
      </c>
    </row>
    <row r="240" spans="1:5">
      <c r="A240" s="220" t="s">
        <v>2298</v>
      </c>
      <c r="B240" s="220">
        <v>2061776</v>
      </c>
      <c r="C240" s="221" t="s">
        <v>1176</v>
      </c>
      <c r="D240" s="379">
        <v>2</v>
      </c>
      <c r="E240" s="377" t="s">
        <v>2477</v>
      </c>
    </row>
    <row r="241" spans="1:5">
      <c r="A241" s="220" t="s">
        <v>2298</v>
      </c>
      <c r="B241" s="220">
        <v>2065984</v>
      </c>
      <c r="C241" s="221" t="s">
        <v>1176</v>
      </c>
      <c r="D241" s="379">
        <v>2</v>
      </c>
      <c r="E241" s="377" t="s">
        <v>2477</v>
      </c>
    </row>
    <row r="242" spans="1:5">
      <c r="A242" s="220" t="s">
        <v>2298</v>
      </c>
      <c r="B242" s="220">
        <v>1993345</v>
      </c>
      <c r="C242" s="221" t="s">
        <v>1176</v>
      </c>
      <c r="D242" s="379">
        <v>2</v>
      </c>
      <c r="E242" s="377" t="s">
        <v>2477</v>
      </c>
    </row>
    <row r="243" spans="1:5">
      <c r="A243" s="220" t="s">
        <v>2298</v>
      </c>
      <c r="B243" s="220">
        <v>2010200</v>
      </c>
      <c r="C243" s="221" t="s">
        <v>1176</v>
      </c>
      <c r="D243" s="379">
        <v>2</v>
      </c>
      <c r="E243" s="377" t="s">
        <v>2477</v>
      </c>
    </row>
    <row r="244" spans="1:5">
      <c r="A244" s="220" t="s">
        <v>2298</v>
      </c>
      <c r="B244" s="220">
        <v>2020189</v>
      </c>
      <c r="C244" s="221" t="s">
        <v>1176</v>
      </c>
      <c r="D244" s="379">
        <v>2</v>
      </c>
      <c r="E244" s="377" t="s">
        <v>2477</v>
      </c>
    </row>
    <row r="245" spans="1:5">
      <c r="A245" s="220" t="s">
        <v>2298</v>
      </c>
      <c r="B245" s="220">
        <v>2012892</v>
      </c>
      <c r="C245" s="221" t="s">
        <v>1176</v>
      </c>
      <c r="D245" s="379">
        <v>2</v>
      </c>
      <c r="E245" s="377" t="s">
        <v>2477</v>
      </c>
    </row>
    <row r="246" spans="1:5">
      <c r="A246" s="220" t="s">
        <v>2298</v>
      </c>
      <c r="B246" s="220">
        <v>2057058</v>
      </c>
      <c r="C246" s="221" t="s">
        <v>1176</v>
      </c>
      <c r="D246" s="379">
        <v>2</v>
      </c>
      <c r="E246" s="377" t="s">
        <v>2477</v>
      </c>
    </row>
    <row r="247" spans="1:5">
      <c r="A247" s="220" t="s">
        <v>2298</v>
      </c>
      <c r="B247" s="220">
        <v>2058973</v>
      </c>
      <c r="C247" s="221" t="s">
        <v>1176</v>
      </c>
      <c r="D247" s="379">
        <v>2</v>
      </c>
      <c r="E247" s="377" t="s">
        <v>2477</v>
      </c>
    </row>
    <row r="248" spans="1:5">
      <c r="A248" s="220" t="s">
        <v>2298</v>
      </c>
      <c r="B248" s="220">
        <v>2120943</v>
      </c>
      <c r="C248" s="221" t="s">
        <v>1176</v>
      </c>
      <c r="D248" s="379">
        <v>2</v>
      </c>
      <c r="E248" s="377" t="s">
        <v>2477</v>
      </c>
    </row>
    <row r="249" spans="1:5">
      <c r="A249" s="220" t="s">
        <v>2298</v>
      </c>
      <c r="B249" s="220">
        <v>1806240</v>
      </c>
      <c r="C249" s="221" t="s">
        <v>1176</v>
      </c>
      <c r="D249" s="379">
        <v>3</v>
      </c>
      <c r="E249" s="377" t="s">
        <v>2299</v>
      </c>
    </row>
    <row r="250" spans="1:5">
      <c r="A250" s="220" t="s">
        <v>2298</v>
      </c>
      <c r="B250" s="220">
        <v>1992486</v>
      </c>
      <c r="C250" s="221" t="s">
        <v>1176</v>
      </c>
      <c r="D250" s="379">
        <v>3</v>
      </c>
      <c r="E250" s="377" t="s">
        <v>2299</v>
      </c>
    </row>
    <row r="251" spans="1:5">
      <c r="A251" s="220" t="s">
        <v>2298</v>
      </c>
      <c r="B251" s="220">
        <v>2048656</v>
      </c>
      <c r="C251" s="221" t="s">
        <v>1176</v>
      </c>
      <c r="D251" s="379">
        <v>3</v>
      </c>
      <c r="E251" s="377" t="s">
        <v>2299</v>
      </c>
    </row>
    <row r="252" spans="1:5">
      <c r="A252" s="220" t="s">
        <v>2298</v>
      </c>
      <c r="B252" s="220">
        <v>2012587</v>
      </c>
      <c r="C252" s="221" t="s">
        <v>1176</v>
      </c>
      <c r="D252" s="379">
        <v>3</v>
      </c>
      <c r="E252" s="377" t="s">
        <v>2299</v>
      </c>
    </row>
    <row r="253" spans="1:5">
      <c r="A253" s="220" t="s">
        <v>2298</v>
      </c>
      <c r="B253" s="220">
        <v>2117025</v>
      </c>
      <c r="C253" s="221" t="s">
        <v>1176</v>
      </c>
      <c r="D253" s="379">
        <v>3</v>
      </c>
      <c r="E253" s="377" t="s">
        <v>2299</v>
      </c>
    </row>
    <row r="254" spans="1:5">
      <c r="A254" s="220" t="s">
        <v>2298</v>
      </c>
      <c r="B254" s="220">
        <v>2041659</v>
      </c>
      <c r="C254" s="221" t="s">
        <v>1176</v>
      </c>
      <c r="D254" s="379">
        <v>3</v>
      </c>
      <c r="E254" s="377" t="s">
        <v>2299</v>
      </c>
    </row>
    <row r="255" spans="1:5">
      <c r="A255" s="241" t="s">
        <v>629</v>
      </c>
      <c r="B255" s="335">
        <v>2027235</v>
      </c>
      <c r="C255" s="236" t="s">
        <v>4022</v>
      </c>
      <c r="D255" s="379">
        <v>1</v>
      </c>
      <c r="E255" s="377" t="s">
        <v>4169</v>
      </c>
    </row>
    <row r="256" spans="1:5">
      <c r="A256" s="241" t="s">
        <v>629</v>
      </c>
      <c r="B256" s="335">
        <v>2030127</v>
      </c>
      <c r="C256" s="236" t="s">
        <v>4022</v>
      </c>
      <c r="D256" s="379">
        <v>1</v>
      </c>
      <c r="E256" s="377" t="s">
        <v>4169</v>
      </c>
    </row>
    <row r="257" spans="1:5">
      <c r="A257" s="241" t="s">
        <v>629</v>
      </c>
      <c r="B257" s="335">
        <v>2032137</v>
      </c>
      <c r="C257" s="236" t="s">
        <v>4022</v>
      </c>
      <c r="D257" s="379">
        <v>1</v>
      </c>
      <c r="E257" s="377" t="s">
        <v>4169</v>
      </c>
    </row>
    <row r="258" spans="1:5">
      <c r="A258" s="241" t="s">
        <v>629</v>
      </c>
      <c r="B258" s="335">
        <v>2036223</v>
      </c>
      <c r="C258" s="236" t="s">
        <v>4022</v>
      </c>
      <c r="D258" s="379">
        <v>1</v>
      </c>
      <c r="E258" s="377" t="s">
        <v>4169</v>
      </c>
    </row>
    <row r="259" spans="1:5">
      <c r="A259" s="241" t="s">
        <v>629</v>
      </c>
      <c r="B259" s="335">
        <v>2036307</v>
      </c>
      <c r="C259" s="236" t="s">
        <v>4022</v>
      </c>
      <c r="D259" s="379">
        <v>1</v>
      </c>
      <c r="E259" s="377" t="s">
        <v>4169</v>
      </c>
    </row>
    <row r="260" spans="1:5">
      <c r="A260" s="241" t="s">
        <v>629</v>
      </c>
      <c r="B260" s="335">
        <v>2039071</v>
      </c>
      <c r="C260" s="236" t="s">
        <v>4022</v>
      </c>
      <c r="D260" s="379">
        <v>1</v>
      </c>
      <c r="E260" s="377" t="s">
        <v>4169</v>
      </c>
    </row>
    <row r="261" spans="1:5">
      <c r="A261" s="241" t="s">
        <v>629</v>
      </c>
      <c r="B261" s="335">
        <v>2042183</v>
      </c>
      <c r="C261" s="236" t="s">
        <v>4022</v>
      </c>
      <c r="D261" s="379">
        <v>1</v>
      </c>
      <c r="E261" s="377" t="s">
        <v>4169</v>
      </c>
    </row>
    <row r="262" spans="1:5">
      <c r="A262" s="241" t="s">
        <v>629</v>
      </c>
      <c r="B262" s="335">
        <v>2044133</v>
      </c>
      <c r="C262" s="236" t="s">
        <v>4022</v>
      </c>
      <c r="D262" s="379">
        <v>1</v>
      </c>
      <c r="E262" s="377" t="s">
        <v>4169</v>
      </c>
    </row>
    <row r="263" spans="1:5">
      <c r="A263" s="241" t="s">
        <v>629</v>
      </c>
      <c r="B263" s="335">
        <v>2044142</v>
      </c>
      <c r="C263" s="236" t="s">
        <v>4022</v>
      </c>
      <c r="D263" s="379">
        <v>1</v>
      </c>
      <c r="E263" s="377" t="s">
        <v>4169</v>
      </c>
    </row>
    <row r="264" spans="1:5">
      <c r="A264" s="241" t="s">
        <v>629</v>
      </c>
      <c r="B264" s="335">
        <v>2055991</v>
      </c>
      <c r="C264" s="236" t="s">
        <v>4102</v>
      </c>
      <c r="D264" s="379">
        <v>1</v>
      </c>
      <c r="E264" s="377" t="s">
        <v>4169</v>
      </c>
    </row>
    <row r="265" spans="1:5">
      <c r="A265" s="241" t="s">
        <v>629</v>
      </c>
      <c r="B265" s="335">
        <v>2061301</v>
      </c>
      <c r="C265" s="236" t="s">
        <v>4022</v>
      </c>
      <c r="D265" s="379">
        <v>1</v>
      </c>
      <c r="E265" s="377" t="s">
        <v>4169</v>
      </c>
    </row>
    <row r="266" spans="1:5">
      <c r="A266" s="241" t="s">
        <v>629</v>
      </c>
      <c r="B266" s="335">
        <v>2061945</v>
      </c>
      <c r="C266" s="236" t="s">
        <v>4022</v>
      </c>
      <c r="D266" s="379">
        <v>1</v>
      </c>
      <c r="E266" s="377" t="s">
        <v>4169</v>
      </c>
    </row>
    <row r="267" spans="1:5">
      <c r="A267" s="241" t="s">
        <v>629</v>
      </c>
      <c r="B267" s="335">
        <v>2066938</v>
      </c>
      <c r="C267" s="236" t="s">
        <v>4022</v>
      </c>
      <c r="D267" s="379">
        <v>1</v>
      </c>
      <c r="E267" s="377" t="s">
        <v>4169</v>
      </c>
    </row>
    <row r="268" spans="1:5">
      <c r="A268" s="241" t="s">
        <v>629</v>
      </c>
      <c r="B268" s="335">
        <v>2067648</v>
      </c>
      <c r="C268" s="236" t="s">
        <v>4102</v>
      </c>
      <c r="D268" s="379">
        <v>1</v>
      </c>
      <c r="E268" s="377" t="s">
        <v>4169</v>
      </c>
    </row>
    <row r="269" spans="1:5">
      <c r="A269" s="241" t="s">
        <v>629</v>
      </c>
      <c r="B269" s="335">
        <v>2067673</v>
      </c>
      <c r="C269" s="236" t="s">
        <v>4102</v>
      </c>
      <c r="D269" s="379">
        <v>1</v>
      </c>
      <c r="E269" s="377" t="s">
        <v>4169</v>
      </c>
    </row>
    <row r="270" spans="1:5">
      <c r="A270" s="241" t="s">
        <v>629</v>
      </c>
      <c r="B270" s="335">
        <v>2068402</v>
      </c>
      <c r="C270" s="236" t="s">
        <v>4022</v>
      </c>
      <c r="D270" s="379">
        <v>1</v>
      </c>
      <c r="E270" s="377" t="s">
        <v>4169</v>
      </c>
    </row>
    <row r="271" spans="1:5">
      <c r="A271" s="241" t="s">
        <v>629</v>
      </c>
      <c r="B271" s="335">
        <v>2068422</v>
      </c>
      <c r="C271" s="236" t="s">
        <v>4022</v>
      </c>
      <c r="D271" s="379">
        <v>1</v>
      </c>
      <c r="E271" s="377" t="s">
        <v>4169</v>
      </c>
    </row>
    <row r="272" spans="1:5">
      <c r="A272" s="241" t="s">
        <v>629</v>
      </c>
      <c r="B272" s="335">
        <v>2078642</v>
      </c>
      <c r="C272" s="236" t="s">
        <v>4022</v>
      </c>
      <c r="D272" s="379">
        <v>1</v>
      </c>
      <c r="E272" s="377" t="s">
        <v>4169</v>
      </c>
    </row>
    <row r="273" spans="1:5">
      <c r="A273" s="241" t="s">
        <v>629</v>
      </c>
      <c r="B273" s="335">
        <v>2078691</v>
      </c>
      <c r="C273" s="236" t="s">
        <v>4022</v>
      </c>
      <c r="D273" s="379">
        <v>1</v>
      </c>
      <c r="E273" s="377" t="s">
        <v>4169</v>
      </c>
    </row>
    <row r="274" spans="1:5">
      <c r="A274" s="241" t="s">
        <v>629</v>
      </c>
      <c r="B274" s="335">
        <v>2080612</v>
      </c>
      <c r="C274" s="236" t="s">
        <v>4022</v>
      </c>
      <c r="D274" s="379">
        <v>1</v>
      </c>
      <c r="E274" s="377" t="s">
        <v>4169</v>
      </c>
    </row>
    <row r="275" spans="1:5">
      <c r="A275" s="241" t="s">
        <v>629</v>
      </c>
      <c r="B275" s="335">
        <v>2092095</v>
      </c>
      <c r="C275" s="236" t="s">
        <v>4022</v>
      </c>
      <c r="D275" s="379">
        <v>1</v>
      </c>
      <c r="E275" s="377" t="s">
        <v>4169</v>
      </c>
    </row>
    <row r="276" spans="1:5">
      <c r="A276" s="241" t="s">
        <v>629</v>
      </c>
      <c r="B276" s="335">
        <v>2094379</v>
      </c>
      <c r="C276" s="236" t="s">
        <v>4022</v>
      </c>
      <c r="D276" s="379">
        <v>1</v>
      </c>
      <c r="E276" s="377" t="s">
        <v>4169</v>
      </c>
    </row>
    <row r="277" spans="1:5">
      <c r="A277" s="241" t="s">
        <v>629</v>
      </c>
      <c r="B277" s="335">
        <v>2095772</v>
      </c>
      <c r="C277" s="236" t="s">
        <v>4022</v>
      </c>
      <c r="D277" s="379">
        <v>1</v>
      </c>
      <c r="E277" s="377" t="s">
        <v>4169</v>
      </c>
    </row>
    <row r="278" spans="1:5">
      <c r="A278" s="241" t="s">
        <v>629</v>
      </c>
      <c r="B278" s="335">
        <v>2103794</v>
      </c>
      <c r="C278" s="236" t="s">
        <v>4022</v>
      </c>
      <c r="D278" s="379">
        <v>1</v>
      </c>
      <c r="E278" s="377" t="s">
        <v>4169</v>
      </c>
    </row>
    <row r="279" spans="1:5">
      <c r="A279" s="241" t="s">
        <v>629</v>
      </c>
      <c r="B279" s="335">
        <v>2108560</v>
      </c>
      <c r="C279" s="236" t="s">
        <v>4022</v>
      </c>
      <c r="D279" s="379">
        <v>1</v>
      </c>
      <c r="E279" s="377" t="s">
        <v>4169</v>
      </c>
    </row>
    <row r="280" spans="1:5">
      <c r="A280" s="241" t="s">
        <v>629</v>
      </c>
      <c r="B280" s="335">
        <v>2130896</v>
      </c>
      <c r="C280" s="236" t="s">
        <v>4022</v>
      </c>
      <c r="D280" s="379">
        <v>1</v>
      </c>
      <c r="E280" s="377" t="s">
        <v>4169</v>
      </c>
    </row>
    <row r="281" spans="1:5">
      <c r="A281" s="241" t="s">
        <v>629</v>
      </c>
      <c r="B281" s="335">
        <v>2134593</v>
      </c>
      <c r="C281" s="236" t="s">
        <v>4022</v>
      </c>
      <c r="D281" s="379">
        <v>1</v>
      </c>
      <c r="E281" s="377" t="s">
        <v>4169</v>
      </c>
    </row>
    <row r="282" spans="1:5">
      <c r="A282" s="241" t="s">
        <v>629</v>
      </c>
      <c r="B282" s="335">
        <v>2162533</v>
      </c>
      <c r="C282" s="236" t="s">
        <v>4022</v>
      </c>
      <c r="D282" s="379">
        <v>1</v>
      </c>
      <c r="E282" s="377" t="s">
        <v>4169</v>
      </c>
    </row>
    <row r="283" spans="1:5">
      <c r="A283" s="241" t="s">
        <v>629</v>
      </c>
      <c r="B283" s="335">
        <v>2162534</v>
      </c>
      <c r="C283" s="236" t="s">
        <v>4022</v>
      </c>
      <c r="D283" s="379">
        <v>1</v>
      </c>
      <c r="E283" s="377" t="s">
        <v>4169</v>
      </c>
    </row>
    <row r="284" spans="1:5">
      <c r="A284" s="241" t="s">
        <v>629</v>
      </c>
      <c r="B284" s="335">
        <v>2261678</v>
      </c>
      <c r="C284" s="236" t="s">
        <v>4022</v>
      </c>
      <c r="D284" s="379">
        <v>1</v>
      </c>
      <c r="E284" s="377" t="s">
        <v>4169</v>
      </c>
    </row>
    <row r="285" spans="1:5">
      <c r="A285" t="s">
        <v>1380</v>
      </c>
      <c r="B285">
        <v>1464557</v>
      </c>
      <c r="C285" s="62"/>
      <c r="D285">
        <v>1</v>
      </c>
      <c r="E285" s="377" t="s">
        <v>4171</v>
      </c>
    </row>
    <row r="286" spans="1:5">
      <c r="A286" t="s">
        <v>1380</v>
      </c>
      <c r="B286">
        <v>1575529</v>
      </c>
      <c r="C286" s="62"/>
      <c r="D286">
        <v>1</v>
      </c>
      <c r="E286" s="377" t="s">
        <v>4171</v>
      </c>
    </row>
    <row r="287" spans="1:5">
      <c r="A287" t="s">
        <v>1380</v>
      </c>
      <c r="B287">
        <v>1606052</v>
      </c>
      <c r="C287" s="62"/>
      <c r="D287">
        <v>1</v>
      </c>
      <c r="E287" s="377" t="s">
        <v>4171</v>
      </c>
    </row>
    <row r="288" spans="1:5">
      <c r="A288" t="s">
        <v>1380</v>
      </c>
      <c r="B288">
        <v>1660541</v>
      </c>
      <c r="C288" s="62"/>
      <c r="D288">
        <v>1</v>
      </c>
      <c r="E288" s="377" t="s">
        <v>4171</v>
      </c>
    </row>
    <row r="289" spans="1:5">
      <c r="A289" t="s">
        <v>1380</v>
      </c>
      <c r="B289">
        <v>1667767</v>
      </c>
      <c r="C289" s="62"/>
      <c r="D289">
        <v>1</v>
      </c>
      <c r="E289" s="377" t="s">
        <v>4171</v>
      </c>
    </row>
    <row r="290" spans="1:5">
      <c r="A290" t="s">
        <v>1380</v>
      </c>
      <c r="B290">
        <v>1673615</v>
      </c>
      <c r="C290" s="62"/>
      <c r="D290">
        <v>1</v>
      </c>
      <c r="E290" s="377" t="s">
        <v>4171</v>
      </c>
    </row>
    <row r="291" spans="1:5">
      <c r="A291" s="220" t="s">
        <v>1380</v>
      </c>
      <c r="B291" s="220">
        <v>1762077</v>
      </c>
      <c r="C291" s="221" t="s">
        <v>4128</v>
      </c>
      <c r="D291">
        <v>1</v>
      </c>
      <c r="E291" s="377" t="s">
        <v>4171</v>
      </c>
    </row>
    <row r="292" spans="1:5">
      <c r="A292" s="220" t="s">
        <v>1380</v>
      </c>
      <c r="B292" s="220">
        <v>1776720</v>
      </c>
      <c r="C292" s="221" t="s">
        <v>2468</v>
      </c>
      <c r="D292">
        <v>1</v>
      </c>
      <c r="E292" s="377" t="s">
        <v>4171</v>
      </c>
    </row>
    <row r="293" spans="1:5">
      <c r="A293" s="220" t="s">
        <v>1380</v>
      </c>
      <c r="B293" s="220">
        <v>1776721</v>
      </c>
      <c r="C293" s="221" t="s">
        <v>4128</v>
      </c>
      <c r="D293">
        <v>1</v>
      </c>
      <c r="E293" s="377" t="s">
        <v>4171</v>
      </c>
    </row>
    <row r="294" spans="1:5">
      <c r="A294" s="220" t="s">
        <v>1380</v>
      </c>
      <c r="B294" s="220">
        <v>1779012</v>
      </c>
      <c r="C294" s="221" t="s">
        <v>4128</v>
      </c>
      <c r="D294">
        <v>1</v>
      </c>
      <c r="E294" s="377" t="s">
        <v>4171</v>
      </c>
    </row>
    <row r="295" spans="1:5">
      <c r="A295" s="220" t="s">
        <v>1380</v>
      </c>
      <c r="B295" s="220">
        <v>1843051</v>
      </c>
      <c r="C295" s="221" t="s">
        <v>4128</v>
      </c>
      <c r="D295">
        <v>1</v>
      </c>
      <c r="E295" s="377" t="s">
        <v>4171</v>
      </c>
    </row>
    <row r="296" spans="1:5">
      <c r="A296" s="220" t="s">
        <v>1380</v>
      </c>
      <c r="B296" s="220">
        <v>1892588</v>
      </c>
      <c r="C296" s="221" t="s">
        <v>2468</v>
      </c>
      <c r="D296">
        <v>1</v>
      </c>
      <c r="E296" s="377" t="s">
        <v>4171</v>
      </c>
    </row>
    <row r="297" spans="1:5">
      <c r="A297" s="220" t="s">
        <v>1380</v>
      </c>
      <c r="B297" s="220">
        <v>1893393</v>
      </c>
      <c r="C297" s="221" t="s">
        <v>2468</v>
      </c>
      <c r="D297">
        <v>1</v>
      </c>
      <c r="E297" s="377" t="s">
        <v>4171</v>
      </c>
    </row>
    <row r="298" spans="1:5">
      <c r="A298" s="220" t="s">
        <v>1380</v>
      </c>
      <c r="B298" s="220">
        <v>1895424</v>
      </c>
      <c r="C298" s="221" t="s">
        <v>2468</v>
      </c>
      <c r="D298">
        <v>1</v>
      </c>
      <c r="E298" s="377" t="s">
        <v>4171</v>
      </c>
    </row>
    <row r="299" spans="1:5">
      <c r="A299" s="220" t="s">
        <v>1380</v>
      </c>
      <c r="B299" s="220">
        <v>1903397</v>
      </c>
      <c r="C299" s="221" t="s">
        <v>4128</v>
      </c>
      <c r="D299">
        <v>1</v>
      </c>
      <c r="E299" s="377" t="s">
        <v>4171</v>
      </c>
    </row>
    <row r="300" spans="1:5">
      <c r="A300" s="220" t="s">
        <v>1380</v>
      </c>
      <c r="B300" s="220">
        <v>1917734</v>
      </c>
      <c r="C300" s="221" t="s">
        <v>2468</v>
      </c>
      <c r="D300">
        <v>1</v>
      </c>
      <c r="E300" s="377" t="s">
        <v>4171</v>
      </c>
    </row>
    <row r="301" spans="1:5">
      <c r="A301" s="220" t="s">
        <v>1380</v>
      </c>
      <c r="B301" s="220">
        <v>1934005</v>
      </c>
      <c r="C301" s="221" t="s">
        <v>4128</v>
      </c>
      <c r="D301">
        <v>1</v>
      </c>
      <c r="E301" s="377" t="s">
        <v>4171</v>
      </c>
    </row>
    <row r="302" spans="1:5">
      <c r="A302" s="220" t="s">
        <v>1380</v>
      </c>
      <c r="B302" s="220">
        <v>1938864</v>
      </c>
      <c r="C302" s="221" t="s">
        <v>4128</v>
      </c>
      <c r="D302">
        <v>1</v>
      </c>
      <c r="E302" s="377" t="s">
        <v>4171</v>
      </c>
    </row>
    <row r="303" spans="1:5">
      <c r="A303" s="220" t="s">
        <v>1380</v>
      </c>
      <c r="B303" s="220">
        <v>1946332</v>
      </c>
      <c r="C303" s="221" t="s">
        <v>4128</v>
      </c>
      <c r="D303">
        <v>1</v>
      </c>
      <c r="E303" s="377" t="s">
        <v>4171</v>
      </c>
    </row>
    <row r="304" spans="1:5">
      <c r="A304" t="s">
        <v>1380</v>
      </c>
      <c r="B304">
        <v>1946333</v>
      </c>
      <c r="C304" s="62"/>
      <c r="D304">
        <v>1</v>
      </c>
      <c r="E304" s="377" t="s">
        <v>4171</v>
      </c>
    </row>
    <row r="305" spans="1:5">
      <c r="A305" t="s">
        <v>1380</v>
      </c>
      <c r="B305">
        <v>1977940</v>
      </c>
      <c r="C305" s="62"/>
      <c r="D305">
        <v>1</v>
      </c>
      <c r="E305" s="377" t="s">
        <v>4171</v>
      </c>
    </row>
    <row r="306" spans="1:5">
      <c r="A306" s="220" t="s">
        <v>1380</v>
      </c>
      <c r="B306" s="220">
        <v>1986360</v>
      </c>
      <c r="C306" s="221" t="s">
        <v>4128</v>
      </c>
      <c r="D306">
        <v>1</v>
      </c>
      <c r="E306" s="377" t="s">
        <v>4171</v>
      </c>
    </row>
    <row r="307" spans="1:5">
      <c r="A307" s="220" t="s">
        <v>1380</v>
      </c>
      <c r="B307" s="220">
        <v>2020496</v>
      </c>
      <c r="C307" s="221" t="s">
        <v>4128</v>
      </c>
      <c r="D307">
        <v>1</v>
      </c>
      <c r="E307" s="377" t="s">
        <v>4171</v>
      </c>
    </row>
    <row r="308" spans="1:5">
      <c r="A308" s="220" t="s">
        <v>1380</v>
      </c>
      <c r="B308" s="220">
        <v>2020517</v>
      </c>
      <c r="C308" s="221" t="s">
        <v>4128</v>
      </c>
      <c r="D308">
        <v>1</v>
      </c>
      <c r="E308" s="377" t="s">
        <v>4171</v>
      </c>
    </row>
    <row r="309" spans="1:5">
      <c r="A309" s="220" t="s">
        <v>1380</v>
      </c>
      <c r="B309" s="220">
        <v>2020662</v>
      </c>
      <c r="C309" s="221" t="s">
        <v>2468</v>
      </c>
      <c r="D309">
        <v>1</v>
      </c>
      <c r="E309" s="377" t="s">
        <v>4171</v>
      </c>
    </row>
    <row r="310" spans="1:5">
      <c r="A310" s="220" t="s">
        <v>1380</v>
      </c>
      <c r="B310" s="220">
        <v>2039739</v>
      </c>
      <c r="C310" s="221" t="s">
        <v>4128</v>
      </c>
      <c r="D310">
        <v>1</v>
      </c>
      <c r="E310" s="377" t="s">
        <v>4171</v>
      </c>
    </row>
    <row r="311" spans="1:5">
      <c r="A311" s="220" t="s">
        <v>1380</v>
      </c>
      <c r="B311" s="220">
        <v>2057695</v>
      </c>
      <c r="C311" s="221" t="s">
        <v>2468</v>
      </c>
      <c r="D311">
        <v>1</v>
      </c>
      <c r="E311" s="377" t="s">
        <v>4171</v>
      </c>
    </row>
    <row r="312" spans="1:5">
      <c r="A312" t="s">
        <v>1380</v>
      </c>
      <c r="B312">
        <v>1781672</v>
      </c>
      <c r="C312" s="62"/>
      <c r="D312">
        <v>2</v>
      </c>
      <c r="E312" s="377" t="s">
        <v>4161</v>
      </c>
    </row>
    <row r="313" spans="1:5">
      <c r="A313" s="220" t="s">
        <v>1380</v>
      </c>
      <c r="B313" s="220">
        <v>1831728</v>
      </c>
      <c r="C313" s="221" t="s">
        <v>4128</v>
      </c>
      <c r="D313">
        <v>2</v>
      </c>
      <c r="E313" s="377" t="s">
        <v>4170</v>
      </c>
    </row>
    <row r="314" spans="1:5">
      <c r="A314" s="220" t="s">
        <v>1380</v>
      </c>
      <c r="B314" s="220">
        <v>1884899</v>
      </c>
      <c r="C314" s="221" t="s">
        <v>2468</v>
      </c>
      <c r="D314">
        <v>2</v>
      </c>
      <c r="E314" s="377" t="s">
        <v>4170</v>
      </c>
    </row>
    <row r="315" spans="1:5">
      <c r="A315" s="220" t="s">
        <v>1380</v>
      </c>
      <c r="B315" s="220">
        <v>1965490</v>
      </c>
      <c r="C315" s="221" t="s">
        <v>4128</v>
      </c>
      <c r="D315">
        <v>2</v>
      </c>
      <c r="E315" s="377" t="s">
        <v>4170</v>
      </c>
    </row>
    <row r="316" spans="1:5">
      <c r="A316" s="220" t="s">
        <v>1380</v>
      </c>
      <c r="B316" s="220">
        <v>1982186</v>
      </c>
      <c r="C316" s="221" t="s">
        <v>4128</v>
      </c>
      <c r="D316">
        <v>2</v>
      </c>
      <c r="E316" s="377" t="s">
        <v>4170</v>
      </c>
    </row>
    <row r="317" spans="1:5">
      <c r="A317" s="220" t="s">
        <v>1380</v>
      </c>
      <c r="B317" s="220">
        <v>2019494</v>
      </c>
      <c r="C317" s="221" t="s">
        <v>4128</v>
      </c>
      <c r="D317">
        <v>2</v>
      </c>
      <c r="E317" s="377" t="s">
        <v>4170</v>
      </c>
    </row>
    <row r="318" spans="1:5">
      <c r="A318" s="220" t="s">
        <v>1380</v>
      </c>
      <c r="B318" s="220">
        <v>2024398</v>
      </c>
      <c r="C318" s="221" t="s">
        <v>2468</v>
      </c>
      <c r="D318">
        <v>2</v>
      </c>
      <c r="E318" s="377" t="s">
        <v>4173</v>
      </c>
    </row>
    <row r="319" spans="1:5">
      <c r="A319" s="220" t="s">
        <v>1380</v>
      </c>
      <c r="B319" s="220">
        <v>1859240</v>
      </c>
      <c r="C319" s="221" t="s">
        <v>4128</v>
      </c>
      <c r="D319">
        <v>3</v>
      </c>
      <c r="E319" s="377" t="s">
        <v>4172</v>
      </c>
    </row>
    <row r="320" spans="1:5">
      <c r="A320" s="220" t="s">
        <v>1380</v>
      </c>
      <c r="B320" s="220">
        <v>1936718</v>
      </c>
      <c r="C320" s="221" t="s">
        <v>4128</v>
      </c>
      <c r="D320">
        <v>3</v>
      </c>
      <c r="E320" s="377" t="s">
        <v>4172</v>
      </c>
    </row>
    <row r="321" spans="1:5">
      <c r="A321" s="336" t="s">
        <v>4103</v>
      </c>
      <c r="B321" s="339">
        <v>1525302</v>
      </c>
      <c r="D321">
        <v>1</v>
      </c>
      <c r="E321" s="377" t="s">
        <v>4174</v>
      </c>
    </row>
    <row r="322" spans="1:5">
      <c r="A322" s="336" t="s">
        <v>4103</v>
      </c>
      <c r="B322" s="339">
        <v>1558473</v>
      </c>
      <c r="D322">
        <v>1</v>
      </c>
      <c r="E322" s="377" t="s">
        <v>4174</v>
      </c>
    </row>
    <row r="323" spans="1:5">
      <c r="A323" s="336" t="s">
        <v>4103</v>
      </c>
      <c r="B323" s="339">
        <v>1592580</v>
      </c>
      <c r="D323">
        <v>1</v>
      </c>
      <c r="E323" s="377" t="s">
        <v>4174</v>
      </c>
    </row>
    <row r="324" spans="1:5">
      <c r="A324" s="336" t="s">
        <v>4103</v>
      </c>
      <c r="B324" s="339">
        <v>1600115</v>
      </c>
      <c r="D324">
        <v>1</v>
      </c>
      <c r="E324" s="377" t="s">
        <v>4174</v>
      </c>
    </row>
    <row r="325" spans="1:5">
      <c r="A325" s="331" t="s">
        <v>4103</v>
      </c>
      <c r="B325" s="334">
        <v>1618974</v>
      </c>
      <c r="D325">
        <v>1</v>
      </c>
      <c r="E325" s="377" t="s">
        <v>4174</v>
      </c>
    </row>
    <row r="326" spans="1:5">
      <c r="A326" s="336" t="s">
        <v>4103</v>
      </c>
      <c r="B326" s="339">
        <v>1620244</v>
      </c>
      <c r="D326">
        <v>1</v>
      </c>
      <c r="E326" s="377" t="s">
        <v>4174</v>
      </c>
    </row>
    <row r="327" spans="1:5">
      <c r="A327" s="331" t="s">
        <v>4103</v>
      </c>
      <c r="B327" s="334">
        <v>1655109</v>
      </c>
      <c r="D327">
        <v>1</v>
      </c>
      <c r="E327" s="377" t="s">
        <v>4174</v>
      </c>
    </row>
    <row r="328" spans="1:5">
      <c r="A328" s="336" t="s">
        <v>4103</v>
      </c>
      <c r="B328" s="343">
        <v>1718538</v>
      </c>
      <c r="D328">
        <v>1</v>
      </c>
      <c r="E328" s="377" t="s">
        <v>4174</v>
      </c>
    </row>
    <row r="329" spans="1:5">
      <c r="A329" s="331" t="s">
        <v>4103</v>
      </c>
      <c r="B329" s="334">
        <v>1742468</v>
      </c>
      <c r="D329">
        <v>1</v>
      </c>
      <c r="E329" s="377" t="s">
        <v>4174</v>
      </c>
    </row>
    <row r="330" spans="1:5">
      <c r="A330" s="331" t="s">
        <v>4103</v>
      </c>
      <c r="B330" s="334">
        <v>1757357</v>
      </c>
      <c r="D330">
        <v>1</v>
      </c>
      <c r="E330" s="377" t="s">
        <v>4174</v>
      </c>
    </row>
    <row r="331" spans="1:5">
      <c r="A331" s="331" t="s">
        <v>4103</v>
      </c>
      <c r="B331" s="334">
        <v>1769130</v>
      </c>
      <c r="D331">
        <v>1</v>
      </c>
      <c r="E331" s="377" t="s">
        <v>4174</v>
      </c>
    </row>
    <row r="332" spans="1:5">
      <c r="A332" s="331" t="s">
        <v>4103</v>
      </c>
      <c r="B332" s="334">
        <v>1780172</v>
      </c>
      <c r="D332">
        <v>1</v>
      </c>
      <c r="E332" s="377" t="s">
        <v>4174</v>
      </c>
    </row>
    <row r="333" spans="1:5">
      <c r="A333" s="331" t="s">
        <v>4103</v>
      </c>
      <c r="B333" s="334">
        <v>1800719</v>
      </c>
      <c r="D333">
        <v>1</v>
      </c>
      <c r="E333" s="377" t="s">
        <v>4174</v>
      </c>
    </row>
    <row r="334" spans="1:5">
      <c r="A334" s="331" t="s">
        <v>4103</v>
      </c>
      <c r="B334" s="334">
        <v>1818069</v>
      </c>
      <c r="D334">
        <v>1</v>
      </c>
      <c r="E334" s="377" t="s">
        <v>4174</v>
      </c>
    </row>
    <row r="335" spans="1:5">
      <c r="A335" s="331" t="s">
        <v>4103</v>
      </c>
      <c r="B335" s="334">
        <v>1827939</v>
      </c>
      <c r="D335">
        <v>1</v>
      </c>
      <c r="E335" s="377" t="s">
        <v>4174</v>
      </c>
    </row>
    <row r="336" spans="1:5">
      <c r="A336" s="331" t="s">
        <v>4103</v>
      </c>
      <c r="B336" s="334">
        <v>1828027</v>
      </c>
      <c r="D336">
        <v>1</v>
      </c>
      <c r="E336" s="377" t="s">
        <v>4174</v>
      </c>
    </row>
    <row r="337" spans="1:5">
      <c r="A337" s="331" t="s">
        <v>4103</v>
      </c>
      <c r="B337" s="334">
        <v>1841582</v>
      </c>
      <c r="D337">
        <v>1</v>
      </c>
      <c r="E337" s="377" t="s">
        <v>4174</v>
      </c>
    </row>
    <row r="338" spans="1:5">
      <c r="A338" s="331" t="s">
        <v>4103</v>
      </c>
      <c r="B338" s="334">
        <v>1848872</v>
      </c>
      <c r="D338">
        <v>1</v>
      </c>
      <c r="E338" s="377" t="s">
        <v>4174</v>
      </c>
    </row>
    <row r="339" spans="1:5">
      <c r="A339" s="331" t="s">
        <v>4103</v>
      </c>
      <c r="B339" s="334">
        <v>1853213</v>
      </c>
      <c r="D339">
        <v>1</v>
      </c>
      <c r="E339" s="377" t="s">
        <v>4174</v>
      </c>
    </row>
    <row r="340" spans="1:5">
      <c r="A340" s="331" t="s">
        <v>4103</v>
      </c>
      <c r="B340" s="334">
        <v>1853664</v>
      </c>
      <c r="D340">
        <v>1</v>
      </c>
      <c r="E340" s="377" t="s">
        <v>4174</v>
      </c>
    </row>
    <row r="341" spans="1:5">
      <c r="A341" s="331" t="s">
        <v>4103</v>
      </c>
      <c r="B341" s="334">
        <v>1878631</v>
      </c>
      <c r="D341">
        <v>1</v>
      </c>
      <c r="E341" s="377" t="s">
        <v>4174</v>
      </c>
    </row>
    <row r="342" spans="1:5">
      <c r="A342" s="331" t="s">
        <v>4103</v>
      </c>
      <c r="B342" s="334">
        <v>1911360</v>
      </c>
      <c r="D342">
        <v>1</v>
      </c>
      <c r="E342" s="377" t="s">
        <v>4174</v>
      </c>
    </row>
    <row r="343" spans="1:5">
      <c r="A343" s="331" t="s">
        <v>4103</v>
      </c>
      <c r="B343" s="334">
        <v>1930724</v>
      </c>
      <c r="D343">
        <v>1</v>
      </c>
      <c r="E343" s="377" t="s">
        <v>4174</v>
      </c>
    </row>
    <row r="344" spans="1:5">
      <c r="A344" s="331" t="s">
        <v>4103</v>
      </c>
      <c r="B344" s="334">
        <v>1934842</v>
      </c>
      <c r="D344">
        <v>1</v>
      </c>
      <c r="E344" s="377" t="s">
        <v>4174</v>
      </c>
    </row>
    <row r="345" spans="1:5">
      <c r="A345" s="331" t="s">
        <v>4103</v>
      </c>
      <c r="B345" s="334">
        <v>1951661</v>
      </c>
      <c r="D345">
        <v>1</v>
      </c>
      <c r="E345" s="377" t="s">
        <v>4174</v>
      </c>
    </row>
    <row r="346" spans="1:5">
      <c r="A346" s="336" t="s">
        <v>4105</v>
      </c>
      <c r="B346" s="339">
        <v>1973342</v>
      </c>
      <c r="D346">
        <v>1</v>
      </c>
      <c r="E346" s="377" t="s">
        <v>4174</v>
      </c>
    </row>
    <row r="347" spans="1:5">
      <c r="A347" s="336" t="s">
        <v>4105</v>
      </c>
      <c r="B347" s="339">
        <v>1983121</v>
      </c>
      <c r="D347">
        <v>1</v>
      </c>
      <c r="E347" s="377" t="s">
        <v>4174</v>
      </c>
    </row>
    <row r="348" spans="1:5">
      <c r="A348" s="336" t="s">
        <v>4105</v>
      </c>
      <c r="B348" s="339">
        <v>1991845</v>
      </c>
      <c r="D348">
        <v>1</v>
      </c>
      <c r="E348" s="377" t="s">
        <v>4174</v>
      </c>
    </row>
    <row r="349" spans="1:5">
      <c r="A349" s="336" t="s">
        <v>4105</v>
      </c>
      <c r="B349" s="339">
        <v>1991846</v>
      </c>
      <c r="D349">
        <v>1</v>
      </c>
      <c r="E349" s="377" t="s">
        <v>4174</v>
      </c>
    </row>
    <row r="350" spans="1:5">
      <c r="A350" s="336" t="s">
        <v>4105</v>
      </c>
      <c r="B350" s="339">
        <v>2003545</v>
      </c>
      <c r="D350">
        <v>1</v>
      </c>
      <c r="E350" s="377" t="s">
        <v>4174</v>
      </c>
    </row>
    <row r="351" spans="1:5">
      <c r="A351" s="336" t="s">
        <v>4105</v>
      </c>
      <c r="B351" s="339">
        <v>2010584</v>
      </c>
      <c r="D351">
        <v>1</v>
      </c>
      <c r="E351" s="377" t="s">
        <v>4174</v>
      </c>
    </row>
    <row r="352" spans="1:5">
      <c r="A352" s="336" t="s">
        <v>4105</v>
      </c>
      <c r="B352" s="339">
        <v>2016854</v>
      </c>
      <c r="D352">
        <v>1</v>
      </c>
      <c r="E352" s="377" t="s">
        <v>4174</v>
      </c>
    </row>
    <row r="353" spans="1:5">
      <c r="A353" s="336" t="s">
        <v>4105</v>
      </c>
      <c r="B353" s="339">
        <v>2064620</v>
      </c>
      <c r="D353">
        <v>1</v>
      </c>
      <c r="E353" s="377" t="s">
        <v>4174</v>
      </c>
    </row>
    <row r="354" spans="1:5">
      <c r="A354" s="331" t="s">
        <v>4103</v>
      </c>
      <c r="B354" s="334">
        <v>1534160</v>
      </c>
      <c r="D354">
        <v>2</v>
      </c>
      <c r="E354" s="377" t="s">
        <v>4175</v>
      </c>
    </row>
    <row r="355" spans="1:5">
      <c r="A355" s="336" t="s">
        <v>4103</v>
      </c>
      <c r="B355" s="339">
        <v>1609931</v>
      </c>
      <c r="D355">
        <v>2</v>
      </c>
      <c r="E355" s="377" t="s">
        <v>4175</v>
      </c>
    </row>
    <row r="356" spans="1:5">
      <c r="A356" s="331" t="s">
        <v>4103</v>
      </c>
      <c r="B356" s="334">
        <v>1855940</v>
      </c>
      <c r="D356">
        <v>2</v>
      </c>
      <c r="E356" s="377" t="s">
        <v>4175</v>
      </c>
    </row>
    <row r="357" spans="1:5">
      <c r="A357" s="331" t="s">
        <v>4103</v>
      </c>
      <c r="B357" s="334">
        <v>1883579</v>
      </c>
      <c r="D357">
        <v>2</v>
      </c>
      <c r="E357" s="377" t="s">
        <v>4175</v>
      </c>
    </row>
    <row r="358" spans="1:5">
      <c r="A358" s="331" t="s">
        <v>4103</v>
      </c>
      <c r="B358" s="334">
        <v>1895540</v>
      </c>
      <c r="D358">
        <v>2</v>
      </c>
      <c r="E358" s="377" t="s">
        <v>4175</v>
      </c>
    </row>
    <row r="359" spans="1:5">
      <c r="A359" s="331" t="s">
        <v>4103</v>
      </c>
      <c r="B359" s="334">
        <v>1911989</v>
      </c>
      <c r="D359">
        <v>2</v>
      </c>
      <c r="E359" s="377" t="s">
        <v>4175</v>
      </c>
    </row>
    <row r="360" spans="1:5">
      <c r="A360" s="331" t="s">
        <v>4103</v>
      </c>
      <c r="B360" s="334">
        <v>1932328</v>
      </c>
      <c r="D360">
        <v>2</v>
      </c>
      <c r="E360" s="377" t="s">
        <v>4175</v>
      </c>
    </row>
    <row r="361" spans="1:5">
      <c r="A361" s="331" t="s">
        <v>4103</v>
      </c>
      <c r="B361" s="334">
        <v>1939876</v>
      </c>
      <c r="D361">
        <v>2</v>
      </c>
      <c r="E361" s="377" t="s">
        <v>4175</v>
      </c>
    </row>
    <row r="362" spans="1:5">
      <c r="A362" s="331" t="s">
        <v>4103</v>
      </c>
      <c r="B362" s="334">
        <v>1951925</v>
      </c>
      <c r="D362">
        <v>2</v>
      </c>
      <c r="E362" s="377" t="s">
        <v>4175</v>
      </c>
    </row>
    <row r="363" spans="1:5">
      <c r="A363" s="331" t="s">
        <v>4103</v>
      </c>
      <c r="B363" s="334">
        <v>1959814</v>
      </c>
      <c r="D363">
        <v>2</v>
      </c>
      <c r="E363" s="377" t="s">
        <v>4175</v>
      </c>
    </row>
    <row r="364" spans="1:5">
      <c r="A364" s="331" t="s">
        <v>4103</v>
      </c>
      <c r="B364" s="334">
        <v>1966918</v>
      </c>
      <c r="D364">
        <v>2</v>
      </c>
      <c r="E364" s="377" t="s">
        <v>4175</v>
      </c>
    </row>
    <row r="365" spans="1:5">
      <c r="A365" s="331" t="s">
        <v>4103</v>
      </c>
      <c r="B365" s="334">
        <v>1966919</v>
      </c>
      <c r="D365">
        <v>2</v>
      </c>
      <c r="E365" s="377" t="s">
        <v>4175</v>
      </c>
    </row>
    <row r="366" spans="1:5">
      <c r="A366" s="336" t="s">
        <v>4105</v>
      </c>
      <c r="B366" s="339">
        <v>1984464</v>
      </c>
      <c r="D366">
        <v>2</v>
      </c>
      <c r="E366" s="377" t="s">
        <v>4175</v>
      </c>
    </row>
    <row r="367" spans="1:5">
      <c r="A367" s="336" t="s">
        <v>4105</v>
      </c>
      <c r="B367" s="339">
        <v>1992161</v>
      </c>
      <c r="D367">
        <v>2</v>
      </c>
      <c r="E367" s="377" t="s">
        <v>4175</v>
      </c>
    </row>
    <row r="368" spans="1:5">
      <c r="A368" s="336" t="s">
        <v>4105</v>
      </c>
      <c r="B368" s="339">
        <v>1995669</v>
      </c>
      <c r="D368">
        <v>2</v>
      </c>
      <c r="E368" s="377" t="s">
        <v>4175</v>
      </c>
    </row>
    <row r="369" spans="1:5">
      <c r="A369" s="336" t="s">
        <v>4105</v>
      </c>
      <c r="B369" s="339">
        <v>2001600</v>
      </c>
      <c r="D369">
        <v>2</v>
      </c>
      <c r="E369" s="377" t="s">
        <v>4175</v>
      </c>
    </row>
    <row r="370" spans="1:5">
      <c r="A370" s="336" t="s">
        <v>4103</v>
      </c>
      <c r="B370" s="339">
        <v>1549882</v>
      </c>
      <c r="D370">
        <v>3</v>
      </c>
      <c r="E370" s="377" t="s">
        <v>4176</v>
      </c>
    </row>
    <row r="371" spans="1:5">
      <c r="A371" s="331" t="s">
        <v>4103</v>
      </c>
      <c r="B371" s="334">
        <v>1609118</v>
      </c>
      <c r="D371">
        <v>3</v>
      </c>
      <c r="E371" s="377" t="s">
        <v>4176</v>
      </c>
    </row>
    <row r="372" spans="1:5">
      <c r="A372" s="336" t="s">
        <v>4103</v>
      </c>
      <c r="B372" s="339">
        <v>1620020</v>
      </c>
      <c r="D372">
        <v>3</v>
      </c>
      <c r="E372" s="377" t="s">
        <v>4176</v>
      </c>
    </row>
    <row r="373" spans="1:5">
      <c r="A373" s="331" t="s">
        <v>4103</v>
      </c>
      <c r="B373" s="334">
        <v>1657259</v>
      </c>
      <c r="D373">
        <v>3</v>
      </c>
      <c r="E373" s="377" t="s">
        <v>4176</v>
      </c>
    </row>
    <row r="374" spans="1:5">
      <c r="A374" s="336" t="s">
        <v>4103</v>
      </c>
      <c r="B374" s="339">
        <v>1700222</v>
      </c>
      <c r="D374">
        <v>3</v>
      </c>
      <c r="E374" s="377" t="s">
        <v>4176</v>
      </c>
    </row>
    <row r="375" spans="1:5">
      <c r="A375" s="331" t="s">
        <v>4103</v>
      </c>
      <c r="B375" s="334">
        <v>1700259</v>
      </c>
      <c r="D375">
        <v>3</v>
      </c>
      <c r="E375" s="377" t="s">
        <v>4176</v>
      </c>
    </row>
    <row r="376" spans="1:5">
      <c r="A376" s="331" t="s">
        <v>4103</v>
      </c>
      <c r="B376" s="334">
        <v>1706735</v>
      </c>
      <c r="D376">
        <v>3</v>
      </c>
      <c r="E376" s="377" t="s">
        <v>4176</v>
      </c>
    </row>
    <row r="377" spans="1:5">
      <c r="A377" s="336" t="s">
        <v>4103</v>
      </c>
      <c r="B377" s="339">
        <v>1786134</v>
      </c>
      <c r="D377">
        <v>3</v>
      </c>
      <c r="E377" s="377" t="s">
        <v>4176</v>
      </c>
    </row>
    <row r="378" spans="1:5">
      <c r="A378" s="331" t="s">
        <v>4103</v>
      </c>
      <c r="B378" s="334">
        <v>1860670</v>
      </c>
      <c r="D378">
        <v>3</v>
      </c>
      <c r="E378" s="377" t="s">
        <v>4176</v>
      </c>
    </row>
    <row r="379" spans="1:5">
      <c r="A379" s="331" t="s">
        <v>4103</v>
      </c>
      <c r="B379" s="334">
        <v>1928310</v>
      </c>
      <c r="D379">
        <v>3</v>
      </c>
      <c r="E379" s="377" t="s">
        <v>4176</v>
      </c>
    </row>
    <row r="380" spans="1:5">
      <c r="A380" s="331" t="s">
        <v>4103</v>
      </c>
      <c r="B380" s="334">
        <v>1947069</v>
      </c>
      <c r="D380">
        <v>3</v>
      </c>
      <c r="E380" s="377" t="s">
        <v>4176</v>
      </c>
    </row>
    <row r="381" spans="1:5">
      <c r="A381" s="220" t="s">
        <v>2830</v>
      </c>
      <c r="B381" s="220">
        <v>1709457</v>
      </c>
      <c r="D381">
        <v>1</v>
      </c>
      <c r="E381" s="377" t="s">
        <v>4177</v>
      </c>
    </row>
    <row r="382" spans="1:5">
      <c r="A382" s="220" t="s">
        <v>2830</v>
      </c>
      <c r="B382" s="220">
        <v>1721853</v>
      </c>
      <c r="D382" s="371">
        <v>1</v>
      </c>
      <c r="E382" s="377" t="s">
        <v>4177</v>
      </c>
    </row>
    <row r="383" spans="1:5">
      <c r="A383" s="220" t="s">
        <v>2830</v>
      </c>
      <c r="B383" s="220">
        <v>1764714</v>
      </c>
      <c r="D383" s="371">
        <v>1</v>
      </c>
      <c r="E383" s="377" t="s">
        <v>4177</v>
      </c>
    </row>
    <row r="384" spans="1:5">
      <c r="A384" s="220" t="s">
        <v>2830</v>
      </c>
      <c r="B384" s="220">
        <v>1801947</v>
      </c>
      <c r="D384" s="371">
        <v>1</v>
      </c>
      <c r="E384" s="377" t="s">
        <v>4177</v>
      </c>
    </row>
    <row r="385" spans="1:5">
      <c r="A385" s="220" t="s">
        <v>2830</v>
      </c>
      <c r="B385" s="220">
        <v>1801948</v>
      </c>
      <c r="D385" s="371">
        <v>1</v>
      </c>
      <c r="E385" s="377" t="s">
        <v>4177</v>
      </c>
    </row>
    <row r="386" spans="1:5">
      <c r="A386" s="220" t="s">
        <v>2830</v>
      </c>
      <c r="B386" s="220">
        <v>1869840</v>
      </c>
      <c r="D386" s="371">
        <v>1</v>
      </c>
      <c r="E386" s="377" t="s">
        <v>4177</v>
      </c>
    </row>
    <row r="387" spans="1:5">
      <c r="A387" s="220" t="s">
        <v>2830</v>
      </c>
      <c r="B387" s="220">
        <v>1885578</v>
      </c>
      <c r="D387" s="371">
        <v>1</v>
      </c>
      <c r="E387" s="377" t="s">
        <v>4177</v>
      </c>
    </row>
    <row r="388" spans="1:5">
      <c r="A388" s="220" t="s">
        <v>2830</v>
      </c>
      <c r="B388" s="220">
        <v>1890293</v>
      </c>
      <c r="D388" s="371">
        <v>1</v>
      </c>
      <c r="E388" s="377" t="s">
        <v>4177</v>
      </c>
    </row>
    <row r="389" spans="1:5">
      <c r="A389" s="220" t="s">
        <v>2830</v>
      </c>
      <c r="B389" s="220">
        <v>1931282</v>
      </c>
      <c r="D389" s="371">
        <v>1</v>
      </c>
      <c r="E389" s="377" t="s">
        <v>4177</v>
      </c>
    </row>
    <row r="390" spans="1:5">
      <c r="A390" s="220" t="s">
        <v>2830</v>
      </c>
      <c r="B390" s="220">
        <v>1940387</v>
      </c>
      <c r="D390" s="371">
        <v>1</v>
      </c>
      <c r="E390" s="377" t="s">
        <v>4177</v>
      </c>
    </row>
    <row r="391" spans="1:5">
      <c r="A391" s="220" t="s">
        <v>2830</v>
      </c>
      <c r="B391" s="220">
        <v>1973042</v>
      </c>
      <c r="D391" s="371">
        <v>1</v>
      </c>
      <c r="E391" s="377" t="s">
        <v>4177</v>
      </c>
    </row>
    <row r="392" spans="1:5">
      <c r="A392" s="220" t="s">
        <v>2830</v>
      </c>
      <c r="B392" s="220">
        <v>1996055</v>
      </c>
      <c r="D392" s="371">
        <v>1</v>
      </c>
      <c r="E392" s="377" t="s">
        <v>4177</v>
      </c>
    </row>
    <row r="393" spans="1:5">
      <c r="A393" s="220" t="s">
        <v>2830</v>
      </c>
      <c r="B393" s="220">
        <v>1997412</v>
      </c>
      <c r="D393" s="371">
        <v>1</v>
      </c>
      <c r="E393" s="377" t="s">
        <v>4177</v>
      </c>
    </row>
    <row r="394" spans="1:5">
      <c r="A394" s="220" t="s">
        <v>2830</v>
      </c>
      <c r="B394" s="220">
        <v>2003929</v>
      </c>
      <c r="D394" s="371">
        <v>1</v>
      </c>
      <c r="E394" s="377" t="s">
        <v>4177</v>
      </c>
    </row>
    <row r="395" spans="1:5">
      <c r="A395" s="220" t="s">
        <v>2830</v>
      </c>
      <c r="B395" s="220">
        <v>2003930</v>
      </c>
      <c r="D395" s="371">
        <v>1</v>
      </c>
      <c r="E395" s="377" t="s">
        <v>4177</v>
      </c>
    </row>
    <row r="396" spans="1:5">
      <c r="A396" s="220" t="s">
        <v>2830</v>
      </c>
      <c r="B396" s="220">
        <v>2004662</v>
      </c>
      <c r="D396" s="371">
        <v>1</v>
      </c>
      <c r="E396" s="377" t="s">
        <v>4177</v>
      </c>
    </row>
    <row r="397" spans="1:5">
      <c r="A397" s="220" t="s">
        <v>2830</v>
      </c>
      <c r="B397" s="220">
        <v>2005530</v>
      </c>
      <c r="D397" s="371">
        <v>1</v>
      </c>
      <c r="E397" s="377" t="s">
        <v>4177</v>
      </c>
    </row>
    <row r="398" spans="1:5">
      <c r="A398" s="220" t="s">
        <v>2830</v>
      </c>
      <c r="B398" s="220">
        <v>2008058</v>
      </c>
      <c r="D398" s="371">
        <v>1</v>
      </c>
      <c r="E398" s="377" t="s">
        <v>4177</v>
      </c>
    </row>
    <row r="399" spans="1:5">
      <c r="A399" s="220" t="s">
        <v>2830</v>
      </c>
      <c r="B399" s="220">
        <v>2014965</v>
      </c>
      <c r="D399" s="371">
        <v>1</v>
      </c>
      <c r="E399" s="377" t="s">
        <v>4177</v>
      </c>
    </row>
    <row r="400" spans="1:5">
      <c r="A400" s="220" t="s">
        <v>2830</v>
      </c>
      <c r="B400" s="220">
        <v>2016857</v>
      </c>
      <c r="D400" s="371">
        <v>1</v>
      </c>
      <c r="E400" s="377" t="s">
        <v>4177</v>
      </c>
    </row>
    <row r="401" spans="1:5">
      <c r="A401" s="220" t="s">
        <v>2830</v>
      </c>
      <c r="B401" s="220">
        <v>2029700</v>
      </c>
      <c r="D401" s="371">
        <v>1</v>
      </c>
      <c r="E401" s="377" t="s">
        <v>4177</v>
      </c>
    </row>
    <row r="402" spans="1:5">
      <c r="A402" s="220" t="s">
        <v>2830</v>
      </c>
      <c r="B402" s="220">
        <v>2039878</v>
      </c>
      <c r="D402" s="371">
        <v>1</v>
      </c>
      <c r="E402" s="377" t="s">
        <v>4177</v>
      </c>
    </row>
    <row r="403" spans="1:5">
      <c r="A403" s="220" t="s">
        <v>2830</v>
      </c>
      <c r="B403" s="220">
        <v>2046998</v>
      </c>
      <c r="D403" s="371">
        <v>1</v>
      </c>
      <c r="E403" s="377" t="s">
        <v>4177</v>
      </c>
    </row>
    <row r="404" spans="1:5">
      <c r="A404" s="220" t="s">
        <v>2830</v>
      </c>
      <c r="B404" s="220">
        <v>2051837</v>
      </c>
      <c r="D404" s="371">
        <v>1</v>
      </c>
      <c r="E404" s="377" t="s">
        <v>4177</v>
      </c>
    </row>
    <row r="405" spans="1:5">
      <c r="A405" s="220" t="s">
        <v>2830</v>
      </c>
      <c r="B405" s="220">
        <v>2069605</v>
      </c>
      <c r="D405" s="371">
        <v>1</v>
      </c>
      <c r="E405" s="377" t="s">
        <v>4177</v>
      </c>
    </row>
    <row r="406" spans="1:5">
      <c r="A406" s="220" t="s">
        <v>2830</v>
      </c>
      <c r="B406" s="220">
        <v>2108766</v>
      </c>
      <c r="D406" s="371">
        <v>1</v>
      </c>
      <c r="E406" s="377" t="s">
        <v>4177</v>
      </c>
    </row>
    <row r="407" spans="1:5">
      <c r="A407" s="220" t="s">
        <v>2830</v>
      </c>
      <c r="B407" s="220">
        <v>2110622</v>
      </c>
      <c r="D407" s="371">
        <v>1</v>
      </c>
      <c r="E407" s="377" t="s">
        <v>4177</v>
      </c>
    </row>
    <row r="408" spans="1:5">
      <c r="A408" s="220" t="s">
        <v>2830</v>
      </c>
      <c r="B408" s="220">
        <v>2115498</v>
      </c>
      <c r="D408" s="371">
        <v>1</v>
      </c>
      <c r="E408" s="377" t="s">
        <v>4177</v>
      </c>
    </row>
    <row r="409" spans="1:5">
      <c r="A409" s="220" t="s">
        <v>2830</v>
      </c>
      <c r="B409" s="220">
        <v>2133670</v>
      </c>
      <c r="D409" s="371">
        <v>1</v>
      </c>
      <c r="E409" s="377" t="s">
        <v>4177</v>
      </c>
    </row>
    <row r="410" spans="1:5">
      <c r="A410" s="220" t="s">
        <v>2830</v>
      </c>
      <c r="B410" s="220">
        <v>2134132</v>
      </c>
      <c r="D410" s="371">
        <v>1</v>
      </c>
      <c r="E410" s="377" t="s">
        <v>4177</v>
      </c>
    </row>
    <row r="411" spans="1:5">
      <c r="A411" s="220" t="s">
        <v>2830</v>
      </c>
      <c r="B411" s="220">
        <v>2158584</v>
      </c>
      <c r="D411" s="371">
        <v>1</v>
      </c>
      <c r="E411" s="377" t="s">
        <v>4177</v>
      </c>
    </row>
    <row r="412" spans="1:5">
      <c r="A412" s="220" t="s">
        <v>2830</v>
      </c>
      <c r="B412" s="220">
        <v>2191250</v>
      </c>
      <c r="D412" s="371">
        <v>1</v>
      </c>
      <c r="E412" s="377" t="s">
        <v>4177</v>
      </c>
    </row>
    <row r="413" spans="1:5">
      <c r="A413" s="220" t="s">
        <v>2830</v>
      </c>
      <c r="B413" s="220">
        <v>2202955</v>
      </c>
      <c r="D413" s="371">
        <v>1</v>
      </c>
      <c r="E413" s="377" t="s">
        <v>4177</v>
      </c>
    </row>
    <row r="414" spans="1:5">
      <c r="A414" s="220" t="s">
        <v>2830</v>
      </c>
      <c r="B414" s="220">
        <v>2203460</v>
      </c>
      <c r="D414" s="371">
        <v>1</v>
      </c>
      <c r="E414" s="377" t="s">
        <v>4177</v>
      </c>
    </row>
    <row r="415" spans="1:5">
      <c r="A415" s="220" t="s">
        <v>2830</v>
      </c>
      <c r="B415" s="220">
        <v>2217255</v>
      </c>
      <c r="D415" s="371">
        <v>1</v>
      </c>
      <c r="E415" s="377" t="s">
        <v>4177</v>
      </c>
    </row>
    <row r="416" spans="1:5">
      <c r="A416" s="220" t="s">
        <v>2830</v>
      </c>
      <c r="B416" s="220">
        <v>2219967</v>
      </c>
      <c r="D416" s="371">
        <v>1</v>
      </c>
      <c r="E416" s="377" t="s">
        <v>4177</v>
      </c>
    </row>
    <row r="417" spans="1:5">
      <c r="A417" s="220" t="s">
        <v>2830</v>
      </c>
      <c r="B417" s="220">
        <v>2340524</v>
      </c>
      <c r="D417" s="371">
        <v>1</v>
      </c>
      <c r="E417" s="377" t="s">
        <v>4177</v>
      </c>
    </row>
    <row r="418" spans="1:5">
      <c r="A418" s="220" t="s">
        <v>2830</v>
      </c>
      <c r="B418" s="220">
        <v>2031709</v>
      </c>
      <c r="D418" s="371">
        <v>2</v>
      </c>
      <c r="E418" s="377" t="s">
        <v>4178</v>
      </c>
    </row>
    <row r="419" spans="1:5">
      <c r="A419" s="220" t="s">
        <v>2830</v>
      </c>
      <c r="B419" s="220">
        <v>2051820</v>
      </c>
      <c r="D419">
        <v>2</v>
      </c>
      <c r="E419" s="377" t="s">
        <v>4178</v>
      </c>
    </row>
    <row r="420" spans="1:5">
      <c r="A420" s="220" t="s">
        <v>2830</v>
      </c>
      <c r="B420" s="220">
        <v>2127735</v>
      </c>
      <c r="D420" s="371">
        <v>2</v>
      </c>
      <c r="E420" s="377" t="s">
        <v>4178</v>
      </c>
    </row>
    <row r="421" spans="1:5">
      <c r="A421" s="220" t="s">
        <v>2830</v>
      </c>
      <c r="B421" s="220">
        <v>2132573</v>
      </c>
      <c r="D421" s="371">
        <v>2</v>
      </c>
      <c r="E421" s="377" t="s">
        <v>4178</v>
      </c>
    </row>
    <row r="422" spans="1:5">
      <c r="A422" s="220" t="s">
        <v>2830</v>
      </c>
      <c r="B422" s="220">
        <v>2156104</v>
      </c>
      <c r="D422" s="371">
        <v>2</v>
      </c>
      <c r="E422" s="377" t="s">
        <v>4178</v>
      </c>
    </row>
    <row r="423" spans="1:5">
      <c r="A423" s="220" t="s">
        <v>2830</v>
      </c>
      <c r="B423" s="220">
        <v>2156129</v>
      </c>
      <c r="D423" s="371">
        <v>2</v>
      </c>
      <c r="E423" s="377" t="s">
        <v>4178</v>
      </c>
    </row>
    <row r="424" spans="1:5">
      <c r="A424" s="220" t="s">
        <v>2830</v>
      </c>
      <c r="B424" s="220">
        <v>2206018</v>
      </c>
      <c r="D424" s="371">
        <v>2</v>
      </c>
      <c r="E424" s="377" t="s">
        <v>4178</v>
      </c>
    </row>
    <row r="425" spans="1:5">
      <c r="A425" s="220" t="s">
        <v>2830</v>
      </c>
      <c r="B425" s="220">
        <v>1723757</v>
      </c>
      <c r="D425" s="371">
        <v>3</v>
      </c>
      <c r="E425" s="377" t="s">
        <v>4179</v>
      </c>
    </row>
    <row r="426" spans="1:5">
      <c r="A426" s="220" t="s">
        <v>2830</v>
      </c>
      <c r="B426" s="220">
        <v>1821870</v>
      </c>
      <c r="D426">
        <v>3</v>
      </c>
      <c r="E426" s="377" t="s">
        <v>4179</v>
      </c>
    </row>
    <row r="427" spans="1:5">
      <c r="A427" s="220" t="s">
        <v>2830</v>
      </c>
      <c r="B427" s="220">
        <v>1837066</v>
      </c>
      <c r="D427">
        <v>3</v>
      </c>
      <c r="E427" s="377" t="s">
        <v>4179</v>
      </c>
    </row>
    <row r="428" spans="1:5">
      <c r="A428" s="220" t="s">
        <v>2830</v>
      </c>
      <c r="B428" s="220">
        <v>1856364</v>
      </c>
      <c r="D428">
        <v>3</v>
      </c>
      <c r="E428" s="377" t="s">
        <v>4179</v>
      </c>
    </row>
    <row r="429" spans="1:5">
      <c r="A429" s="220" t="s">
        <v>2830</v>
      </c>
      <c r="B429" s="220">
        <v>1898348</v>
      </c>
      <c r="D429">
        <v>3</v>
      </c>
      <c r="E429" s="377" t="s">
        <v>4179</v>
      </c>
    </row>
    <row r="430" spans="1:5">
      <c r="A430" s="220" t="s">
        <v>2830</v>
      </c>
      <c r="B430" s="220">
        <v>1959987</v>
      </c>
      <c r="D430">
        <v>3</v>
      </c>
      <c r="E430" s="377" t="s">
        <v>4179</v>
      </c>
    </row>
    <row r="431" spans="1:5">
      <c r="A431" s="220" t="s">
        <v>2830</v>
      </c>
      <c r="B431" s="220">
        <v>1967157</v>
      </c>
      <c r="D431">
        <v>3</v>
      </c>
      <c r="E431" s="377" t="s">
        <v>4179</v>
      </c>
    </row>
    <row r="432" spans="1:5">
      <c r="A432" s="220" t="s">
        <v>2830</v>
      </c>
      <c r="B432" s="220">
        <v>2006682</v>
      </c>
      <c r="D432">
        <v>3</v>
      </c>
      <c r="E432" s="377" t="s">
        <v>4179</v>
      </c>
    </row>
    <row r="433" spans="1:5">
      <c r="A433" s="220" t="s">
        <v>2830</v>
      </c>
      <c r="B433" s="220">
        <v>2017183</v>
      </c>
      <c r="D433">
        <v>3</v>
      </c>
      <c r="E433" s="377" t="s">
        <v>4179</v>
      </c>
    </row>
    <row r="434" spans="1:5">
      <c r="A434" s="220" t="s">
        <v>2830</v>
      </c>
      <c r="B434" s="220">
        <v>2036229</v>
      </c>
      <c r="D434">
        <v>3</v>
      </c>
      <c r="E434" s="377" t="s">
        <v>4179</v>
      </c>
    </row>
    <row r="435" spans="1:5">
      <c r="A435" s="220" t="s">
        <v>2830</v>
      </c>
      <c r="B435" s="220">
        <v>1419993</v>
      </c>
      <c r="D435">
        <v>4</v>
      </c>
      <c r="E435" s="377" t="s">
        <v>4180</v>
      </c>
    </row>
    <row r="436" spans="1:5">
      <c r="A436" s="220" t="s">
        <v>2830</v>
      </c>
      <c r="B436" s="220">
        <v>1465668</v>
      </c>
      <c r="D436">
        <v>4</v>
      </c>
      <c r="E436" s="377" t="s">
        <v>4180</v>
      </c>
    </row>
    <row r="437" spans="1:5">
      <c r="A437" s="220" t="s">
        <v>2830</v>
      </c>
      <c r="B437" s="220">
        <v>1472000</v>
      </c>
      <c r="D437">
        <v>4</v>
      </c>
      <c r="E437" s="377" t="s">
        <v>4180</v>
      </c>
    </row>
    <row r="438" spans="1:5">
      <c r="A438" s="220" t="s">
        <v>2830</v>
      </c>
      <c r="B438" s="220">
        <v>1505763</v>
      </c>
      <c r="D438">
        <v>4</v>
      </c>
      <c r="E438" s="377" t="s">
        <v>4180</v>
      </c>
    </row>
    <row r="439" spans="1:5">
      <c r="A439" s="220" t="s">
        <v>2830</v>
      </c>
      <c r="B439" s="220">
        <v>1510293</v>
      </c>
      <c r="D439">
        <v>4</v>
      </c>
      <c r="E439" s="377" t="s">
        <v>4180</v>
      </c>
    </row>
    <row r="440" spans="1:5">
      <c r="A440" s="220" t="s">
        <v>2830</v>
      </c>
      <c r="B440" s="220">
        <v>1532697</v>
      </c>
      <c r="D440">
        <v>4</v>
      </c>
      <c r="E440" s="377" t="s">
        <v>4180</v>
      </c>
    </row>
    <row r="441" spans="1:5">
      <c r="A441" s="220" t="s">
        <v>2830</v>
      </c>
      <c r="B441" s="220">
        <v>1543975</v>
      </c>
      <c r="D441">
        <v>4</v>
      </c>
      <c r="E441" s="377" t="s">
        <v>4180</v>
      </c>
    </row>
    <row r="442" spans="1:5">
      <c r="A442" s="220" t="s">
        <v>2830</v>
      </c>
      <c r="B442" s="220">
        <v>1553130</v>
      </c>
      <c r="D442">
        <v>4</v>
      </c>
      <c r="E442" s="377" t="s">
        <v>4180</v>
      </c>
    </row>
    <row r="443" spans="1:5">
      <c r="A443" s="220" t="s">
        <v>2830</v>
      </c>
      <c r="B443" s="220">
        <v>1562806</v>
      </c>
      <c r="D443">
        <v>4</v>
      </c>
      <c r="E443" s="377" t="s">
        <v>4180</v>
      </c>
    </row>
    <row r="444" spans="1:5">
      <c r="A444" s="220" t="s">
        <v>2830</v>
      </c>
      <c r="B444" s="220">
        <v>1567043</v>
      </c>
      <c r="D444">
        <v>4</v>
      </c>
      <c r="E444" s="377" t="s">
        <v>4180</v>
      </c>
    </row>
    <row r="445" spans="1:5">
      <c r="A445" s="220" t="s">
        <v>2830</v>
      </c>
      <c r="B445" s="220">
        <v>1586648</v>
      </c>
      <c r="D445">
        <v>4</v>
      </c>
      <c r="E445" s="377" t="s">
        <v>4180</v>
      </c>
    </row>
    <row r="446" spans="1:5">
      <c r="A446" s="220" t="s">
        <v>2830</v>
      </c>
      <c r="B446" s="220">
        <v>1631716</v>
      </c>
      <c r="D446">
        <v>4</v>
      </c>
      <c r="E446" s="377" t="s">
        <v>4180</v>
      </c>
    </row>
    <row r="447" spans="1:5">
      <c r="A447" s="220" t="s">
        <v>2830</v>
      </c>
      <c r="B447" s="220">
        <v>1631721</v>
      </c>
      <c r="D447">
        <v>4</v>
      </c>
      <c r="E447" s="377" t="s">
        <v>4180</v>
      </c>
    </row>
    <row r="448" spans="1:5">
      <c r="A448" s="220" t="s">
        <v>2830</v>
      </c>
      <c r="B448" s="220">
        <v>1652859</v>
      </c>
      <c r="D448">
        <v>4</v>
      </c>
      <c r="E448" s="377" t="s">
        <v>4180</v>
      </c>
    </row>
    <row r="449" spans="1:5">
      <c r="A449" s="220" t="s">
        <v>2830</v>
      </c>
      <c r="B449" s="220">
        <v>1653628</v>
      </c>
      <c r="D449">
        <v>4</v>
      </c>
      <c r="E449" s="377" t="s">
        <v>4180</v>
      </c>
    </row>
    <row r="450" spans="1:5">
      <c r="A450" s="220" t="s">
        <v>2830</v>
      </c>
      <c r="B450" s="220">
        <v>1688326</v>
      </c>
      <c r="D450">
        <v>4</v>
      </c>
      <c r="E450" s="377" t="s">
        <v>4180</v>
      </c>
    </row>
    <row r="451" spans="1:5">
      <c r="A451" s="369" t="s">
        <v>2830</v>
      </c>
      <c r="B451" s="369">
        <v>1740221</v>
      </c>
      <c r="D451">
        <v>4</v>
      </c>
      <c r="E451" s="377" t="s">
        <v>4180</v>
      </c>
    </row>
    <row r="452" spans="1:5">
      <c r="A452" s="220" t="s">
        <v>2830</v>
      </c>
      <c r="B452" s="220">
        <v>1750889</v>
      </c>
      <c r="D452">
        <v>4</v>
      </c>
      <c r="E452" s="377" t="s">
        <v>4180</v>
      </c>
    </row>
    <row r="453" spans="1:5">
      <c r="A453" s="220" t="s">
        <v>2830</v>
      </c>
      <c r="B453" s="220">
        <v>1782027</v>
      </c>
      <c r="D453">
        <v>4</v>
      </c>
      <c r="E453" s="377" t="s">
        <v>4180</v>
      </c>
    </row>
    <row r="454" spans="1:5">
      <c r="A454" s="220" t="s">
        <v>2830</v>
      </c>
      <c r="B454" s="220">
        <v>1791949</v>
      </c>
      <c r="D454">
        <v>4</v>
      </c>
      <c r="E454" s="377" t="s">
        <v>4180</v>
      </c>
    </row>
    <row r="455" spans="1:5">
      <c r="A455" s="220" t="s">
        <v>2830</v>
      </c>
      <c r="B455" s="220">
        <v>1797399</v>
      </c>
      <c r="D455">
        <v>4</v>
      </c>
      <c r="E455" s="377" t="s">
        <v>4180</v>
      </c>
    </row>
    <row r="456" spans="1:5">
      <c r="A456" s="220" t="s">
        <v>2830</v>
      </c>
      <c r="B456" s="220">
        <v>1806280</v>
      </c>
      <c r="D456">
        <v>4</v>
      </c>
      <c r="E456" s="377" t="s">
        <v>4180</v>
      </c>
    </row>
    <row r="457" spans="1:5">
      <c r="A457" s="220" t="s">
        <v>2830</v>
      </c>
      <c r="B457" s="220">
        <v>1814804</v>
      </c>
      <c r="D457">
        <v>4</v>
      </c>
      <c r="E457" s="377" t="s">
        <v>4180</v>
      </c>
    </row>
    <row r="458" spans="1:5">
      <c r="A458" s="220" t="s">
        <v>2830</v>
      </c>
      <c r="B458" s="220">
        <v>1822401</v>
      </c>
      <c r="D458">
        <v>4</v>
      </c>
      <c r="E458" s="377" t="s">
        <v>4180</v>
      </c>
    </row>
    <row r="459" spans="1:5">
      <c r="A459" s="220" t="s">
        <v>2830</v>
      </c>
      <c r="B459" s="220">
        <v>1874233</v>
      </c>
      <c r="D459">
        <v>4</v>
      </c>
      <c r="E459" s="377" t="s">
        <v>4180</v>
      </c>
    </row>
    <row r="460" spans="1:5">
      <c r="A460" s="220" t="s">
        <v>2830</v>
      </c>
      <c r="B460" s="220">
        <v>1893896</v>
      </c>
      <c r="D460">
        <v>4</v>
      </c>
      <c r="E460" s="377" t="s">
        <v>4180</v>
      </c>
    </row>
    <row r="461" spans="1:5">
      <c r="A461" s="220" t="s">
        <v>2830</v>
      </c>
      <c r="B461" s="220">
        <v>1897742</v>
      </c>
      <c r="D461">
        <v>4</v>
      </c>
      <c r="E461" s="377" t="s">
        <v>4180</v>
      </c>
    </row>
    <row r="462" spans="1:5">
      <c r="A462" s="220" t="s">
        <v>2830</v>
      </c>
      <c r="B462" s="220">
        <v>1906278</v>
      </c>
      <c r="D462">
        <v>4</v>
      </c>
      <c r="E462" s="377" t="s">
        <v>4180</v>
      </c>
    </row>
    <row r="463" spans="1:5">
      <c r="A463" s="220" t="s">
        <v>2830</v>
      </c>
      <c r="B463" s="220">
        <v>1929266</v>
      </c>
      <c r="D463">
        <v>4</v>
      </c>
      <c r="E463" s="377" t="s">
        <v>4180</v>
      </c>
    </row>
    <row r="464" spans="1:5">
      <c r="A464" s="220" t="s">
        <v>2830</v>
      </c>
      <c r="B464" s="220">
        <v>1955037</v>
      </c>
      <c r="D464">
        <v>4</v>
      </c>
      <c r="E464" s="377" t="s">
        <v>4180</v>
      </c>
    </row>
    <row r="465" spans="1:5">
      <c r="A465" s="220" t="s">
        <v>2830</v>
      </c>
      <c r="B465" s="220">
        <v>2013932</v>
      </c>
      <c r="D465">
        <v>4</v>
      </c>
      <c r="E465" s="377" t="s">
        <v>4180</v>
      </c>
    </row>
    <row r="466" spans="1:5">
      <c r="A466" s="220" t="s">
        <v>2830</v>
      </c>
      <c r="B466" s="220">
        <v>2068938</v>
      </c>
      <c r="D466">
        <v>4</v>
      </c>
      <c r="E466" s="377" t="s">
        <v>4180</v>
      </c>
    </row>
    <row r="467" spans="1:5">
      <c r="A467" s="220" t="s">
        <v>2830</v>
      </c>
      <c r="B467" s="220">
        <v>2081741</v>
      </c>
      <c r="D467">
        <v>4</v>
      </c>
      <c r="E467" s="377" t="s">
        <v>4180</v>
      </c>
    </row>
    <row r="468" spans="1:5">
      <c r="A468" s="220" t="s">
        <v>2830</v>
      </c>
      <c r="B468" s="220">
        <v>2092685</v>
      </c>
      <c r="D468">
        <v>4</v>
      </c>
      <c r="E468" s="377" t="s">
        <v>4180</v>
      </c>
    </row>
    <row r="469" spans="1:5">
      <c r="A469" s="220" t="s">
        <v>2830</v>
      </c>
      <c r="B469" s="220">
        <v>2093218</v>
      </c>
      <c r="D469">
        <v>4</v>
      </c>
      <c r="E469" s="377" t="s">
        <v>4180</v>
      </c>
    </row>
    <row r="470" spans="1:5">
      <c r="A470" s="220" t="s">
        <v>2830</v>
      </c>
      <c r="B470" s="220">
        <v>2156132</v>
      </c>
      <c r="D470">
        <v>4</v>
      </c>
      <c r="E470" s="377" t="s">
        <v>4180</v>
      </c>
    </row>
    <row r="471" spans="1:5">
      <c r="A471" s="220" t="s">
        <v>2830</v>
      </c>
      <c r="B471" s="220">
        <v>2234001</v>
      </c>
      <c r="D471">
        <v>4</v>
      </c>
      <c r="E471" s="377" t="s">
        <v>4180</v>
      </c>
    </row>
    <row r="472" spans="1:5">
      <c r="A472" s="220" t="s">
        <v>2830</v>
      </c>
      <c r="B472" s="220">
        <v>2297550</v>
      </c>
      <c r="D472">
        <v>4</v>
      </c>
      <c r="E472" s="377" t="s">
        <v>4180</v>
      </c>
    </row>
    <row r="473" spans="1:5">
      <c r="A473" s="220" t="s">
        <v>2156</v>
      </c>
      <c r="B473" s="220">
        <v>2119669</v>
      </c>
      <c r="C473" s="221" t="s">
        <v>2468</v>
      </c>
      <c r="D473" s="371">
        <v>1</v>
      </c>
      <c r="E473" s="377" t="s">
        <v>4181</v>
      </c>
    </row>
    <row r="474" spans="1:5">
      <c r="A474" s="220" t="s">
        <v>2156</v>
      </c>
      <c r="B474" s="220">
        <v>2122810</v>
      </c>
      <c r="C474" s="221" t="s">
        <v>2468</v>
      </c>
      <c r="D474" s="371">
        <v>1</v>
      </c>
      <c r="E474" s="377" t="s">
        <v>4181</v>
      </c>
    </row>
    <row r="475" spans="1:5">
      <c r="A475" s="220" t="s">
        <v>2156</v>
      </c>
      <c r="B475" s="220">
        <v>2123099</v>
      </c>
      <c r="C475" s="221" t="s">
        <v>2468</v>
      </c>
      <c r="D475" s="371">
        <v>1</v>
      </c>
      <c r="E475" s="377" t="s">
        <v>4181</v>
      </c>
    </row>
    <row r="476" spans="1:5">
      <c r="A476" s="220" t="s">
        <v>2156</v>
      </c>
      <c r="B476" s="220">
        <v>2123100</v>
      </c>
      <c r="C476" s="221" t="s">
        <v>2468</v>
      </c>
      <c r="D476" s="371">
        <v>1</v>
      </c>
      <c r="E476" s="377" t="s">
        <v>4181</v>
      </c>
    </row>
    <row r="477" spans="1:5">
      <c r="A477" s="220" t="s">
        <v>2156</v>
      </c>
      <c r="B477" s="220">
        <v>2123101</v>
      </c>
      <c r="C477" s="221" t="s">
        <v>2468</v>
      </c>
      <c r="D477" s="371">
        <v>1</v>
      </c>
      <c r="E477" s="377" t="s">
        <v>4181</v>
      </c>
    </row>
    <row r="478" spans="1:5">
      <c r="A478" s="220" t="s">
        <v>2156</v>
      </c>
      <c r="B478" s="220">
        <v>2123129</v>
      </c>
      <c r="C478" s="221" t="s">
        <v>2468</v>
      </c>
      <c r="D478" s="371">
        <v>1</v>
      </c>
      <c r="E478" s="377" t="s">
        <v>4181</v>
      </c>
    </row>
    <row r="479" spans="1:5">
      <c r="A479" s="220" t="s">
        <v>2156</v>
      </c>
      <c r="B479" s="220">
        <v>2123130</v>
      </c>
      <c r="C479" s="221" t="s">
        <v>2468</v>
      </c>
      <c r="D479" s="371">
        <v>1</v>
      </c>
      <c r="E479" s="377" t="s">
        <v>4181</v>
      </c>
    </row>
    <row r="480" spans="1:5">
      <c r="A480" s="220" t="s">
        <v>2156</v>
      </c>
      <c r="B480" s="220">
        <v>2126372</v>
      </c>
      <c r="C480" s="221" t="s">
        <v>2468</v>
      </c>
      <c r="D480" s="371">
        <v>1</v>
      </c>
      <c r="E480" s="377" t="s">
        <v>4181</v>
      </c>
    </row>
    <row r="481" spans="1:5">
      <c r="A481" s="220" t="s">
        <v>2156</v>
      </c>
      <c r="B481" s="220">
        <v>2132002</v>
      </c>
      <c r="C481" s="221" t="s">
        <v>2468</v>
      </c>
      <c r="D481" s="371">
        <v>1</v>
      </c>
      <c r="E481" s="377" t="s">
        <v>4181</v>
      </c>
    </row>
    <row r="482" spans="1:5">
      <c r="A482" s="220" t="s">
        <v>2156</v>
      </c>
      <c r="B482" s="220">
        <v>2161740</v>
      </c>
      <c r="C482" s="221" t="s">
        <v>2468</v>
      </c>
      <c r="D482" s="371">
        <v>1</v>
      </c>
      <c r="E482" s="377" t="s">
        <v>4181</v>
      </c>
    </row>
    <row r="483" spans="1:5">
      <c r="A483" s="220" t="s">
        <v>2156</v>
      </c>
      <c r="B483" s="220">
        <v>2162072</v>
      </c>
      <c r="C483" s="221" t="s">
        <v>2468</v>
      </c>
      <c r="D483" s="371">
        <v>1</v>
      </c>
      <c r="E483" s="377" t="s">
        <v>4181</v>
      </c>
    </row>
    <row r="484" spans="1:5">
      <c r="A484" s="220" t="s">
        <v>2156</v>
      </c>
      <c r="B484" s="220">
        <v>2179656</v>
      </c>
      <c r="C484" s="221" t="s">
        <v>2468</v>
      </c>
      <c r="D484" s="371">
        <v>1</v>
      </c>
      <c r="E484" s="377" t="s">
        <v>4181</v>
      </c>
    </row>
    <row r="485" spans="1:5">
      <c r="A485" s="220" t="s">
        <v>2156</v>
      </c>
      <c r="B485" s="220">
        <v>2195589</v>
      </c>
      <c r="C485" s="221" t="s">
        <v>2468</v>
      </c>
      <c r="D485" s="371">
        <v>1</v>
      </c>
      <c r="E485" s="377" t="s">
        <v>4181</v>
      </c>
    </row>
    <row r="486" spans="1:5">
      <c r="A486" s="220" t="s">
        <v>2156</v>
      </c>
      <c r="B486" s="220">
        <v>2267588</v>
      </c>
      <c r="C486" s="221" t="s">
        <v>2468</v>
      </c>
      <c r="D486" s="371">
        <v>1</v>
      </c>
      <c r="E486" s="377" t="s">
        <v>4181</v>
      </c>
    </row>
    <row r="487" spans="1:5">
      <c r="A487" s="220" t="s">
        <v>1616</v>
      </c>
      <c r="B487" s="220">
        <v>2120595</v>
      </c>
      <c r="C487" s="221" t="s">
        <v>50</v>
      </c>
      <c r="D487" s="371">
        <v>2</v>
      </c>
      <c r="E487" s="377" t="s">
        <v>4182</v>
      </c>
    </row>
    <row r="488" spans="1:5">
      <c r="A488" s="220" t="s">
        <v>1616</v>
      </c>
      <c r="B488" s="220">
        <v>2120631</v>
      </c>
      <c r="C488" s="221" t="s">
        <v>50</v>
      </c>
      <c r="D488" s="371">
        <v>2</v>
      </c>
      <c r="E488" s="377" t="s">
        <v>4182</v>
      </c>
    </row>
    <row r="489" spans="1:5">
      <c r="A489" s="220" t="s">
        <v>1616</v>
      </c>
      <c r="B489" s="220">
        <v>2120632</v>
      </c>
      <c r="C489" s="221" t="s">
        <v>50</v>
      </c>
      <c r="D489" s="371">
        <v>2</v>
      </c>
      <c r="E489" s="377" t="s">
        <v>4182</v>
      </c>
    </row>
    <row r="490" spans="1:5">
      <c r="A490" s="220" t="s">
        <v>1616</v>
      </c>
      <c r="B490" s="220">
        <v>2120633</v>
      </c>
      <c r="C490" s="221" t="s">
        <v>50</v>
      </c>
      <c r="D490" s="371">
        <v>2</v>
      </c>
      <c r="E490" s="377" t="s">
        <v>4182</v>
      </c>
    </row>
    <row r="491" spans="1:5">
      <c r="A491" s="220" t="s">
        <v>1616</v>
      </c>
      <c r="B491" s="220">
        <v>2123614</v>
      </c>
      <c r="C491" s="221" t="s">
        <v>50</v>
      </c>
      <c r="D491" s="371">
        <v>2</v>
      </c>
      <c r="E491" s="377" t="s">
        <v>4182</v>
      </c>
    </row>
    <row r="492" spans="1:5">
      <c r="A492" s="220" t="s">
        <v>1616</v>
      </c>
      <c r="B492" s="220">
        <v>2131186</v>
      </c>
      <c r="C492" s="221" t="s">
        <v>50</v>
      </c>
      <c r="D492" s="371">
        <v>2</v>
      </c>
      <c r="E492" s="377" t="s">
        <v>4182</v>
      </c>
    </row>
    <row r="493" spans="1:5">
      <c r="A493" s="220" t="s">
        <v>1616</v>
      </c>
      <c r="B493" s="220">
        <v>2134419</v>
      </c>
      <c r="C493" s="221" t="s">
        <v>50</v>
      </c>
      <c r="D493" s="371">
        <v>2</v>
      </c>
      <c r="E493" s="377" t="s">
        <v>4182</v>
      </c>
    </row>
    <row r="494" spans="1:5">
      <c r="A494" s="220" t="s">
        <v>1616</v>
      </c>
      <c r="B494" s="220">
        <v>2136447</v>
      </c>
      <c r="C494" s="221" t="s">
        <v>50</v>
      </c>
      <c r="D494" s="371">
        <v>2</v>
      </c>
      <c r="E494" s="377" t="s">
        <v>4182</v>
      </c>
    </row>
    <row r="495" spans="1:5">
      <c r="A495" s="220" t="s">
        <v>1616</v>
      </c>
      <c r="B495" s="220">
        <v>2139833</v>
      </c>
      <c r="C495" s="221" t="s">
        <v>50</v>
      </c>
      <c r="D495" s="371">
        <v>2</v>
      </c>
      <c r="E495" s="377" t="s">
        <v>4182</v>
      </c>
    </row>
    <row r="496" spans="1:5">
      <c r="A496" s="220" t="s">
        <v>1616</v>
      </c>
      <c r="B496" s="220">
        <v>2141457</v>
      </c>
      <c r="C496" s="221" t="s">
        <v>50</v>
      </c>
      <c r="D496" s="371">
        <v>2</v>
      </c>
      <c r="E496" s="377" t="s">
        <v>4182</v>
      </c>
    </row>
    <row r="497" spans="1:5">
      <c r="A497" s="220" t="s">
        <v>1616</v>
      </c>
      <c r="B497" s="220">
        <v>2143445</v>
      </c>
      <c r="C497" s="221" t="s">
        <v>50</v>
      </c>
      <c r="D497" s="371">
        <v>2</v>
      </c>
      <c r="E497" s="377" t="s">
        <v>4182</v>
      </c>
    </row>
    <row r="498" spans="1:5">
      <c r="A498" s="220" t="s">
        <v>1616</v>
      </c>
      <c r="B498" s="220">
        <v>2143456</v>
      </c>
      <c r="C498" s="221" t="s">
        <v>50</v>
      </c>
      <c r="D498" s="371">
        <v>2</v>
      </c>
      <c r="E498" s="377" t="s">
        <v>4182</v>
      </c>
    </row>
    <row r="499" spans="1:5">
      <c r="A499" s="220" t="s">
        <v>1616</v>
      </c>
      <c r="B499" s="220">
        <v>2143457</v>
      </c>
      <c r="C499" s="221" t="s">
        <v>50</v>
      </c>
      <c r="D499" s="371">
        <v>2</v>
      </c>
      <c r="E499" s="377" t="s">
        <v>4182</v>
      </c>
    </row>
    <row r="500" spans="1:5">
      <c r="A500" s="220" t="s">
        <v>1616</v>
      </c>
      <c r="B500" s="220">
        <v>2145377</v>
      </c>
      <c r="C500" s="221" t="s">
        <v>50</v>
      </c>
      <c r="D500" s="371">
        <v>2</v>
      </c>
      <c r="E500" s="377" t="s">
        <v>4182</v>
      </c>
    </row>
    <row r="501" spans="1:5">
      <c r="A501" s="220" t="s">
        <v>1616</v>
      </c>
      <c r="B501" s="220">
        <v>2150510</v>
      </c>
      <c r="C501" s="221" t="s">
        <v>50</v>
      </c>
      <c r="D501" s="371">
        <v>2</v>
      </c>
      <c r="E501" s="377" t="s">
        <v>4182</v>
      </c>
    </row>
    <row r="502" spans="1:5">
      <c r="A502" s="220" t="s">
        <v>1616</v>
      </c>
      <c r="B502" s="220">
        <v>2151568</v>
      </c>
      <c r="C502" s="221" t="s">
        <v>50</v>
      </c>
      <c r="D502" s="371">
        <v>2</v>
      </c>
      <c r="E502" s="377" t="s">
        <v>4182</v>
      </c>
    </row>
    <row r="503" spans="1:5">
      <c r="A503" s="220" t="s">
        <v>1616</v>
      </c>
      <c r="B503" s="220">
        <v>2154004</v>
      </c>
      <c r="C503" s="221" t="s">
        <v>50</v>
      </c>
      <c r="D503" s="371">
        <v>2</v>
      </c>
      <c r="E503" s="377" t="s">
        <v>4182</v>
      </c>
    </row>
    <row r="504" spans="1:5">
      <c r="A504" s="220" t="s">
        <v>1616</v>
      </c>
      <c r="B504" s="220">
        <v>2154014</v>
      </c>
      <c r="C504" s="221" t="s">
        <v>50</v>
      </c>
      <c r="D504" s="371">
        <v>2</v>
      </c>
      <c r="E504" s="377" t="s">
        <v>4182</v>
      </c>
    </row>
    <row r="505" spans="1:5">
      <c r="A505" s="220" t="s">
        <v>1616</v>
      </c>
      <c r="B505" s="220">
        <v>2154016</v>
      </c>
      <c r="C505" s="221" t="s">
        <v>50</v>
      </c>
      <c r="D505" s="371">
        <v>2</v>
      </c>
      <c r="E505" s="377" t="s">
        <v>4182</v>
      </c>
    </row>
    <row r="506" spans="1:5">
      <c r="A506" s="220" t="s">
        <v>1616</v>
      </c>
      <c r="B506" s="220">
        <v>2155667</v>
      </c>
      <c r="C506" s="221" t="s">
        <v>50</v>
      </c>
      <c r="D506" s="371">
        <v>2</v>
      </c>
      <c r="E506" s="377" t="s">
        <v>4182</v>
      </c>
    </row>
    <row r="507" spans="1:5">
      <c r="A507" s="220" t="s">
        <v>1616</v>
      </c>
      <c r="B507" s="220">
        <v>2159880</v>
      </c>
      <c r="C507" s="221" t="s">
        <v>50</v>
      </c>
      <c r="D507" s="371">
        <v>2</v>
      </c>
      <c r="E507" s="377" t="s">
        <v>4182</v>
      </c>
    </row>
    <row r="508" spans="1:5">
      <c r="A508" s="220" t="s">
        <v>1616</v>
      </c>
      <c r="B508" s="220">
        <v>2159900</v>
      </c>
      <c r="C508" s="221" t="s">
        <v>50</v>
      </c>
      <c r="D508" s="371">
        <v>2</v>
      </c>
      <c r="E508" s="377" t="s">
        <v>4182</v>
      </c>
    </row>
    <row r="509" spans="1:5">
      <c r="A509" s="220" t="s">
        <v>1616</v>
      </c>
      <c r="B509" s="220">
        <v>2159911</v>
      </c>
      <c r="C509" s="221" t="s">
        <v>50</v>
      </c>
      <c r="D509" s="371">
        <v>2</v>
      </c>
      <c r="E509" s="377" t="s">
        <v>4182</v>
      </c>
    </row>
    <row r="510" spans="1:5">
      <c r="A510" s="220" t="s">
        <v>1616</v>
      </c>
      <c r="B510" s="220">
        <v>2161351</v>
      </c>
      <c r="C510" s="221" t="s">
        <v>50</v>
      </c>
      <c r="D510" s="371">
        <v>2</v>
      </c>
      <c r="E510" s="377" t="s">
        <v>4182</v>
      </c>
    </row>
    <row r="511" spans="1:5">
      <c r="A511" s="220" t="s">
        <v>1616</v>
      </c>
      <c r="B511" s="220">
        <v>2161381</v>
      </c>
      <c r="C511" s="221" t="s">
        <v>50</v>
      </c>
      <c r="D511" s="371">
        <v>2</v>
      </c>
      <c r="E511" s="377" t="s">
        <v>4182</v>
      </c>
    </row>
    <row r="512" spans="1:5">
      <c r="A512" s="220" t="s">
        <v>1616</v>
      </c>
      <c r="B512" s="220">
        <v>2161904</v>
      </c>
      <c r="C512" s="221" t="s">
        <v>50</v>
      </c>
      <c r="D512" s="371">
        <v>2</v>
      </c>
      <c r="E512" s="377" t="s">
        <v>4182</v>
      </c>
    </row>
    <row r="513" spans="1:5">
      <c r="A513" s="220" t="s">
        <v>1616</v>
      </c>
      <c r="B513" s="220">
        <v>2164883</v>
      </c>
      <c r="C513" s="221" t="s">
        <v>50</v>
      </c>
      <c r="D513" s="371">
        <v>2</v>
      </c>
      <c r="E513" s="377" t="s">
        <v>4182</v>
      </c>
    </row>
    <row r="514" spans="1:5">
      <c r="A514" s="220" t="s">
        <v>1616</v>
      </c>
      <c r="B514" s="220">
        <v>2165863</v>
      </c>
      <c r="C514" s="221" t="s">
        <v>50</v>
      </c>
      <c r="D514" s="371">
        <v>2</v>
      </c>
      <c r="E514" s="377" t="s">
        <v>4182</v>
      </c>
    </row>
    <row r="515" spans="1:5">
      <c r="A515" s="220" t="s">
        <v>1616</v>
      </c>
      <c r="B515" s="220">
        <v>2170617</v>
      </c>
      <c r="C515" s="221" t="s">
        <v>50</v>
      </c>
      <c r="D515" s="371">
        <v>2</v>
      </c>
      <c r="E515" s="377" t="s">
        <v>4182</v>
      </c>
    </row>
    <row r="516" spans="1:5">
      <c r="A516" s="220" t="s">
        <v>1616</v>
      </c>
      <c r="B516" s="220">
        <v>2170647</v>
      </c>
      <c r="C516" s="221" t="s">
        <v>50</v>
      </c>
      <c r="D516" s="371">
        <v>2</v>
      </c>
      <c r="E516" s="377" t="s">
        <v>4182</v>
      </c>
    </row>
    <row r="517" spans="1:5">
      <c r="A517" s="220" t="s">
        <v>1616</v>
      </c>
      <c r="B517" s="220">
        <v>2170661</v>
      </c>
      <c r="C517" s="221" t="s">
        <v>50</v>
      </c>
      <c r="D517" s="371">
        <v>2</v>
      </c>
      <c r="E517" s="377" t="s">
        <v>4182</v>
      </c>
    </row>
    <row r="518" spans="1:5">
      <c r="A518" s="220" t="s">
        <v>1616</v>
      </c>
      <c r="B518" s="220">
        <v>2174611</v>
      </c>
      <c r="C518" s="221" t="s">
        <v>50</v>
      </c>
      <c r="D518" s="371">
        <v>2</v>
      </c>
      <c r="E518" s="377" t="s">
        <v>4182</v>
      </c>
    </row>
    <row r="519" spans="1:5">
      <c r="A519" s="220" t="s">
        <v>1616</v>
      </c>
      <c r="B519" s="220">
        <v>2174639</v>
      </c>
      <c r="C519" s="221" t="s">
        <v>50</v>
      </c>
      <c r="D519" s="371">
        <v>2</v>
      </c>
      <c r="E519" s="377" t="s">
        <v>4182</v>
      </c>
    </row>
    <row r="520" spans="1:5">
      <c r="A520" s="220" t="s">
        <v>1616</v>
      </c>
      <c r="B520" s="220">
        <v>2174640</v>
      </c>
      <c r="C520" s="221" t="s">
        <v>50</v>
      </c>
      <c r="D520" s="371">
        <v>2</v>
      </c>
      <c r="E520" s="377" t="s">
        <v>4182</v>
      </c>
    </row>
    <row r="521" spans="1:5">
      <c r="A521" s="220" t="s">
        <v>1616</v>
      </c>
      <c r="B521" s="220">
        <v>2178143</v>
      </c>
      <c r="C521" s="221" t="s">
        <v>50</v>
      </c>
      <c r="D521" s="371">
        <v>2</v>
      </c>
      <c r="E521" s="377" t="s">
        <v>4182</v>
      </c>
    </row>
    <row r="522" spans="1:5">
      <c r="A522" s="220" t="s">
        <v>1616</v>
      </c>
      <c r="B522" s="220">
        <v>2181020</v>
      </c>
      <c r="C522" s="221" t="s">
        <v>50</v>
      </c>
      <c r="D522" s="371">
        <v>2</v>
      </c>
      <c r="E522" s="377" t="s">
        <v>4182</v>
      </c>
    </row>
    <row r="523" spans="1:5">
      <c r="A523" s="220" t="s">
        <v>1616</v>
      </c>
      <c r="B523" s="220">
        <v>2181028</v>
      </c>
      <c r="C523" s="221" t="s">
        <v>50</v>
      </c>
      <c r="D523" s="371">
        <v>2</v>
      </c>
      <c r="E523" s="377" t="s">
        <v>4182</v>
      </c>
    </row>
    <row r="524" spans="1:5">
      <c r="A524" s="220" t="s">
        <v>1616</v>
      </c>
      <c r="B524" s="220">
        <v>2181848</v>
      </c>
      <c r="C524" s="221" t="s">
        <v>50</v>
      </c>
      <c r="D524" s="371">
        <v>2</v>
      </c>
      <c r="E524" s="377" t="s">
        <v>4182</v>
      </c>
    </row>
    <row r="525" spans="1:5">
      <c r="A525" s="220" t="s">
        <v>1616</v>
      </c>
      <c r="B525" s="220">
        <v>2185347</v>
      </c>
      <c r="C525" s="221" t="s">
        <v>50</v>
      </c>
      <c r="D525" s="371">
        <v>2</v>
      </c>
      <c r="E525" s="377" t="s">
        <v>4182</v>
      </c>
    </row>
    <row r="526" spans="1:5">
      <c r="A526" s="220" t="s">
        <v>1616</v>
      </c>
      <c r="B526" s="220">
        <v>2188477</v>
      </c>
      <c r="C526" s="221" t="s">
        <v>50</v>
      </c>
      <c r="D526" s="371">
        <v>2</v>
      </c>
      <c r="E526" s="377" t="s">
        <v>4182</v>
      </c>
    </row>
    <row r="527" spans="1:5">
      <c r="A527" s="220" t="s">
        <v>1616</v>
      </c>
      <c r="B527" s="220">
        <v>2198883</v>
      </c>
      <c r="C527" s="221" t="s">
        <v>50</v>
      </c>
      <c r="D527" s="371">
        <v>2</v>
      </c>
      <c r="E527" s="377" t="s">
        <v>4182</v>
      </c>
    </row>
    <row r="528" spans="1:5">
      <c r="A528" s="220" t="s">
        <v>1616</v>
      </c>
      <c r="B528" s="220">
        <v>2200569</v>
      </c>
      <c r="C528" s="221" t="s">
        <v>50</v>
      </c>
      <c r="D528" s="371">
        <v>2</v>
      </c>
      <c r="E528" s="377" t="s">
        <v>4182</v>
      </c>
    </row>
    <row r="529" spans="1:5">
      <c r="A529" s="220" t="s">
        <v>1616</v>
      </c>
      <c r="B529" s="220">
        <v>2213265</v>
      </c>
      <c r="C529" s="221" t="s">
        <v>50</v>
      </c>
      <c r="D529" s="371">
        <v>2</v>
      </c>
      <c r="E529" s="377" t="s">
        <v>4182</v>
      </c>
    </row>
    <row r="530" spans="1:5">
      <c r="A530" s="220" t="s">
        <v>1616</v>
      </c>
      <c r="B530" s="220">
        <v>2223472</v>
      </c>
      <c r="C530" s="221" t="s">
        <v>50</v>
      </c>
      <c r="D530" s="371">
        <v>2</v>
      </c>
      <c r="E530" s="377" t="s">
        <v>4182</v>
      </c>
    </row>
    <row r="531" spans="1:5">
      <c r="A531" s="220" t="s">
        <v>1616</v>
      </c>
      <c r="B531" s="220">
        <v>2251754</v>
      </c>
      <c r="C531" s="221" t="s">
        <v>50</v>
      </c>
      <c r="D531" s="371">
        <v>2</v>
      </c>
      <c r="E531" s="377" t="s">
        <v>4182</v>
      </c>
    </row>
    <row r="532" spans="1:5">
      <c r="A532" s="220" t="s">
        <v>1616</v>
      </c>
      <c r="B532" s="220">
        <v>2119991</v>
      </c>
      <c r="C532" s="221" t="s">
        <v>50</v>
      </c>
      <c r="D532" s="371">
        <v>3</v>
      </c>
      <c r="E532" s="377" t="s">
        <v>4183</v>
      </c>
    </row>
    <row r="533" spans="1:5">
      <c r="A533" s="220" t="s">
        <v>1616</v>
      </c>
      <c r="B533" s="220">
        <v>2121199</v>
      </c>
      <c r="C533" s="221" t="s">
        <v>50</v>
      </c>
      <c r="D533" s="371">
        <v>3</v>
      </c>
      <c r="E533" s="377" t="s">
        <v>4183</v>
      </c>
    </row>
    <row r="534" spans="1:5">
      <c r="A534" s="220" t="s">
        <v>1616</v>
      </c>
      <c r="B534" s="220">
        <v>2125756</v>
      </c>
      <c r="C534" s="221" t="s">
        <v>50</v>
      </c>
      <c r="D534" s="371">
        <v>3</v>
      </c>
      <c r="E534" s="377" t="s">
        <v>4183</v>
      </c>
    </row>
    <row r="535" spans="1:5">
      <c r="A535" s="220" t="s">
        <v>1616</v>
      </c>
      <c r="B535" s="220">
        <v>2127220</v>
      </c>
      <c r="C535" s="221" t="s">
        <v>50</v>
      </c>
      <c r="D535" s="371">
        <v>3</v>
      </c>
      <c r="E535" s="377" t="s">
        <v>4183</v>
      </c>
    </row>
    <row r="536" spans="1:5">
      <c r="A536" s="220" t="s">
        <v>1616</v>
      </c>
      <c r="B536" s="220">
        <v>2127597</v>
      </c>
      <c r="C536" s="221" t="s">
        <v>50</v>
      </c>
      <c r="D536" s="371">
        <v>3</v>
      </c>
      <c r="E536" s="377" t="s">
        <v>4183</v>
      </c>
    </row>
    <row r="537" spans="1:5">
      <c r="A537" s="220" t="s">
        <v>1616</v>
      </c>
      <c r="B537" s="220">
        <v>2127598</v>
      </c>
      <c r="C537" s="221" t="s">
        <v>50</v>
      </c>
      <c r="D537" s="371">
        <v>3</v>
      </c>
      <c r="E537" s="377" t="s">
        <v>4183</v>
      </c>
    </row>
    <row r="538" spans="1:5">
      <c r="A538" s="220" t="s">
        <v>1616</v>
      </c>
      <c r="B538" s="220">
        <v>2127599</v>
      </c>
      <c r="C538" s="221" t="s">
        <v>50</v>
      </c>
      <c r="D538" s="371">
        <v>3</v>
      </c>
      <c r="E538" s="377" t="s">
        <v>4183</v>
      </c>
    </row>
    <row r="539" spans="1:5">
      <c r="A539" s="220" t="s">
        <v>1616</v>
      </c>
      <c r="B539" s="220">
        <v>2127600</v>
      </c>
      <c r="C539" s="221" t="s">
        <v>50</v>
      </c>
      <c r="D539" s="371">
        <v>3</v>
      </c>
      <c r="E539" s="377" t="s">
        <v>4183</v>
      </c>
    </row>
    <row r="540" spans="1:5">
      <c r="A540" s="220" t="s">
        <v>1616</v>
      </c>
      <c r="B540" s="220">
        <v>2130392</v>
      </c>
      <c r="C540" s="221" t="s">
        <v>50</v>
      </c>
      <c r="D540" s="371">
        <v>3</v>
      </c>
      <c r="E540" s="377" t="s">
        <v>4183</v>
      </c>
    </row>
    <row r="541" spans="1:5">
      <c r="A541" s="220" t="s">
        <v>1616</v>
      </c>
      <c r="B541" s="220">
        <v>2133142</v>
      </c>
      <c r="C541" s="221" t="s">
        <v>50</v>
      </c>
      <c r="D541" s="371">
        <v>3</v>
      </c>
      <c r="E541" s="377" t="s">
        <v>4183</v>
      </c>
    </row>
    <row r="542" spans="1:5">
      <c r="A542" s="220" t="s">
        <v>1616</v>
      </c>
      <c r="B542" s="220">
        <v>2133144</v>
      </c>
      <c r="C542" s="221" t="s">
        <v>50</v>
      </c>
      <c r="D542" s="371">
        <v>3</v>
      </c>
      <c r="E542" s="377" t="s">
        <v>4183</v>
      </c>
    </row>
    <row r="543" spans="1:5">
      <c r="A543" s="220" t="s">
        <v>1616</v>
      </c>
      <c r="B543" s="220">
        <v>2133454</v>
      </c>
      <c r="C543" s="221" t="s">
        <v>50</v>
      </c>
      <c r="D543" s="371">
        <v>3</v>
      </c>
      <c r="E543" s="377" t="s">
        <v>4183</v>
      </c>
    </row>
    <row r="544" spans="1:5">
      <c r="A544" s="220" t="s">
        <v>1616</v>
      </c>
      <c r="B544" s="220">
        <v>2137288</v>
      </c>
      <c r="C544" s="221" t="s">
        <v>50</v>
      </c>
      <c r="D544" s="371">
        <v>3</v>
      </c>
      <c r="E544" s="377" t="s">
        <v>4183</v>
      </c>
    </row>
    <row r="545" spans="1:5">
      <c r="A545" s="220" t="s">
        <v>1616</v>
      </c>
      <c r="B545" s="220">
        <v>2157175</v>
      </c>
      <c r="C545" s="221" t="s">
        <v>50</v>
      </c>
      <c r="D545" s="371">
        <v>3</v>
      </c>
      <c r="E545" s="377" t="s">
        <v>4183</v>
      </c>
    </row>
    <row r="546" spans="1:5">
      <c r="A546" s="220" t="s">
        <v>1616</v>
      </c>
      <c r="B546" s="220">
        <v>2158125</v>
      </c>
      <c r="C546" s="221" t="s">
        <v>50</v>
      </c>
      <c r="D546" s="371">
        <v>3</v>
      </c>
      <c r="E546" s="377" t="s">
        <v>4183</v>
      </c>
    </row>
    <row r="547" spans="1:5">
      <c r="A547" s="220" t="s">
        <v>1616</v>
      </c>
      <c r="B547" s="220">
        <v>2158126</v>
      </c>
      <c r="C547" s="221" t="s">
        <v>50</v>
      </c>
      <c r="D547" s="371">
        <v>3</v>
      </c>
      <c r="E547" s="377" t="s">
        <v>4183</v>
      </c>
    </row>
    <row r="548" spans="1:5">
      <c r="A548" s="220" t="s">
        <v>1616</v>
      </c>
      <c r="B548" s="220">
        <v>2169047</v>
      </c>
      <c r="C548" s="221" t="s">
        <v>50</v>
      </c>
      <c r="D548" s="371">
        <v>3</v>
      </c>
      <c r="E548" s="377" t="s">
        <v>4183</v>
      </c>
    </row>
    <row r="549" spans="1:5">
      <c r="A549" s="220" t="s">
        <v>1616</v>
      </c>
      <c r="B549" s="220">
        <v>2174087</v>
      </c>
      <c r="C549" s="221" t="s">
        <v>50</v>
      </c>
      <c r="D549" s="371">
        <v>3</v>
      </c>
      <c r="E549" s="377" t="s">
        <v>4183</v>
      </c>
    </row>
    <row r="550" spans="1:5">
      <c r="A550" s="220" t="s">
        <v>1616</v>
      </c>
      <c r="B550" s="220">
        <v>2183220</v>
      </c>
      <c r="C550" s="221" t="s">
        <v>50</v>
      </c>
      <c r="D550" s="371">
        <v>3</v>
      </c>
      <c r="E550" s="377" t="s">
        <v>4183</v>
      </c>
    </row>
    <row r="551" spans="1:5">
      <c r="A551" s="220" t="s">
        <v>1616</v>
      </c>
      <c r="B551" s="220">
        <v>2185875</v>
      </c>
      <c r="C551" s="221" t="s">
        <v>50</v>
      </c>
      <c r="D551" s="371">
        <v>3</v>
      </c>
      <c r="E551" s="377" t="s">
        <v>4183</v>
      </c>
    </row>
    <row r="552" spans="1:5">
      <c r="A552" s="220" t="s">
        <v>1616</v>
      </c>
      <c r="B552" s="220">
        <v>2187032</v>
      </c>
      <c r="C552" s="221" t="s">
        <v>50</v>
      </c>
      <c r="D552" s="371">
        <v>3</v>
      </c>
      <c r="E552" s="377" t="s">
        <v>4183</v>
      </c>
    </row>
    <row r="553" spans="1:5">
      <c r="A553" s="220" t="s">
        <v>1616</v>
      </c>
      <c r="B553" s="220">
        <v>2191762</v>
      </c>
      <c r="C553" s="221" t="s">
        <v>50</v>
      </c>
      <c r="D553" s="371">
        <v>3</v>
      </c>
      <c r="E553" s="377" t="s">
        <v>4183</v>
      </c>
    </row>
    <row r="554" spans="1:5">
      <c r="A554" s="220" t="s">
        <v>1616</v>
      </c>
      <c r="B554" s="220">
        <v>2198721</v>
      </c>
      <c r="C554" s="221" t="s">
        <v>50</v>
      </c>
      <c r="D554" s="371">
        <v>3</v>
      </c>
      <c r="E554" s="377" t="s">
        <v>4183</v>
      </c>
    </row>
    <row r="555" spans="1:5">
      <c r="A555" s="220" t="s">
        <v>1616</v>
      </c>
      <c r="B555" s="220">
        <v>2200361</v>
      </c>
      <c r="C555" s="221" t="s">
        <v>50</v>
      </c>
      <c r="D555" s="371">
        <v>3</v>
      </c>
      <c r="E555" s="377" t="s">
        <v>4183</v>
      </c>
    </row>
    <row r="556" spans="1:5">
      <c r="A556" s="220" t="s">
        <v>1616</v>
      </c>
      <c r="B556" s="220">
        <v>2202102</v>
      </c>
      <c r="C556" s="221" t="s">
        <v>50</v>
      </c>
      <c r="D556" s="371">
        <v>3</v>
      </c>
      <c r="E556" s="377" t="s">
        <v>4183</v>
      </c>
    </row>
    <row r="557" spans="1:5">
      <c r="A557" s="220" t="s">
        <v>1616</v>
      </c>
      <c r="B557" s="220">
        <v>2202490</v>
      </c>
      <c r="C557" s="221" t="s">
        <v>50</v>
      </c>
      <c r="D557" s="371">
        <v>3</v>
      </c>
      <c r="E557" s="377" t="s">
        <v>4183</v>
      </c>
    </row>
    <row r="558" spans="1:5">
      <c r="A558" s="220" t="s">
        <v>1616</v>
      </c>
      <c r="B558" s="220">
        <v>2205652</v>
      </c>
      <c r="C558" s="221" t="s">
        <v>50</v>
      </c>
      <c r="D558" s="371">
        <v>3</v>
      </c>
      <c r="E558" s="377" t="s">
        <v>4183</v>
      </c>
    </row>
    <row r="559" spans="1:5">
      <c r="A559" s="220" t="s">
        <v>1616</v>
      </c>
      <c r="B559" s="220">
        <v>2205653</v>
      </c>
      <c r="C559" s="221" t="s">
        <v>50</v>
      </c>
      <c r="D559" s="371">
        <v>3</v>
      </c>
      <c r="E559" s="377" t="s">
        <v>4183</v>
      </c>
    </row>
    <row r="560" spans="1:5">
      <c r="A560" s="220" t="s">
        <v>1616</v>
      </c>
      <c r="B560" s="220">
        <v>2213861</v>
      </c>
      <c r="C560" s="221" t="s">
        <v>50</v>
      </c>
      <c r="D560" s="371">
        <v>3</v>
      </c>
      <c r="E560" s="377" t="s">
        <v>4183</v>
      </c>
    </row>
    <row r="561" spans="1:5">
      <c r="A561" s="220" t="s">
        <v>1616</v>
      </c>
      <c r="B561" s="220">
        <v>2217086</v>
      </c>
      <c r="C561" s="221" t="s">
        <v>50</v>
      </c>
      <c r="D561" s="371">
        <v>3</v>
      </c>
      <c r="E561" s="377" t="s">
        <v>4183</v>
      </c>
    </row>
    <row r="562" spans="1:5">
      <c r="A562" s="220" t="s">
        <v>1616</v>
      </c>
      <c r="B562" s="220">
        <v>2248707</v>
      </c>
      <c r="C562" s="221" t="s">
        <v>50</v>
      </c>
      <c r="D562" s="371">
        <v>3</v>
      </c>
      <c r="E562" s="377" t="s">
        <v>4183</v>
      </c>
    </row>
    <row r="563" spans="1:5">
      <c r="A563" s="336" t="s">
        <v>4106</v>
      </c>
      <c r="B563" s="339">
        <v>1689892</v>
      </c>
      <c r="D563">
        <v>1</v>
      </c>
      <c r="E563" s="377" t="s">
        <v>4184</v>
      </c>
    </row>
    <row r="564" spans="1:5">
      <c r="A564" s="336" t="s">
        <v>4106</v>
      </c>
      <c r="B564" s="339">
        <v>1732661</v>
      </c>
      <c r="D564">
        <v>1</v>
      </c>
      <c r="E564" s="377" t="s">
        <v>4184</v>
      </c>
    </row>
    <row r="565" spans="1:5">
      <c r="A565" s="336" t="s">
        <v>4106</v>
      </c>
      <c r="B565" s="339">
        <v>1831323</v>
      </c>
      <c r="D565">
        <v>1</v>
      </c>
      <c r="E565" s="377" t="s">
        <v>4184</v>
      </c>
    </row>
    <row r="566" spans="1:5">
      <c r="A566" s="336" t="s">
        <v>4106</v>
      </c>
      <c r="B566" s="339">
        <v>1864763</v>
      </c>
      <c r="D566">
        <v>1</v>
      </c>
      <c r="E566" s="377" t="s">
        <v>4184</v>
      </c>
    </row>
    <row r="567" spans="1:5">
      <c r="A567" s="336" t="s">
        <v>4106</v>
      </c>
      <c r="B567" s="339">
        <v>1883408</v>
      </c>
      <c r="D567">
        <v>1</v>
      </c>
      <c r="E567" s="377" t="s">
        <v>4184</v>
      </c>
    </row>
    <row r="568" spans="1:5">
      <c r="A568" s="336" t="s">
        <v>4106</v>
      </c>
      <c r="B568" s="339">
        <v>1893611</v>
      </c>
      <c r="D568">
        <v>1</v>
      </c>
      <c r="E568" s="377" t="s">
        <v>4184</v>
      </c>
    </row>
    <row r="569" spans="1:5">
      <c r="A569" s="336" t="s">
        <v>4106</v>
      </c>
      <c r="B569" s="339">
        <v>1896594</v>
      </c>
      <c r="D569">
        <v>1</v>
      </c>
      <c r="E569" s="377" t="s">
        <v>4184</v>
      </c>
    </row>
    <row r="570" spans="1:5">
      <c r="A570" s="336" t="s">
        <v>4106</v>
      </c>
      <c r="B570" s="339">
        <v>1950417</v>
      </c>
      <c r="D570">
        <v>1</v>
      </c>
      <c r="E570" s="377" t="s">
        <v>4184</v>
      </c>
    </row>
    <row r="571" spans="1:5">
      <c r="A571" s="336" t="s">
        <v>4106</v>
      </c>
      <c r="B571" s="339">
        <v>1969164</v>
      </c>
      <c r="D571">
        <v>1</v>
      </c>
      <c r="E571" s="377" t="s">
        <v>4184</v>
      </c>
    </row>
    <row r="572" spans="1:5">
      <c r="A572" s="336" t="s">
        <v>4106</v>
      </c>
      <c r="B572" s="339">
        <v>1976191</v>
      </c>
      <c r="D572">
        <v>1</v>
      </c>
      <c r="E572" s="377" t="s">
        <v>4184</v>
      </c>
    </row>
    <row r="573" spans="1:5">
      <c r="A573" s="336" t="s">
        <v>4106</v>
      </c>
      <c r="B573" s="339">
        <v>1980309</v>
      </c>
      <c r="D573">
        <v>1</v>
      </c>
      <c r="E573" s="377" t="s">
        <v>4184</v>
      </c>
    </row>
    <row r="574" spans="1:5">
      <c r="A574" s="336" t="s">
        <v>4106</v>
      </c>
      <c r="B574" s="339">
        <v>1991527</v>
      </c>
      <c r="D574">
        <v>1</v>
      </c>
      <c r="E574" s="377" t="s">
        <v>4184</v>
      </c>
    </row>
    <row r="575" spans="1:5">
      <c r="A575" s="336" t="s">
        <v>4106</v>
      </c>
      <c r="B575" s="339">
        <v>1991528</v>
      </c>
      <c r="D575">
        <v>1</v>
      </c>
      <c r="E575" s="377" t="s">
        <v>4184</v>
      </c>
    </row>
    <row r="576" spans="1:5">
      <c r="A576" s="336" t="s">
        <v>4106</v>
      </c>
      <c r="B576" s="339">
        <v>1878316</v>
      </c>
      <c r="D576">
        <v>2</v>
      </c>
      <c r="E576" s="377" t="s">
        <v>4185</v>
      </c>
    </row>
    <row r="577" spans="1:5">
      <c r="A577" s="336" t="s">
        <v>4106</v>
      </c>
      <c r="B577" s="339">
        <v>1936913</v>
      </c>
      <c r="D577">
        <v>2</v>
      </c>
      <c r="E577" s="377" t="s">
        <v>4185</v>
      </c>
    </row>
    <row r="578" spans="1:5">
      <c r="A578" s="336" t="s">
        <v>4106</v>
      </c>
      <c r="B578" s="339">
        <v>2037331</v>
      </c>
      <c r="D578">
        <v>2</v>
      </c>
      <c r="E578" s="377" t="s">
        <v>4185</v>
      </c>
    </row>
    <row r="579" spans="1:5">
      <c r="A579" s="336" t="s">
        <v>4106</v>
      </c>
      <c r="B579" s="339">
        <v>2069252</v>
      </c>
      <c r="D579">
        <v>2</v>
      </c>
      <c r="E579" s="377" t="s">
        <v>4185</v>
      </c>
    </row>
    <row r="580" spans="1:5">
      <c r="A580" s="336" t="s">
        <v>4106</v>
      </c>
      <c r="B580" s="339">
        <v>2077112</v>
      </c>
      <c r="D580">
        <v>2</v>
      </c>
      <c r="E580" s="377" t="s">
        <v>4185</v>
      </c>
    </row>
    <row r="581" spans="1:5">
      <c r="A581" s="336" t="s">
        <v>4106</v>
      </c>
      <c r="B581" s="339">
        <v>2124703</v>
      </c>
      <c r="D581">
        <v>2</v>
      </c>
      <c r="E581" s="377" t="s">
        <v>4185</v>
      </c>
    </row>
    <row r="582" spans="1:5">
      <c r="A582" s="336" t="s">
        <v>4106</v>
      </c>
      <c r="B582" s="339">
        <v>2154954</v>
      </c>
      <c r="D582">
        <v>2</v>
      </c>
      <c r="E582" s="377" t="s">
        <v>4185</v>
      </c>
    </row>
    <row r="583" spans="1:5">
      <c r="A583" s="336" t="s">
        <v>4107</v>
      </c>
      <c r="B583" s="339">
        <v>2150102</v>
      </c>
      <c r="C583" s="340" t="s">
        <v>4108</v>
      </c>
      <c r="D583">
        <v>1</v>
      </c>
      <c r="E583" s="33" t="s">
        <v>4186</v>
      </c>
    </row>
    <row r="584" spans="1:5">
      <c r="A584" s="336" t="s">
        <v>4107</v>
      </c>
      <c r="B584" s="339">
        <v>2176227</v>
      </c>
      <c r="C584" s="340" t="s">
        <v>4108</v>
      </c>
      <c r="D584">
        <v>2</v>
      </c>
      <c r="E584" s="33" t="s">
        <v>852</v>
      </c>
    </row>
    <row r="585" spans="1:5">
      <c r="A585" s="220" t="s">
        <v>2312</v>
      </c>
      <c r="B585" s="220">
        <v>1685192</v>
      </c>
      <c r="C585" s="221" t="s">
        <v>1176</v>
      </c>
      <c r="D585">
        <v>1</v>
      </c>
      <c r="E585" s="377" t="s">
        <v>4187</v>
      </c>
    </row>
    <row r="586" spans="1:5">
      <c r="A586" s="220" t="s">
        <v>2312</v>
      </c>
      <c r="B586" s="220">
        <v>1739049</v>
      </c>
      <c r="C586" s="221" t="s">
        <v>1176</v>
      </c>
      <c r="D586">
        <v>1</v>
      </c>
      <c r="E586" s="377" t="s">
        <v>4187</v>
      </c>
    </row>
    <row r="587" spans="1:5">
      <c r="A587" s="220" t="s">
        <v>2312</v>
      </c>
      <c r="B587" s="220">
        <v>1964664</v>
      </c>
      <c r="C587" s="221" t="s">
        <v>1176</v>
      </c>
      <c r="D587">
        <v>1</v>
      </c>
      <c r="E587" s="377" t="s">
        <v>4187</v>
      </c>
    </row>
    <row r="588" spans="1:5">
      <c r="A588" s="220" t="s">
        <v>2312</v>
      </c>
      <c r="B588" s="220">
        <v>1976661</v>
      </c>
      <c r="C588" s="221" t="s">
        <v>1176</v>
      </c>
      <c r="D588">
        <v>1</v>
      </c>
      <c r="E588" s="377" t="s">
        <v>4187</v>
      </c>
    </row>
    <row r="589" spans="1:5">
      <c r="A589" s="220" t="s">
        <v>2312</v>
      </c>
      <c r="B589" s="220">
        <v>2041638</v>
      </c>
      <c r="C589" s="221" t="s">
        <v>1176</v>
      </c>
      <c r="D589">
        <v>1</v>
      </c>
      <c r="E589" s="377" t="s">
        <v>4187</v>
      </c>
    </row>
    <row r="590" spans="1:5">
      <c r="A590" s="220" t="s">
        <v>2312</v>
      </c>
      <c r="B590" s="220">
        <v>1747904</v>
      </c>
      <c r="C590" s="221" t="s">
        <v>1176</v>
      </c>
      <c r="D590">
        <v>2</v>
      </c>
      <c r="E590" s="377" t="s">
        <v>4188</v>
      </c>
    </row>
    <row r="591" spans="1:5">
      <c r="A591" s="220" t="s">
        <v>2312</v>
      </c>
      <c r="B591" s="220">
        <v>1935433</v>
      </c>
      <c r="C591" s="221" t="s">
        <v>1176</v>
      </c>
      <c r="D591">
        <v>2</v>
      </c>
      <c r="E591" s="377" t="s">
        <v>4188</v>
      </c>
    </row>
    <row r="592" spans="1:5">
      <c r="A592" s="220" t="s">
        <v>2312</v>
      </c>
      <c r="B592" s="220">
        <v>1953922</v>
      </c>
      <c r="C592" s="221" t="s">
        <v>1176</v>
      </c>
      <c r="D592">
        <v>2</v>
      </c>
      <c r="E592" s="377" t="s">
        <v>4188</v>
      </c>
    </row>
    <row r="593" spans="1:5">
      <c r="A593" s="220" t="s">
        <v>2312</v>
      </c>
      <c r="B593" s="220">
        <v>1984541</v>
      </c>
      <c r="C593" s="221" t="s">
        <v>1176</v>
      </c>
      <c r="D593">
        <v>2</v>
      </c>
      <c r="E593" s="377" t="s">
        <v>4188</v>
      </c>
    </row>
    <row r="594" spans="1:5">
      <c r="A594" s="220" t="s">
        <v>2312</v>
      </c>
      <c r="B594" s="220">
        <v>2050525</v>
      </c>
      <c r="C594" s="221" t="s">
        <v>1176</v>
      </c>
      <c r="D594">
        <v>2</v>
      </c>
      <c r="E594" s="377" t="s">
        <v>4188</v>
      </c>
    </row>
    <row r="595" spans="1:5">
      <c r="A595" s="220" t="s">
        <v>2312</v>
      </c>
      <c r="B595" s="220">
        <v>2236304</v>
      </c>
      <c r="C595" s="221" t="s">
        <v>1176</v>
      </c>
      <c r="D595">
        <v>2</v>
      </c>
      <c r="E595" s="377" t="s">
        <v>4188</v>
      </c>
    </row>
    <row r="596" spans="1:5">
      <c r="A596" s="220" t="s">
        <v>2312</v>
      </c>
      <c r="B596" s="220">
        <v>1878366</v>
      </c>
      <c r="C596" s="221" t="s">
        <v>1176</v>
      </c>
      <c r="D596">
        <v>3</v>
      </c>
      <c r="E596" s="377" t="s">
        <v>4189</v>
      </c>
    </row>
    <row r="597" spans="1:5">
      <c r="A597" s="220" t="s">
        <v>2312</v>
      </c>
      <c r="B597" s="220">
        <v>1878370</v>
      </c>
      <c r="C597" s="221" t="s">
        <v>1176</v>
      </c>
      <c r="D597">
        <v>3</v>
      </c>
      <c r="E597" s="377" t="s">
        <v>4189</v>
      </c>
    </row>
    <row r="598" spans="1:5">
      <c r="A598" s="220" t="s">
        <v>2312</v>
      </c>
      <c r="B598" s="220">
        <v>1878371</v>
      </c>
      <c r="C598" s="221" t="s">
        <v>1176</v>
      </c>
      <c r="D598">
        <v>3</v>
      </c>
      <c r="E598" s="377" t="s">
        <v>4189</v>
      </c>
    </row>
    <row r="599" spans="1:5">
      <c r="A599" s="220" t="s">
        <v>2312</v>
      </c>
      <c r="B599" s="220">
        <v>1978890</v>
      </c>
      <c r="C599" s="221" t="s">
        <v>1176</v>
      </c>
      <c r="D599">
        <v>3</v>
      </c>
      <c r="E599" s="377" t="s">
        <v>4189</v>
      </c>
    </row>
    <row r="600" spans="1:5">
      <c r="A600" s="220" t="s">
        <v>2312</v>
      </c>
      <c r="B600" s="220">
        <v>1985499</v>
      </c>
      <c r="C600" s="221" t="s">
        <v>1176</v>
      </c>
      <c r="D600">
        <v>3</v>
      </c>
      <c r="E600" s="377" t="s">
        <v>4189</v>
      </c>
    </row>
    <row r="601" spans="1:5">
      <c r="A601" s="220" t="s">
        <v>2312</v>
      </c>
      <c r="B601" s="220">
        <v>2033608</v>
      </c>
      <c r="C601" s="221" t="s">
        <v>1176</v>
      </c>
      <c r="D601">
        <v>3</v>
      </c>
      <c r="E601" s="377" t="s">
        <v>4189</v>
      </c>
    </row>
    <row r="602" spans="1:5">
      <c r="A602" s="220" t="s">
        <v>2312</v>
      </c>
      <c r="B602" s="220">
        <v>2063170</v>
      </c>
      <c r="C602" s="221" t="s">
        <v>1176</v>
      </c>
      <c r="D602">
        <v>3</v>
      </c>
      <c r="E602" s="377" t="s">
        <v>4189</v>
      </c>
    </row>
    <row r="603" spans="1:5">
      <c r="A603" s="220" t="s">
        <v>2312</v>
      </c>
      <c r="B603" s="220">
        <v>2108875</v>
      </c>
      <c r="C603" s="221" t="s">
        <v>1176</v>
      </c>
      <c r="D603">
        <v>4</v>
      </c>
      <c r="E603" s="377" t="s">
        <v>4190</v>
      </c>
    </row>
    <row r="604" spans="1:5">
      <c r="A604" s="220" t="s">
        <v>2312</v>
      </c>
      <c r="B604" s="220">
        <v>2164557</v>
      </c>
      <c r="C604" s="221" t="s">
        <v>1176</v>
      </c>
      <c r="D604">
        <v>4</v>
      </c>
      <c r="E604" s="377" t="s">
        <v>4190</v>
      </c>
    </row>
    <row r="605" spans="1:5">
      <c r="A605" s="220" t="s">
        <v>2312</v>
      </c>
      <c r="B605" s="220">
        <v>2188380</v>
      </c>
      <c r="C605" s="221" t="s">
        <v>1176</v>
      </c>
      <c r="D605">
        <v>4</v>
      </c>
      <c r="E605" s="377" t="s">
        <v>4190</v>
      </c>
    </row>
    <row r="606" spans="1:5">
      <c r="A606" s="345" t="s">
        <v>4109</v>
      </c>
      <c r="B606" s="345">
        <v>1984973</v>
      </c>
      <c r="D606">
        <v>1</v>
      </c>
      <c r="E606" s="33" t="s">
        <v>4191</v>
      </c>
    </row>
    <row r="607" spans="1:5">
      <c r="A607" s="345" t="s">
        <v>4109</v>
      </c>
      <c r="B607" s="345">
        <v>2100868</v>
      </c>
      <c r="D607">
        <v>2</v>
      </c>
      <c r="E607" s="33" t="s">
        <v>1781</v>
      </c>
    </row>
  </sheetData>
  <sheetCalcPr fullCalcOnLoad="1"/>
  <sortState ref="G419:H472">
    <sortCondition ref="G419:G472"/>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C2161"/>
  <sheetViews>
    <sheetView workbookViewId="0">
      <selection activeCell="F12" sqref="F12"/>
    </sheetView>
  </sheetViews>
  <sheetFormatPr baseColWidth="10" defaultRowHeight="13"/>
  <cols>
    <col min="1" max="1" width="10.7109375" style="360"/>
    <col min="2" max="3" width="10.7109375" style="63"/>
  </cols>
  <sheetData>
    <row r="1" spans="1:3">
      <c r="A1" s="353" t="s">
        <v>4101</v>
      </c>
      <c r="B1" s="346" t="s">
        <v>4019</v>
      </c>
      <c r="C1" s="346" t="s">
        <v>47</v>
      </c>
    </row>
    <row r="2" spans="1:3">
      <c r="A2" s="354" t="s">
        <v>2807</v>
      </c>
      <c r="B2" s="349">
        <v>1819881</v>
      </c>
      <c r="C2" s="347" t="s">
        <v>48</v>
      </c>
    </row>
    <row r="3" spans="1:3">
      <c r="A3" s="354" t="s">
        <v>2807</v>
      </c>
      <c r="B3" s="349">
        <v>1819882</v>
      </c>
      <c r="C3" s="347" t="s">
        <v>48</v>
      </c>
    </row>
    <row r="4" spans="1:3">
      <c r="A4" s="354" t="s">
        <v>2807</v>
      </c>
      <c r="B4" s="349">
        <v>1822737</v>
      </c>
      <c r="C4" s="347" t="s">
        <v>48</v>
      </c>
    </row>
    <row r="5" spans="1:3">
      <c r="A5" s="354" t="s">
        <v>2807</v>
      </c>
      <c r="B5" s="349">
        <v>1822738</v>
      </c>
      <c r="C5" s="347" t="s">
        <v>48</v>
      </c>
    </row>
    <row r="6" spans="1:3">
      <c r="A6" s="354" t="s">
        <v>2807</v>
      </c>
      <c r="B6" s="349">
        <v>1823731</v>
      </c>
      <c r="C6" s="347" t="s">
        <v>48</v>
      </c>
    </row>
    <row r="7" spans="1:3">
      <c r="A7" s="354" t="s">
        <v>2807</v>
      </c>
      <c r="B7" s="349">
        <v>1830533</v>
      </c>
      <c r="C7" s="347" t="s">
        <v>48</v>
      </c>
    </row>
    <row r="8" spans="1:3">
      <c r="A8" s="354" t="s">
        <v>2807</v>
      </c>
      <c r="B8" s="349">
        <v>1833798</v>
      </c>
      <c r="C8" s="347" t="s">
        <v>48</v>
      </c>
    </row>
    <row r="9" spans="1:3">
      <c r="A9" s="354" t="s">
        <v>2807</v>
      </c>
      <c r="B9" s="349">
        <v>1834864</v>
      </c>
      <c r="C9" s="347" t="s">
        <v>48</v>
      </c>
    </row>
    <row r="10" spans="1:3">
      <c r="A10" s="354" t="s">
        <v>2807</v>
      </c>
      <c r="B10" s="349">
        <v>1835922</v>
      </c>
      <c r="C10" s="347" t="s">
        <v>48</v>
      </c>
    </row>
    <row r="11" spans="1:3">
      <c r="A11" s="354" t="s">
        <v>2807</v>
      </c>
      <c r="B11" s="349">
        <v>1836570</v>
      </c>
      <c r="C11" s="347" t="s">
        <v>48</v>
      </c>
    </row>
    <row r="12" spans="1:3">
      <c r="A12" s="354" t="s">
        <v>2807</v>
      </c>
      <c r="B12" s="349">
        <v>1837375</v>
      </c>
      <c r="C12" s="347" t="s">
        <v>48</v>
      </c>
    </row>
    <row r="13" spans="1:3">
      <c r="A13" s="354" t="s">
        <v>2807</v>
      </c>
      <c r="B13" s="349">
        <v>1853882</v>
      </c>
      <c r="C13" s="347" t="s">
        <v>48</v>
      </c>
    </row>
    <row r="14" spans="1:3">
      <c r="A14" s="354" t="s">
        <v>2807</v>
      </c>
      <c r="B14" s="349">
        <v>1853883</v>
      </c>
      <c r="C14" s="347" t="s">
        <v>48</v>
      </c>
    </row>
    <row r="15" spans="1:3">
      <c r="A15" s="354" t="s">
        <v>2807</v>
      </c>
      <c r="B15" s="349">
        <v>1868962</v>
      </c>
      <c r="C15" s="347" t="s">
        <v>48</v>
      </c>
    </row>
    <row r="16" spans="1:3">
      <c r="A16" s="354" t="s">
        <v>2807</v>
      </c>
      <c r="B16" s="349">
        <v>1869308</v>
      </c>
      <c r="C16" s="347" t="s">
        <v>48</v>
      </c>
    </row>
    <row r="17" spans="1:3">
      <c r="A17" s="355" t="s">
        <v>2807</v>
      </c>
      <c r="B17" s="350">
        <v>1872818</v>
      </c>
      <c r="C17" s="348" t="s">
        <v>48</v>
      </c>
    </row>
    <row r="18" spans="1:3">
      <c r="A18" s="354" t="s">
        <v>2807</v>
      </c>
      <c r="B18" s="349">
        <v>1874235</v>
      </c>
      <c r="C18" s="347" t="s">
        <v>48</v>
      </c>
    </row>
    <row r="19" spans="1:3">
      <c r="A19" s="354" t="s">
        <v>2807</v>
      </c>
      <c r="B19" s="349">
        <v>1875732</v>
      </c>
      <c r="C19" s="347" t="s">
        <v>48</v>
      </c>
    </row>
    <row r="20" spans="1:3">
      <c r="A20" s="354" t="s">
        <v>2807</v>
      </c>
      <c r="B20" s="349">
        <v>1878094</v>
      </c>
      <c r="C20" s="347" t="s">
        <v>48</v>
      </c>
    </row>
    <row r="21" spans="1:3">
      <c r="A21" s="354" t="s">
        <v>2807</v>
      </c>
      <c r="B21" s="349">
        <v>1878169</v>
      </c>
      <c r="C21" s="347" t="s">
        <v>48</v>
      </c>
    </row>
    <row r="22" spans="1:3">
      <c r="A22" s="355" t="s">
        <v>2807</v>
      </c>
      <c r="B22" s="350">
        <v>1879867</v>
      </c>
      <c r="C22" s="348" t="s">
        <v>48</v>
      </c>
    </row>
    <row r="23" spans="1:3">
      <c r="A23" s="354" t="s">
        <v>2807</v>
      </c>
      <c r="B23" s="349">
        <v>1883648</v>
      </c>
      <c r="C23" s="347" t="s">
        <v>48</v>
      </c>
    </row>
    <row r="24" spans="1:3">
      <c r="A24" s="354" t="s">
        <v>2807</v>
      </c>
      <c r="B24" s="349">
        <v>1884311</v>
      </c>
      <c r="C24" s="347" t="s">
        <v>48</v>
      </c>
    </row>
    <row r="25" spans="1:3">
      <c r="A25" s="355" t="s">
        <v>2807</v>
      </c>
      <c r="B25" s="350">
        <v>1885045</v>
      </c>
      <c r="C25" s="348" t="s">
        <v>48</v>
      </c>
    </row>
    <row r="26" spans="1:3">
      <c r="A26" s="355" t="s">
        <v>2807</v>
      </c>
      <c r="B26" s="350">
        <v>1886786</v>
      </c>
      <c r="C26" s="348" t="s">
        <v>48</v>
      </c>
    </row>
    <row r="27" spans="1:3">
      <c r="A27" s="354" t="s">
        <v>2807</v>
      </c>
      <c r="B27" s="349">
        <v>1888075</v>
      </c>
      <c r="C27" s="347" t="s">
        <v>48</v>
      </c>
    </row>
    <row r="28" spans="1:3">
      <c r="A28" s="354" t="s">
        <v>2807</v>
      </c>
      <c r="B28" s="349">
        <v>1892551</v>
      </c>
      <c r="C28" s="347" t="s">
        <v>48</v>
      </c>
    </row>
    <row r="29" spans="1:3">
      <c r="A29" s="354" t="s">
        <v>2807</v>
      </c>
      <c r="B29" s="349">
        <v>1892663</v>
      </c>
      <c r="C29" s="347" t="s">
        <v>48</v>
      </c>
    </row>
    <row r="30" spans="1:3">
      <c r="A30" s="355" t="s">
        <v>2807</v>
      </c>
      <c r="B30" s="350">
        <v>1893376</v>
      </c>
      <c r="C30" s="348" t="s">
        <v>48</v>
      </c>
    </row>
    <row r="31" spans="1:3">
      <c r="A31" s="354" t="s">
        <v>2807</v>
      </c>
      <c r="B31" s="349">
        <v>1895396</v>
      </c>
      <c r="C31" s="347" t="s">
        <v>48</v>
      </c>
    </row>
    <row r="32" spans="1:3">
      <c r="A32" s="354" t="s">
        <v>2807</v>
      </c>
      <c r="B32" s="349">
        <v>1895982</v>
      </c>
      <c r="C32" s="347" t="s">
        <v>48</v>
      </c>
    </row>
    <row r="33" spans="1:3">
      <c r="A33" s="354" t="s">
        <v>2807</v>
      </c>
      <c r="B33" s="349">
        <v>1895983</v>
      </c>
      <c r="C33" s="347" t="s">
        <v>48</v>
      </c>
    </row>
    <row r="34" spans="1:3">
      <c r="A34" s="354" t="s">
        <v>2807</v>
      </c>
      <c r="B34" s="349">
        <v>1896841</v>
      </c>
      <c r="C34" s="347" t="s">
        <v>48</v>
      </c>
    </row>
    <row r="35" spans="1:3">
      <c r="A35" s="354" t="s">
        <v>2807</v>
      </c>
      <c r="B35" s="349">
        <v>1899591</v>
      </c>
      <c r="C35" s="347" t="s">
        <v>48</v>
      </c>
    </row>
    <row r="36" spans="1:3">
      <c r="A36" s="354" t="s">
        <v>2807</v>
      </c>
      <c r="B36" s="349">
        <v>1900600</v>
      </c>
      <c r="C36" s="347" t="s">
        <v>48</v>
      </c>
    </row>
    <row r="37" spans="1:3">
      <c r="A37" s="354" t="s">
        <v>2807</v>
      </c>
      <c r="B37" s="349">
        <v>1902487</v>
      </c>
      <c r="C37" s="347" t="s">
        <v>48</v>
      </c>
    </row>
    <row r="38" spans="1:3">
      <c r="A38" s="355" t="s">
        <v>2807</v>
      </c>
      <c r="B38" s="350">
        <v>1904423</v>
      </c>
      <c r="C38" s="348" t="s">
        <v>48</v>
      </c>
    </row>
    <row r="39" spans="1:3">
      <c r="A39" s="354" t="s">
        <v>2807</v>
      </c>
      <c r="B39" s="349">
        <v>1905691</v>
      </c>
      <c r="C39" s="347" t="s">
        <v>48</v>
      </c>
    </row>
    <row r="40" spans="1:3">
      <c r="A40" s="355" t="s">
        <v>2807</v>
      </c>
      <c r="B40" s="350">
        <v>1906600</v>
      </c>
      <c r="C40" s="348" t="s">
        <v>48</v>
      </c>
    </row>
    <row r="41" spans="1:3">
      <c r="A41" s="354" t="s">
        <v>2807</v>
      </c>
      <c r="B41" s="349">
        <v>1906636</v>
      </c>
      <c r="C41" s="347" t="s">
        <v>48</v>
      </c>
    </row>
    <row r="42" spans="1:3">
      <c r="A42" s="355" t="s">
        <v>2807</v>
      </c>
      <c r="B42" s="350">
        <v>1917129</v>
      </c>
      <c r="C42" s="348" t="s">
        <v>48</v>
      </c>
    </row>
    <row r="43" spans="1:3">
      <c r="A43" s="355" t="s">
        <v>2807</v>
      </c>
      <c r="B43" s="350">
        <v>1919935</v>
      </c>
      <c r="C43" s="348" t="s">
        <v>48</v>
      </c>
    </row>
    <row r="44" spans="1:3">
      <c r="A44" s="354" t="s">
        <v>2807</v>
      </c>
      <c r="B44" s="349">
        <v>1920903</v>
      </c>
      <c r="C44" s="347" t="s">
        <v>48</v>
      </c>
    </row>
    <row r="45" spans="1:3">
      <c r="A45" s="355" t="s">
        <v>2807</v>
      </c>
      <c r="B45" s="350">
        <v>1926666</v>
      </c>
      <c r="C45" s="348" t="s">
        <v>48</v>
      </c>
    </row>
    <row r="46" spans="1:3">
      <c r="A46" s="354" t="s">
        <v>2807</v>
      </c>
      <c r="B46" s="349">
        <v>1929509</v>
      </c>
      <c r="C46" s="347" t="s">
        <v>48</v>
      </c>
    </row>
    <row r="47" spans="1:3">
      <c r="A47" s="355" t="s">
        <v>2807</v>
      </c>
      <c r="B47" s="350">
        <v>1931373</v>
      </c>
      <c r="C47" s="348" t="s">
        <v>48</v>
      </c>
    </row>
    <row r="48" spans="1:3">
      <c r="A48" s="355" t="s">
        <v>2807</v>
      </c>
      <c r="B48" s="350">
        <v>1931455</v>
      </c>
      <c r="C48" s="348" t="s">
        <v>48</v>
      </c>
    </row>
    <row r="49" spans="1:3">
      <c r="A49" s="354" t="s">
        <v>2807</v>
      </c>
      <c r="B49" s="349">
        <v>1931592</v>
      </c>
      <c r="C49" s="347" t="s">
        <v>48</v>
      </c>
    </row>
    <row r="50" spans="1:3">
      <c r="A50" s="355" t="s">
        <v>2807</v>
      </c>
      <c r="B50" s="350">
        <v>1933008</v>
      </c>
      <c r="C50" s="348" t="s">
        <v>48</v>
      </c>
    </row>
    <row r="51" spans="1:3">
      <c r="A51" s="355" t="s">
        <v>2807</v>
      </c>
      <c r="B51" s="350">
        <v>1933112</v>
      </c>
      <c r="C51" s="348" t="s">
        <v>48</v>
      </c>
    </row>
    <row r="52" spans="1:3">
      <c r="A52" s="354" t="s">
        <v>2807</v>
      </c>
      <c r="B52" s="349">
        <v>1933312</v>
      </c>
      <c r="C52" s="347" t="s">
        <v>48</v>
      </c>
    </row>
    <row r="53" spans="1:3">
      <c r="A53" s="354" t="s">
        <v>2807</v>
      </c>
      <c r="B53" s="349">
        <v>1933313</v>
      </c>
      <c r="C53" s="347" t="s">
        <v>48</v>
      </c>
    </row>
    <row r="54" spans="1:3">
      <c r="A54" s="354" t="s">
        <v>2807</v>
      </c>
      <c r="B54" s="349">
        <v>1933347</v>
      </c>
      <c r="C54" s="347" t="s">
        <v>48</v>
      </c>
    </row>
    <row r="55" spans="1:3">
      <c r="A55" s="354" t="s">
        <v>2807</v>
      </c>
      <c r="B55" s="349">
        <v>1933348</v>
      </c>
      <c r="C55" s="347" t="s">
        <v>48</v>
      </c>
    </row>
    <row r="56" spans="1:3">
      <c r="A56" s="355" t="s">
        <v>2807</v>
      </c>
      <c r="B56" s="350">
        <v>1935595</v>
      </c>
      <c r="C56" s="348" t="s">
        <v>48</v>
      </c>
    </row>
    <row r="57" spans="1:3">
      <c r="A57" s="355" t="s">
        <v>2807</v>
      </c>
      <c r="B57" s="350">
        <v>1936470</v>
      </c>
      <c r="C57" s="348" t="s">
        <v>48</v>
      </c>
    </row>
    <row r="58" spans="1:3">
      <c r="A58" s="355" t="s">
        <v>2807</v>
      </c>
      <c r="B58" s="350">
        <v>1941614</v>
      </c>
      <c r="C58" s="348" t="s">
        <v>48</v>
      </c>
    </row>
    <row r="59" spans="1:3">
      <c r="A59" s="355" t="s">
        <v>2807</v>
      </c>
      <c r="B59" s="350">
        <v>1943086</v>
      </c>
      <c r="C59" s="348" t="s">
        <v>48</v>
      </c>
    </row>
    <row r="60" spans="1:3">
      <c r="A60" s="355" t="s">
        <v>2807</v>
      </c>
      <c r="B60" s="350">
        <v>1943087</v>
      </c>
      <c r="C60" s="348" t="s">
        <v>48</v>
      </c>
    </row>
    <row r="61" spans="1:3">
      <c r="A61" s="355" t="s">
        <v>2807</v>
      </c>
      <c r="B61" s="350">
        <v>1944003</v>
      </c>
      <c r="C61" s="348" t="s">
        <v>48</v>
      </c>
    </row>
    <row r="62" spans="1:3">
      <c r="A62" s="355" t="s">
        <v>2807</v>
      </c>
      <c r="B62" s="350">
        <v>1944004</v>
      </c>
      <c r="C62" s="348" t="s">
        <v>48</v>
      </c>
    </row>
    <row r="63" spans="1:3">
      <c r="A63" s="355" t="s">
        <v>2807</v>
      </c>
      <c r="B63" s="350">
        <v>1944005</v>
      </c>
      <c r="C63" s="348" t="s">
        <v>48</v>
      </c>
    </row>
    <row r="64" spans="1:3">
      <c r="A64" s="355" t="s">
        <v>2807</v>
      </c>
      <c r="B64" s="350">
        <v>1944637</v>
      </c>
      <c r="C64" s="348" t="s">
        <v>48</v>
      </c>
    </row>
    <row r="65" spans="1:3">
      <c r="A65" s="355" t="s">
        <v>2807</v>
      </c>
      <c r="B65" s="350">
        <v>1944730</v>
      </c>
      <c r="C65" s="348" t="s">
        <v>48</v>
      </c>
    </row>
    <row r="66" spans="1:3">
      <c r="A66" s="355" t="s">
        <v>2807</v>
      </c>
      <c r="B66" s="350">
        <v>1947454</v>
      </c>
      <c r="C66" s="348" t="s">
        <v>48</v>
      </c>
    </row>
    <row r="67" spans="1:3">
      <c r="A67" s="355" t="s">
        <v>2807</v>
      </c>
      <c r="B67" s="350">
        <v>1947455</v>
      </c>
      <c r="C67" s="348" t="s">
        <v>48</v>
      </c>
    </row>
    <row r="68" spans="1:3">
      <c r="A68" s="355" t="s">
        <v>2807</v>
      </c>
      <c r="B68" s="350">
        <v>1947481</v>
      </c>
      <c r="C68" s="348" t="s">
        <v>48</v>
      </c>
    </row>
    <row r="69" spans="1:3">
      <c r="A69" s="354" t="s">
        <v>2807</v>
      </c>
      <c r="B69" s="349">
        <v>1947929</v>
      </c>
      <c r="C69" s="347" t="s">
        <v>48</v>
      </c>
    </row>
    <row r="70" spans="1:3">
      <c r="A70" s="354" t="s">
        <v>2807</v>
      </c>
      <c r="B70" s="349">
        <v>1948964</v>
      </c>
      <c r="C70" s="347" t="s">
        <v>48</v>
      </c>
    </row>
    <row r="71" spans="1:3">
      <c r="A71" s="355" t="s">
        <v>2807</v>
      </c>
      <c r="B71" s="350">
        <v>1950182</v>
      </c>
      <c r="C71" s="348" t="s">
        <v>48</v>
      </c>
    </row>
    <row r="72" spans="1:3">
      <c r="A72" s="354" t="s">
        <v>2807</v>
      </c>
      <c r="B72" s="349">
        <v>1950608</v>
      </c>
      <c r="C72" s="347" t="s">
        <v>48</v>
      </c>
    </row>
    <row r="73" spans="1:3">
      <c r="A73" s="355" t="s">
        <v>2807</v>
      </c>
      <c r="B73" s="350">
        <v>1952097</v>
      </c>
      <c r="C73" s="348" t="s">
        <v>48</v>
      </c>
    </row>
    <row r="74" spans="1:3">
      <c r="A74" s="355" t="s">
        <v>2807</v>
      </c>
      <c r="B74" s="350">
        <v>1956723</v>
      </c>
      <c r="C74" s="348" t="s">
        <v>48</v>
      </c>
    </row>
    <row r="75" spans="1:3">
      <c r="A75" s="354" t="s">
        <v>2807</v>
      </c>
      <c r="B75" s="349">
        <v>1957995</v>
      </c>
      <c r="C75" s="347" t="s">
        <v>48</v>
      </c>
    </row>
    <row r="76" spans="1:3">
      <c r="A76" s="355" t="s">
        <v>2807</v>
      </c>
      <c r="B76" s="350">
        <v>1958984</v>
      </c>
      <c r="C76" s="348" t="s">
        <v>48</v>
      </c>
    </row>
    <row r="77" spans="1:3">
      <c r="A77" s="355" t="s">
        <v>2807</v>
      </c>
      <c r="B77" s="350">
        <v>1959338</v>
      </c>
      <c r="C77" s="348" t="s">
        <v>48</v>
      </c>
    </row>
    <row r="78" spans="1:3">
      <c r="A78" s="355" t="s">
        <v>2807</v>
      </c>
      <c r="B78" s="350">
        <v>1959339</v>
      </c>
      <c r="C78" s="348" t="s">
        <v>48</v>
      </c>
    </row>
    <row r="79" spans="1:3">
      <c r="A79" s="355" t="s">
        <v>2807</v>
      </c>
      <c r="B79" s="350">
        <v>1959354</v>
      </c>
      <c r="C79" s="348" t="s">
        <v>48</v>
      </c>
    </row>
    <row r="80" spans="1:3">
      <c r="A80" s="354" t="s">
        <v>2807</v>
      </c>
      <c r="B80" s="349">
        <v>1959526</v>
      </c>
      <c r="C80" s="347" t="s">
        <v>48</v>
      </c>
    </row>
    <row r="81" spans="1:3">
      <c r="A81" s="354" t="s">
        <v>2807</v>
      </c>
      <c r="B81" s="349">
        <v>1962059</v>
      </c>
      <c r="C81" s="347" t="s">
        <v>48</v>
      </c>
    </row>
    <row r="82" spans="1:3">
      <c r="A82" s="355" t="s">
        <v>2807</v>
      </c>
      <c r="B82" s="350">
        <v>1964684</v>
      </c>
      <c r="C82" s="348" t="s">
        <v>48</v>
      </c>
    </row>
    <row r="83" spans="1:3">
      <c r="A83" s="354" t="s">
        <v>2807</v>
      </c>
      <c r="B83" s="349">
        <v>1964907</v>
      </c>
      <c r="C83" s="347" t="s">
        <v>48</v>
      </c>
    </row>
    <row r="84" spans="1:3">
      <c r="A84" s="354" t="s">
        <v>2807</v>
      </c>
      <c r="B84" s="349">
        <v>1965540</v>
      </c>
      <c r="C84" s="347" t="s">
        <v>48</v>
      </c>
    </row>
    <row r="85" spans="1:3">
      <c r="A85" s="355" t="s">
        <v>2807</v>
      </c>
      <c r="B85" s="350">
        <v>1968019</v>
      </c>
      <c r="C85" s="348" t="s">
        <v>48</v>
      </c>
    </row>
    <row r="86" spans="1:3">
      <c r="A86" s="355" t="s">
        <v>2807</v>
      </c>
      <c r="B86" s="350">
        <v>1969720</v>
      </c>
      <c r="C86" s="348" t="s">
        <v>48</v>
      </c>
    </row>
    <row r="87" spans="1:3">
      <c r="A87" s="355" t="s">
        <v>2807</v>
      </c>
      <c r="B87" s="350">
        <v>1969721</v>
      </c>
      <c r="C87" s="348" t="s">
        <v>48</v>
      </c>
    </row>
    <row r="88" spans="1:3">
      <c r="A88" s="355" t="s">
        <v>2807</v>
      </c>
      <c r="B88" s="350">
        <v>1969722</v>
      </c>
      <c r="C88" s="348" t="s">
        <v>48</v>
      </c>
    </row>
    <row r="89" spans="1:3">
      <c r="A89" s="355" t="s">
        <v>2807</v>
      </c>
      <c r="B89" s="350">
        <v>1969764</v>
      </c>
      <c r="C89" s="348" t="s">
        <v>48</v>
      </c>
    </row>
    <row r="90" spans="1:3">
      <c r="A90" s="354" t="s">
        <v>2807</v>
      </c>
      <c r="B90" s="349">
        <v>1970393</v>
      </c>
      <c r="C90" s="347" t="s">
        <v>48</v>
      </c>
    </row>
    <row r="91" spans="1:3">
      <c r="A91" s="354" t="s">
        <v>2807</v>
      </c>
      <c r="B91" s="349">
        <v>1971626</v>
      </c>
      <c r="C91" s="347" t="s">
        <v>48</v>
      </c>
    </row>
    <row r="92" spans="1:3">
      <c r="A92" s="355" t="s">
        <v>2807</v>
      </c>
      <c r="B92" s="350">
        <v>1973068</v>
      </c>
      <c r="C92" s="348" t="s">
        <v>48</v>
      </c>
    </row>
    <row r="93" spans="1:3">
      <c r="A93" s="355" t="s">
        <v>2807</v>
      </c>
      <c r="B93" s="350">
        <v>1973111</v>
      </c>
      <c r="C93" s="348" t="s">
        <v>48</v>
      </c>
    </row>
    <row r="94" spans="1:3">
      <c r="A94" s="355" t="s">
        <v>2807</v>
      </c>
      <c r="B94" s="350">
        <v>1975075</v>
      </c>
      <c r="C94" s="348" t="s">
        <v>48</v>
      </c>
    </row>
    <row r="95" spans="1:3">
      <c r="A95" s="355" t="s">
        <v>2807</v>
      </c>
      <c r="B95" s="350">
        <v>1977325</v>
      </c>
      <c r="C95" s="348" t="s">
        <v>48</v>
      </c>
    </row>
    <row r="96" spans="1:3">
      <c r="A96" s="354" t="s">
        <v>2807</v>
      </c>
      <c r="B96" s="349">
        <v>1978233</v>
      </c>
      <c r="C96" s="347" t="s">
        <v>48</v>
      </c>
    </row>
    <row r="97" spans="1:3">
      <c r="A97" s="355" t="s">
        <v>2807</v>
      </c>
      <c r="B97" s="350">
        <v>1979148</v>
      </c>
      <c r="C97" s="348" t="s">
        <v>48</v>
      </c>
    </row>
    <row r="98" spans="1:3">
      <c r="A98" s="354" t="s">
        <v>2807</v>
      </c>
      <c r="B98" s="349">
        <v>1979149</v>
      </c>
      <c r="C98" s="347" t="s">
        <v>48</v>
      </c>
    </row>
    <row r="99" spans="1:3">
      <c r="A99" s="355" t="s">
        <v>2807</v>
      </c>
      <c r="B99" s="350">
        <v>1979150</v>
      </c>
      <c r="C99" s="348" t="s">
        <v>48</v>
      </c>
    </row>
    <row r="100" spans="1:3">
      <c r="A100" s="355" t="s">
        <v>2807</v>
      </c>
      <c r="B100" s="350">
        <v>1980370</v>
      </c>
      <c r="C100" s="348" t="s">
        <v>48</v>
      </c>
    </row>
    <row r="101" spans="1:3">
      <c r="A101" s="355" t="s">
        <v>2807</v>
      </c>
      <c r="B101" s="350">
        <v>1980388</v>
      </c>
      <c r="C101" s="348" t="s">
        <v>48</v>
      </c>
    </row>
    <row r="102" spans="1:3">
      <c r="A102" s="354" t="s">
        <v>2807</v>
      </c>
      <c r="B102" s="349">
        <v>1981535</v>
      </c>
      <c r="C102" s="347" t="s">
        <v>48</v>
      </c>
    </row>
    <row r="103" spans="1:3">
      <c r="A103" s="355" t="s">
        <v>2807</v>
      </c>
      <c r="B103" s="350">
        <v>1981536</v>
      </c>
      <c r="C103" s="348" t="s">
        <v>48</v>
      </c>
    </row>
    <row r="104" spans="1:3">
      <c r="A104" s="355" t="s">
        <v>2807</v>
      </c>
      <c r="B104" s="350">
        <v>1986789</v>
      </c>
      <c r="C104" s="348" t="s">
        <v>48</v>
      </c>
    </row>
    <row r="105" spans="1:3">
      <c r="A105" s="355" t="s">
        <v>2807</v>
      </c>
      <c r="B105" s="350">
        <v>1986842</v>
      </c>
      <c r="C105" s="348" t="s">
        <v>48</v>
      </c>
    </row>
    <row r="106" spans="1:3">
      <c r="A106" s="355" t="s">
        <v>2807</v>
      </c>
      <c r="B106" s="350">
        <v>1986843</v>
      </c>
      <c r="C106" s="348" t="s">
        <v>48</v>
      </c>
    </row>
    <row r="107" spans="1:3">
      <c r="A107" s="355" t="s">
        <v>2807</v>
      </c>
      <c r="B107" s="350">
        <v>1986844</v>
      </c>
      <c r="C107" s="348" t="s">
        <v>48</v>
      </c>
    </row>
    <row r="108" spans="1:3">
      <c r="A108" s="355" t="s">
        <v>2807</v>
      </c>
      <c r="B108" s="350">
        <v>1988279</v>
      </c>
      <c r="C108" s="348" t="s">
        <v>48</v>
      </c>
    </row>
    <row r="109" spans="1:3">
      <c r="A109" s="355" t="s">
        <v>2807</v>
      </c>
      <c r="B109" s="350">
        <v>1991230</v>
      </c>
      <c r="C109" s="348" t="s">
        <v>48</v>
      </c>
    </row>
    <row r="110" spans="1:3">
      <c r="A110" s="355" t="s">
        <v>2807</v>
      </c>
      <c r="B110" s="350">
        <v>1991368</v>
      </c>
      <c r="C110" s="348" t="s">
        <v>48</v>
      </c>
    </row>
    <row r="111" spans="1:3">
      <c r="A111" s="355" t="s">
        <v>2807</v>
      </c>
      <c r="B111" s="350">
        <v>1995884</v>
      </c>
      <c r="C111" s="348" t="s">
        <v>48</v>
      </c>
    </row>
    <row r="112" spans="1:3">
      <c r="A112" s="355" t="s">
        <v>2807</v>
      </c>
      <c r="B112" s="350">
        <v>1999004</v>
      </c>
      <c r="C112" s="348" t="s">
        <v>48</v>
      </c>
    </row>
    <row r="113" spans="1:3">
      <c r="A113" s="355" t="s">
        <v>2807</v>
      </c>
      <c r="B113" s="350">
        <v>1999354</v>
      </c>
      <c r="C113" s="348" t="s">
        <v>48</v>
      </c>
    </row>
    <row r="114" spans="1:3">
      <c r="A114" s="355" t="s">
        <v>2807</v>
      </c>
      <c r="B114" s="350">
        <v>1999701</v>
      </c>
      <c r="C114" s="348" t="s">
        <v>4020</v>
      </c>
    </row>
    <row r="115" spans="1:3">
      <c r="A115" s="355" t="s">
        <v>2807</v>
      </c>
      <c r="B115" s="350">
        <v>2000747</v>
      </c>
      <c r="C115" s="348" t="s">
        <v>48</v>
      </c>
    </row>
    <row r="116" spans="1:3">
      <c r="A116" s="354" t="s">
        <v>2807</v>
      </c>
      <c r="B116" s="349">
        <v>2004769</v>
      </c>
      <c r="C116" s="347" t="s">
        <v>48</v>
      </c>
    </row>
    <row r="117" spans="1:3">
      <c r="A117" s="355" t="s">
        <v>2807</v>
      </c>
      <c r="B117" s="350">
        <v>2006236</v>
      </c>
      <c r="C117" s="348" t="s">
        <v>48</v>
      </c>
    </row>
    <row r="118" spans="1:3">
      <c r="A118" s="355" t="s">
        <v>2807</v>
      </c>
      <c r="B118" s="350">
        <v>2009820</v>
      </c>
      <c r="C118" s="348" t="s">
        <v>48</v>
      </c>
    </row>
    <row r="119" spans="1:3">
      <c r="A119" s="354" t="s">
        <v>2807</v>
      </c>
      <c r="B119" s="349">
        <v>2010530</v>
      </c>
      <c r="C119" s="347" t="s">
        <v>48</v>
      </c>
    </row>
    <row r="120" spans="1:3">
      <c r="A120" s="355" t="s">
        <v>2807</v>
      </c>
      <c r="B120" s="350">
        <v>2011389</v>
      </c>
      <c r="C120" s="348" t="s">
        <v>48</v>
      </c>
    </row>
    <row r="121" spans="1:3">
      <c r="A121" s="355" t="s">
        <v>2807</v>
      </c>
      <c r="B121" s="350">
        <v>2013537</v>
      </c>
      <c r="C121" s="348" t="s">
        <v>48</v>
      </c>
    </row>
    <row r="122" spans="1:3">
      <c r="A122" s="355" t="s">
        <v>2807</v>
      </c>
      <c r="B122" s="350">
        <v>2015063</v>
      </c>
      <c r="C122" s="348" t="s">
        <v>48</v>
      </c>
    </row>
    <row r="123" spans="1:3">
      <c r="A123" s="355" t="s">
        <v>2807</v>
      </c>
      <c r="B123" s="350">
        <v>2015542</v>
      </c>
      <c r="C123" s="348" t="s">
        <v>48</v>
      </c>
    </row>
    <row r="124" spans="1:3">
      <c r="A124" s="354" t="s">
        <v>2807</v>
      </c>
      <c r="B124" s="349">
        <v>2016004</v>
      </c>
      <c r="C124" s="347" t="s">
        <v>48</v>
      </c>
    </row>
    <row r="125" spans="1:3">
      <c r="A125" s="354" t="s">
        <v>2807</v>
      </c>
      <c r="B125" s="349">
        <v>2016247</v>
      </c>
      <c r="C125" s="347" t="s">
        <v>48</v>
      </c>
    </row>
    <row r="126" spans="1:3">
      <c r="A126" s="355" t="s">
        <v>2807</v>
      </c>
      <c r="B126" s="350">
        <v>2019297</v>
      </c>
      <c r="C126" s="348" t="s">
        <v>48</v>
      </c>
    </row>
    <row r="127" spans="1:3">
      <c r="A127" s="355" t="s">
        <v>2807</v>
      </c>
      <c r="B127" s="350">
        <v>2019338</v>
      </c>
      <c r="C127" s="348" t="s">
        <v>48</v>
      </c>
    </row>
    <row r="128" spans="1:3">
      <c r="A128" s="355" t="s">
        <v>2807</v>
      </c>
      <c r="B128" s="350">
        <v>2019339</v>
      </c>
      <c r="C128" s="348" t="s">
        <v>48</v>
      </c>
    </row>
    <row r="129" spans="1:3">
      <c r="A129" s="355" t="s">
        <v>2807</v>
      </c>
      <c r="B129" s="350">
        <v>2019342</v>
      </c>
      <c r="C129" s="348" t="s">
        <v>48</v>
      </c>
    </row>
    <row r="130" spans="1:3">
      <c r="A130" s="354" t="s">
        <v>2807</v>
      </c>
      <c r="B130" s="349">
        <v>2025670</v>
      </c>
      <c r="C130" s="347" t="s">
        <v>48</v>
      </c>
    </row>
    <row r="131" spans="1:3">
      <c r="A131" s="355" t="s">
        <v>2807</v>
      </c>
      <c r="B131" s="350">
        <v>2026587</v>
      </c>
      <c r="C131" s="348" t="s">
        <v>48</v>
      </c>
    </row>
    <row r="132" spans="1:3">
      <c r="A132" s="355" t="s">
        <v>2807</v>
      </c>
      <c r="B132" s="350">
        <v>2029332</v>
      </c>
      <c r="C132" s="348" t="s">
        <v>48</v>
      </c>
    </row>
    <row r="133" spans="1:3">
      <c r="A133" s="355" t="s">
        <v>2807</v>
      </c>
      <c r="B133" s="350">
        <v>2030943</v>
      </c>
      <c r="C133" s="348" t="s">
        <v>48</v>
      </c>
    </row>
    <row r="134" spans="1:3">
      <c r="A134" s="355" t="s">
        <v>2807</v>
      </c>
      <c r="B134" s="350">
        <v>2031014</v>
      </c>
      <c r="C134" s="348" t="s">
        <v>48</v>
      </c>
    </row>
    <row r="135" spans="1:3">
      <c r="A135" s="355" t="s">
        <v>2807</v>
      </c>
      <c r="B135" s="350">
        <v>2038894</v>
      </c>
      <c r="C135" s="348" t="s">
        <v>48</v>
      </c>
    </row>
    <row r="136" spans="1:3">
      <c r="A136" s="355" t="s">
        <v>2807</v>
      </c>
      <c r="B136" s="350">
        <v>2039587</v>
      </c>
      <c r="C136" s="348" t="s">
        <v>48</v>
      </c>
    </row>
    <row r="137" spans="1:3">
      <c r="A137" s="355" t="s">
        <v>2807</v>
      </c>
      <c r="B137" s="350">
        <v>2040204</v>
      </c>
      <c r="C137" s="348" t="s">
        <v>48</v>
      </c>
    </row>
    <row r="138" spans="1:3">
      <c r="A138" s="355" t="s">
        <v>2807</v>
      </c>
      <c r="B138" s="350">
        <v>2042421</v>
      </c>
      <c r="C138" s="348" t="s">
        <v>48</v>
      </c>
    </row>
    <row r="139" spans="1:3">
      <c r="A139" s="355" t="s">
        <v>2807</v>
      </c>
      <c r="B139" s="350">
        <v>2043033</v>
      </c>
      <c r="C139" s="348" t="s">
        <v>48</v>
      </c>
    </row>
    <row r="140" spans="1:3">
      <c r="A140" s="355" t="s">
        <v>2807</v>
      </c>
      <c r="B140" s="350">
        <v>2043227</v>
      </c>
      <c r="C140" s="348" t="s">
        <v>48</v>
      </c>
    </row>
    <row r="141" spans="1:3">
      <c r="A141" s="355" t="s">
        <v>2807</v>
      </c>
      <c r="B141" s="350">
        <v>2046341</v>
      </c>
      <c r="C141" s="348" t="s">
        <v>48</v>
      </c>
    </row>
    <row r="142" spans="1:3">
      <c r="A142" s="355" t="s">
        <v>2807</v>
      </c>
      <c r="B142" s="350">
        <v>2046364</v>
      </c>
      <c r="C142" s="348" t="s">
        <v>48</v>
      </c>
    </row>
    <row r="143" spans="1:3">
      <c r="A143" s="354" t="s">
        <v>2807</v>
      </c>
      <c r="B143" s="349">
        <v>2048516</v>
      </c>
      <c r="C143" s="347" t="s">
        <v>48</v>
      </c>
    </row>
    <row r="144" spans="1:3">
      <c r="A144" s="355" t="s">
        <v>2807</v>
      </c>
      <c r="B144" s="350">
        <v>2049465</v>
      </c>
      <c r="C144" s="348" t="s">
        <v>48</v>
      </c>
    </row>
    <row r="145" spans="1:3">
      <c r="A145" s="354" t="s">
        <v>2807</v>
      </c>
      <c r="B145" s="349">
        <v>2049835</v>
      </c>
      <c r="C145" s="347" t="s">
        <v>48</v>
      </c>
    </row>
    <row r="146" spans="1:3">
      <c r="A146" s="355" t="s">
        <v>2807</v>
      </c>
      <c r="B146" s="350">
        <v>2050873</v>
      </c>
      <c r="C146" s="348" t="s">
        <v>48</v>
      </c>
    </row>
    <row r="147" spans="1:3">
      <c r="A147" s="355" t="s">
        <v>2807</v>
      </c>
      <c r="B147" s="350">
        <v>2050888</v>
      </c>
      <c r="C147" s="348" t="s">
        <v>48</v>
      </c>
    </row>
    <row r="148" spans="1:3">
      <c r="A148" s="354" t="s">
        <v>2807</v>
      </c>
      <c r="B148" s="349">
        <v>2050990</v>
      </c>
      <c r="C148" s="347" t="s">
        <v>48</v>
      </c>
    </row>
    <row r="149" spans="1:3">
      <c r="A149" s="354" t="s">
        <v>2807</v>
      </c>
      <c r="B149" s="349">
        <v>2050991</v>
      </c>
      <c r="C149" s="347" t="s">
        <v>48</v>
      </c>
    </row>
    <row r="150" spans="1:3">
      <c r="A150" s="355" t="s">
        <v>2807</v>
      </c>
      <c r="B150" s="350">
        <v>2052422</v>
      </c>
      <c r="C150" s="348" t="s">
        <v>48</v>
      </c>
    </row>
    <row r="151" spans="1:3">
      <c r="A151" s="354" t="s">
        <v>2807</v>
      </c>
      <c r="B151" s="349">
        <v>2053163</v>
      </c>
      <c r="C151" s="347" t="s">
        <v>48</v>
      </c>
    </row>
    <row r="152" spans="1:3">
      <c r="A152" s="355" t="s">
        <v>2807</v>
      </c>
      <c r="B152" s="350">
        <v>2056017</v>
      </c>
      <c r="C152" s="348" t="s">
        <v>48</v>
      </c>
    </row>
    <row r="153" spans="1:3">
      <c r="A153" s="355" t="s">
        <v>2807</v>
      </c>
      <c r="B153" s="350">
        <v>2057454</v>
      </c>
      <c r="C153" s="348" t="s">
        <v>48</v>
      </c>
    </row>
    <row r="154" spans="1:3">
      <c r="A154" s="355" t="s">
        <v>2807</v>
      </c>
      <c r="B154" s="350">
        <v>2060745</v>
      </c>
      <c r="C154" s="348" t="s">
        <v>48</v>
      </c>
    </row>
    <row r="155" spans="1:3">
      <c r="A155" s="355" t="s">
        <v>2807</v>
      </c>
      <c r="B155" s="350">
        <v>2062289</v>
      </c>
      <c r="C155" s="348" t="s">
        <v>48</v>
      </c>
    </row>
    <row r="156" spans="1:3">
      <c r="A156" s="355" t="s">
        <v>2807</v>
      </c>
      <c r="B156" s="350">
        <v>2064650</v>
      </c>
      <c r="C156" s="348" t="s">
        <v>48</v>
      </c>
    </row>
    <row r="157" spans="1:3">
      <c r="A157" s="355" t="s">
        <v>2807</v>
      </c>
      <c r="B157" s="350">
        <v>2066320</v>
      </c>
      <c r="C157" s="348" t="s">
        <v>48</v>
      </c>
    </row>
    <row r="158" spans="1:3">
      <c r="A158" s="355" t="s">
        <v>2807</v>
      </c>
      <c r="B158" s="350">
        <v>2066321</v>
      </c>
      <c r="C158" s="348" t="s">
        <v>48</v>
      </c>
    </row>
    <row r="159" spans="1:3">
      <c r="A159" s="355" t="s">
        <v>2807</v>
      </c>
      <c r="B159" s="350">
        <v>2066322</v>
      </c>
      <c r="C159" s="348" t="s">
        <v>48</v>
      </c>
    </row>
    <row r="160" spans="1:3">
      <c r="A160" s="355" t="s">
        <v>2807</v>
      </c>
      <c r="B160" s="350">
        <v>2066323</v>
      </c>
      <c r="C160" s="348" t="s">
        <v>48</v>
      </c>
    </row>
    <row r="161" spans="1:3">
      <c r="A161" s="355" t="s">
        <v>2807</v>
      </c>
      <c r="B161" s="350">
        <v>2067169</v>
      </c>
      <c r="C161" s="348" t="s">
        <v>48</v>
      </c>
    </row>
    <row r="162" spans="1:3">
      <c r="A162" s="354" t="s">
        <v>2807</v>
      </c>
      <c r="B162" s="349">
        <v>2068624</v>
      </c>
      <c r="C162" s="347" t="s">
        <v>48</v>
      </c>
    </row>
    <row r="163" spans="1:3">
      <c r="A163" s="355" t="s">
        <v>2807</v>
      </c>
      <c r="B163" s="350">
        <v>2070974</v>
      </c>
      <c r="C163" s="348" t="s">
        <v>48</v>
      </c>
    </row>
    <row r="164" spans="1:3">
      <c r="A164" s="354" t="s">
        <v>2807</v>
      </c>
      <c r="B164" s="349">
        <v>2071102</v>
      </c>
      <c r="C164" s="347" t="s">
        <v>48</v>
      </c>
    </row>
    <row r="165" spans="1:3">
      <c r="A165" s="355" t="s">
        <v>2807</v>
      </c>
      <c r="B165" s="350">
        <v>2072742</v>
      </c>
      <c r="C165" s="348" t="s">
        <v>48</v>
      </c>
    </row>
    <row r="166" spans="1:3">
      <c r="A166" s="355" t="s">
        <v>2807</v>
      </c>
      <c r="B166" s="350">
        <v>2075019</v>
      </c>
      <c r="C166" s="348" t="s">
        <v>48</v>
      </c>
    </row>
    <row r="167" spans="1:3">
      <c r="A167" s="355" t="s">
        <v>2807</v>
      </c>
      <c r="B167" s="350">
        <v>2080829</v>
      </c>
      <c r="C167" s="348" t="s">
        <v>48</v>
      </c>
    </row>
    <row r="168" spans="1:3">
      <c r="A168" s="355" t="s">
        <v>2807</v>
      </c>
      <c r="B168" s="350">
        <v>2081263</v>
      </c>
      <c r="C168" s="348" t="s">
        <v>48</v>
      </c>
    </row>
    <row r="169" spans="1:3">
      <c r="A169" s="354" t="s">
        <v>2807</v>
      </c>
      <c r="B169" s="349">
        <v>2081880</v>
      </c>
      <c r="C169" s="347" t="s">
        <v>48</v>
      </c>
    </row>
    <row r="170" spans="1:3">
      <c r="A170" s="355" t="s">
        <v>2807</v>
      </c>
      <c r="B170" s="350">
        <v>2082649</v>
      </c>
      <c r="C170" s="348" t="s">
        <v>48</v>
      </c>
    </row>
    <row r="171" spans="1:3">
      <c r="A171" s="354" t="s">
        <v>2807</v>
      </c>
      <c r="B171" s="349">
        <v>2089052</v>
      </c>
      <c r="C171" s="347" t="s">
        <v>48</v>
      </c>
    </row>
    <row r="172" spans="1:3">
      <c r="A172" s="355" t="s">
        <v>2807</v>
      </c>
      <c r="B172" s="350">
        <v>2092559</v>
      </c>
      <c r="C172" s="348" t="s">
        <v>48</v>
      </c>
    </row>
    <row r="173" spans="1:3">
      <c r="A173" s="355" t="s">
        <v>2807</v>
      </c>
      <c r="B173" s="350">
        <v>2092560</v>
      </c>
      <c r="C173" s="348" t="s">
        <v>48</v>
      </c>
    </row>
    <row r="174" spans="1:3">
      <c r="A174" s="355" t="s">
        <v>2807</v>
      </c>
      <c r="B174" s="350">
        <v>2093114</v>
      </c>
      <c r="C174" s="348" t="s">
        <v>48</v>
      </c>
    </row>
    <row r="175" spans="1:3">
      <c r="A175" s="354" t="s">
        <v>2807</v>
      </c>
      <c r="B175" s="349">
        <v>2093305</v>
      </c>
      <c r="C175" s="347" t="s">
        <v>48</v>
      </c>
    </row>
    <row r="176" spans="1:3">
      <c r="A176" s="355" t="s">
        <v>2807</v>
      </c>
      <c r="B176" s="350">
        <v>2098922</v>
      </c>
      <c r="C176" s="348" t="s">
        <v>48</v>
      </c>
    </row>
    <row r="177" spans="1:3">
      <c r="A177" s="355" t="s">
        <v>2807</v>
      </c>
      <c r="B177" s="350">
        <v>2099291</v>
      </c>
      <c r="C177" s="348" t="s">
        <v>48</v>
      </c>
    </row>
    <row r="178" spans="1:3">
      <c r="A178" s="355" t="s">
        <v>2807</v>
      </c>
      <c r="B178" s="350">
        <v>2105406</v>
      </c>
      <c r="C178" s="348" t="s">
        <v>48</v>
      </c>
    </row>
    <row r="179" spans="1:3">
      <c r="A179" s="355" t="s">
        <v>2807</v>
      </c>
      <c r="B179" s="350">
        <v>2112739</v>
      </c>
      <c r="C179" s="348" t="s">
        <v>48</v>
      </c>
    </row>
    <row r="180" spans="1:3">
      <c r="A180" s="355" t="s">
        <v>2807</v>
      </c>
      <c r="B180" s="350">
        <v>2112740</v>
      </c>
      <c r="C180" s="348" t="s">
        <v>48</v>
      </c>
    </row>
    <row r="181" spans="1:3">
      <c r="A181" s="355" t="s">
        <v>2807</v>
      </c>
      <c r="B181" s="350">
        <v>2115574</v>
      </c>
      <c r="C181" s="348" t="s">
        <v>48</v>
      </c>
    </row>
    <row r="182" spans="1:3">
      <c r="A182" s="355" t="s">
        <v>2807</v>
      </c>
      <c r="B182" s="350">
        <v>2118546</v>
      </c>
      <c r="C182" s="348" t="s">
        <v>48</v>
      </c>
    </row>
    <row r="183" spans="1:3">
      <c r="A183" s="355" t="s">
        <v>2807</v>
      </c>
      <c r="B183" s="350">
        <v>2120889</v>
      </c>
      <c r="C183" s="348" t="s">
        <v>48</v>
      </c>
    </row>
    <row r="184" spans="1:3">
      <c r="A184" s="355" t="s">
        <v>2807</v>
      </c>
      <c r="B184" s="350">
        <v>2122281</v>
      </c>
      <c r="C184" s="348" t="s">
        <v>48</v>
      </c>
    </row>
    <row r="185" spans="1:3">
      <c r="A185" s="355" t="s">
        <v>2807</v>
      </c>
      <c r="B185" s="350">
        <v>2125121</v>
      </c>
      <c r="C185" s="348" t="s">
        <v>48</v>
      </c>
    </row>
    <row r="186" spans="1:3">
      <c r="A186" s="355" t="s">
        <v>2807</v>
      </c>
      <c r="B186" s="350">
        <v>2125869</v>
      </c>
      <c r="C186" s="348" t="s">
        <v>48</v>
      </c>
    </row>
    <row r="187" spans="1:3">
      <c r="A187" s="355" t="s">
        <v>2807</v>
      </c>
      <c r="B187" s="350">
        <v>2132259</v>
      </c>
      <c r="C187" s="348" t="s">
        <v>48</v>
      </c>
    </row>
    <row r="188" spans="1:3">
      <c r="A188" s="355" t="s">
        <v>2807</v>
      </c>
      <c r="B188" s="350">
        <v>2133129</v>
      </c>
      <c r="C188" s="348" t="s">
        <v>48</v>
      </c>
    </row>
    <row r="189" spans="1:3">
      <c r="A189" s="354" t="s">
        <v>2807</v>
      </c>
      <c r="B189" s="349">
        <v>2133382</v>
      </c>
      <c r="C189" s="347" t="s">
        <v>48</v>
      </c>
    </row>
    <row r="190" spans="1:3">
      <c r="A190" s="354" t="s">
        <v>2807</v>
      </c>
      <c r="B190" s="349">
        <v>2133398</v>
      </c>
      <c r="C190" s="347" t="s">
        <v>48</v>
      </c>
    </row>
    <row r="191" spans="1:3">
      <c r="A191" s="354" t="s">
        <v>2807</v>
      </c>
      <c r="B191" s="349">
        <v>2133399</v>
      </c>
      <c r="C191" s="347" t="s">
        <v>48</v>
      </c>
    </row>
    <row r="192" spans="1:3">
      <c r="A192" s="354" t="s">
        <v>2807</v>
      </c>
      <c r="B192" s="349">
        <v>2133405</v>
      </c>
      <c r="C192" s="347" t="s">
        <v>48</v>
      </c>
    </row>
    <row r="193" spans="1:3">
      <c r="A193" s="355" t="s">
        <v>2807</v>
      </c>
      <c r="B193" s="350">
        <v>2138614</v>
      </c>
      <c r="C193" s="348" t="s">
        <v>48</v>
      </c>
    </row>
    <row r="194" spans="1:3">
      <c r="A194" s="355" t="s">
        <v>2807</v>
      </c>
      <c r="B194" s="350">
        <v>2141894</v>
      </c>
      <c r="C194" s="348" t="s">
        <v>48</v>
      </c>
    </row>
    <row r="195" spans="1:3">
      <c r="A195" s="355" t="s">
        <v>2807</v>
      </c>
      <c r="B195" s="350">
        <v>2141912</v>
      </c>
      <c r="C195" s="348" t="s">
        <v>48</v>
      </c>
    </row>
    <row r="196" spans="1:3">
      <c r="A196" s="355" t="s">
        <v>2807</v>
      </c>
      <c r="B196" s="350">
        <v>2145092</v>
      </c>
      <c r="C196" s="348" t="s">
        <v>48</v>
      </c>
    </row>
    <row r="197" spans="1:3">
      <c r="A197" s="355" t="s">
        <v>2807</v>
      </c>
      <c r="B197" s="350">
        <v>2145182</v>
      </c>
      <c r="C197" s="348" t="s">
        <v>48</v>
      </c>
    </row>
    <row r="198" spans="1:3">
      <c r="A198" s="355" t="s">
        <v>2807</v>
      </c>
      <c r="B198" s="350">
        <v>2147402</v>
      </c>
      <c r="C198" s="348" t="s">
        <v>48</v>
      </c>
    </row>
    <row r="199" spans="1:3">
      <c r="A199" s="355" t="s">
        <v>2807</v>
      </c>
      <c r="B199" s="350">
        <v>2150201</v>
      </c>
      <c r="C199" s="348" t="s">
        <v>48</v>
      </c>
    </row>
    <row r="200" spans="1:3">
      <c r="A200" s="355" t="s">
        <v>2807</v>
      </c>
      <c r="B200" s="350">
        <v>2158517</v>
      </c>
      <c r="C200" s="348" t="s">
        <v>48</v>
      </c>
    </row>
    <row r="201" spans="1:3">
      <c r="A201" s="355" t="s">
        <v>2807</v>
      </c>
      <c r="B201" s="350">
        <v>2159742</v>
      </c>
      <c r="C201" s="348" t="s">
        <v>48</v>
      </c>
    </row>
    <row r="202" spans="1:3">
      <c r="A202" s="355" t="s">
        <v>2807</v>
      </c>
      <c r="B202" s="350">
        <v>2161413</v>
      </c>
      <c r="C202" s="348" t="s">
        <v>48</v>
      </c>
    </row>
    <row r="203" spans="1:3">
      <c r="A203" s="354" t="s">
        <v>2807</v>
      </c>
      <c r="B203" s="349">
        <v>2163783</v>
      </c>
      <c r="C203" s="347" t="s">
        <v>48</v>
      </c>
    </row>
    <row r="204" spans="1:3">
      <c r="A204" s="355" t="s">
        <v>2807</v>
      </c>
      <c r="B204" s="350">
        <v>2167510</v>
      </c>
      <c r="C204" s="348" t="s">
        <v>48</v>
      </c>
    </row>
    <row r="205" spans="1:3">
      <c r="A205" s="355" t="s">
        <v>2807</v>
      </c>
      <c r="B205" s="350">
        <v>2168858</v>
      </c>
      <c r="C205" s="348" t="s">
        <v>48</v>
      </c>
    </row>
    <row r="206" spans="1:3">
      <c r="A206" s="355" t="s">
        <v>2807</v>
      </c>
      <c r="B206" s="350">
        <v>2173717</v>
      </c>
      <c r="C206" s="348" t="s">
        <v>48</v>
      </c>
    </row>
    <row r="207" spans="1:3">
      <c r="A207" s="355" t="s">
        <v>2807</v>
      </c>
      <c r="B207" s="350">
        <v>2174961</v>
      </c>
      <c r="C207" s="348" t="s">
        <v>48</v>
      </c>
    </row>
    <row r="208" spans="1:3">
      <c r="A208" s="355" t="s">
        <v>2807</v>
      </c>
      <c r="B208" s="350">
        <v>2176749</v>
      </c>
      <c r="C208" s="348" t="s">
        <v>48</v>
      </c>
    </row>
    <row r="209" spans="1:3">
      <c r="A209" s="355" t="s">
        <v>2807</v>
      </c>
      <c r="B209" s="350">
        <v>2180425</v>
      </c>
      <c r="C209" s="348" t="s">
        <v>48</v>
      </c>
    </row>
    <row r="210" spans="1:3">
      <c r="A210" s="355" t="s">
        <v>2807</v>
      </c>
      <c r="B210" s="350">
        <v>2185376</v>
      </c>
      <c r="C210" s="348" t="s">
        <v>48</v>
      </c>
    </row>
    <row r="211" spans="1:3">
      <c r="A211" s="355" t="s">
        <v>2807</v>
      </c>
      <c r="B211" s="350">
        <v>2186444</v>
      </c>
      <c r="C211" s="348" t="s">
        <v>48</v>
      </c>
    </row>
    <row r="212" spans="1:3">
      <c r="A212" s="355" t="s">
        <v>2807</v>
      </c>
      <c r="B212" s="350">
        <v>2186445</v>
      </c>
      <c r="C212" s="348" t="s">
        <v>48</v>
      </c>
    </row>
    <row r="213" spans="1:3">
      <c r="A213" s="355" t="s">
        <v>2807</v>
      </c>
      <c r="B213" s="350">
        <v>2188178</v>
      </c>
      <c r="C213" s="348" t="s">
        <v>48</v>
      </c>
    </row>
    <row r="214" spans="1:3">
      <c r="A214" s="355" t="s">
        <v>2807</v>
      </c>
      <c r="B214" s="350">
        <v>2190017</v>
      </c>
      <c r="C214" s="348" t="s">
        <v>48</v>
      </c>
    </row>
    <row r="215" spans="1:3">
      <c r="A215" s="355" t="s">
        <v>2807</v>
      </c>
      <c r="B215" s="350">
        <v>2190018</v>
      </c>
      <c r="C215" s="348" t="s">
        <v>48</v>
      </c>
    </row>
    <row r="216" spans="1:3">
      <c r="A216" s="355" t="s">
        <v>2807</v>
      </c>
      <c r="B216" s="350">
        <v>2196026</v>
      </c>
      <c r="C216" s="348" t="s">
        <v>48</v>
      </c>
    </row>
    <row r="217" spans="1:3">
      <c r="A217" s="355" t="s">
        <v>2807</v>
      </c>
      <c r="B217" s="350">
        <v>2197544</v>
      </c>
      <c r="C217" s="348" t="s">
        <v>48</v>
      </c>
    </row>
    <row r="218" spans="1:3">
      <c r="A218" s="355" t="s">
        <v>2807</v>
      </c>
      <c r="B218" s="350">
        <v>2197639</v>
      </c>
      <c r="C218" s="348" t="s">
        <v>48</v>
      </c>
    </row>
    <row r="219" spans="1:3">
      <c r="A219" s="355" t="s">
        <v>2807</v>
      </c>
      <c r="B219" s="350">
        <v>2208832</v>
      </c>
      <c r="C219" s="348" t="s">
        <v>48</v>
      </c>
    </row>
    <row r="220" spans="1:3">
      <c r="A220" s="355" t="s">
        <v>2807</v>
      </c>
      <c r="B220" s="350">
        <v>2210804</v>
      </c>
      <c r="C220" s="348" t="s">
        <v>48</v>
      </c>
    </row>
    <row r="221" spans="1:3">
      <c r="A221" s="355" t="s">
        <v>2807</v>
      </c>
      <c r="B221" s="350">
        <v>2213983</v>
      </c>
      <c r="C221" s="348" t="s">
        <v>48</v>
      </c>
    </row>
    <row r="222" spans="1:3">
      <c r="A222" s="355" t="s">
        <v>2807</v>
      </c>
      <c r="B222" s="350">
        <v>2215290</v>
      </c>
      <c r="C222" s="348" t="s">
        <v>48</v>
      </c>
    </row>
    <row r="223" spans="1:3">
      <c r="A223" s="355" t="s">
        <v>2807</v>
      </c>
      <c r="B223" s="350">
        <v>2216010</v>
      </c>
      <c r="C223" s="348" t="s">
        <v>48</v>
      </c>
    </row>
    <row r="224" spans="1:3">
      <c r="A224" s="355" t="s">
        <v>2807</v>
      </c>
      <c r="B224" s="350">
        <v>2217104</v>
      </c>
      <c r="C224" s="348" t="s">
        <v>48</v>
      </c>
    </row>
    <row r="225" spans="1:3">
      <c r="A225" s="355" t="s">
        <v>2807</v>
      </c>
      <c r="B225" s="350">
        <v>2220728</v>
      </c>
      <c r="C225" s="348" t="s">
        <v>48</v>
      </c>
    </row>
    <row r="226" spans="1:3">
      <c r="A226" s="355" t="s">
        <v>2807</v>
      </c>
      <c r="B226" s="350">
        <v>2221670</v>
      </c>
      <c r="C226" s="348" t="s">
        <v>48</v>
      </c>
    </row>
    <row r="227" spans="1:3">
      <c r="A227" s="355" t="s">
        <v>2807</v>
      </c>
      <c r="B227" s="350">
        <v>2222718</v>
      </c>
      <c r="C227" s="348" t="s">
        <v>48</v>
      </c>
    </row>
    <row r="228" spans="1:3">
      <c r="A228" s="355" t="s">
        <v>2807</v>
      </c>
      <c r="B228" s="350">
        <v>2222932</v>
      </c>
      <c r="C228" s="348" t="s">
        <v>48</v>
      </c>
    </row>
    <row r="229" spans="1:3">
      <c r="A229" s="355" t="s">
        <v>2807</v>
      </c>
      <c r="B229" s="350">
        <v>2227316</v>
      </c>
      <c r="C229" s="348" t="s">
        <v>48</v>
      </c>
    </row>
    <row r="230" spans="1:3">
      <c r="A230" s="355" t="s">
        <v>2807</v>
      </c>
      <c r="B230" s="350">
        <v>2233765</v>
      </c>
      <c r="C230" s="348" t="s">
        <v>48</v>
      </c>
    </row>
    <row r="231" spans="1:3">
      <c r="A231" s="355" t="s">
        <v>2807</v>
      </c>
      <c r="B231" s="350">
        <v>2237402</v>
      </c>
      <c r="C231" s="348" t="s">
        <v>48</v>
      </c>
    </row>
    <row r="232" spans="1:3">
      <c r="A232" s="355" t="s">
        <v>2807</v>
      </c>
      <c r="B232" s="350">
        <v>2237803</v>
      </c>
      <c r="C232" s="348" t="s">
        <v>48</v>
      </c>
    </row>
    <row r="233" spans="1:3">
      <c r="A233" s="355" t="s">
        <v>2807</v>
      </c>
      <c r="B233" s="350">
        <v>2240745</v>
      </c>
      <c r="C233" s="348" t="s">
        <v>48</v>
      </c>
    </row>
    <row r="234" spans="1:3">
      <c r="A234" s="355" t="s">
        <v>2807</v>
      </c>
      <c r="B234" s="350">
        <v>2244392</v>
      </c>
      <c r="C234" s="348" t="s">
        <v>48</v>
      </c>
    </row>
    <row r="235" spans="1:3">
      <c r="A235" s="355" t="s">
        <v>2807</v>
      </c>
      <c r="B235" s="350">
        <v>2245247</v>
      </c>
      <c r="C235" s="348" t="s">
        <v>48</v>
      </c>
    </row>
    <row r="236" spans="1:3">
      <c r="A236" s="355" t="s">
        <v>2807</v>
      </c>
      <c r="B236" s="350">
        <v>2248588</v>
      </c>
      <c r="C236" s="348" t="s">
        <v>48</v>
      </c>
    </row>
    <row r="237" spans="1:3">
      <c r="A237" s="355" t="s">
        <v>2807</v>
      </c>
      <c r="B237" s="350">
        <v>2250239</v>
      </c>
      <c r="C237" s="348" t="s">
        <v>48</v>
      </c>
    </row>
    <row r="238" spans="1:3">
      <c r="A238" s="355" t="s">
        <v>2807</v>
      </c>
      <c r="B238" s="350">
        <v>2253171</v>
      </c>
      <c r="C238" s="348" t="s">
        <v>48</v>
      </c>
    </row>
    <row r="239" spans="1:3">
      <c r="A239" s="355" t="s">
        <v>2807</v>
      </c>
      <c r="B239" s="350">
        <v>2253984</v>
      </c>
      <c r="C239" s="348" t="s">
        <v>48</v>
      </c>
    </row>
    <row r="240" spans="1:3">
      <c r="A240" s="355" t="s">
        <v>2807</v>
      </c>
      <c r="B240" s="350">
        <v>2253985</v>
      </c>
      <c r="C240" s="348" t="s">
        <v>48</v>
      </c>
    </row>
    <row r="241" spans="1:3">
      <c r="A241" s="355" t="s">
        <v>2807</v>
      </c>
      <c r="B241" s="350">
        <v>2253986</v>
      </c>
      <c r="C241" s="348" t="s">
        <v>48</v>
      </c>
    </row>
    <row r="242" spans="1:3">
      <c r="A242" s="355" t="s">
        <v>2807</v>
      </c>
      <c r="B242" s="350">
        <v>2253987</v>
      </c>
      <c r="C242" s="348" t="s">
        <v>48</v>
      </c>
    </row>
    <row r="243" spans="1:3">
      <c r="A243" s="355" t="s">
        <v>2807</v>
      </c>
      <c r="B243" s="350">
        <v>2254958</v>
      </c>
      <c r="C243" s="348" t="s">
        <v>48</v>
      </c>
    </row>
    <row r="244" spans="1:3">
      <c r="A244" s="355" t="s">
        <v>2807</v>
      </c>
      <c r="B244" s="350">
        <v>2257727</v>
      </c>
      <c r="C244" s="348" t="s">
        <v>48</v>
      </c>
    </row>
    <row r="245" spans="1:3">
      <c r="A245" s="355" t="s">
        <v>2807</v>
      </c>
      <c r="B245" s="350">
        <v>2259129</v>
      </c>
      <c r="C245" s="348" t="s">
        <v>48</v>
      </c>
    </row>
    <row r="246" spans="1:3">
      <c r="A246" s="355" t="s">
        <v>2807</v>
      </c>
      <c r="B246" s="350">
        <v>2261265</v>
      </c>
      <c r="C246" s="348" t="s">
        <v>48</v>
      </c>
    </row>
    <row r="247" spans="1:3">
      <c r="A247" s="355" t="s">
        <v>2807</v>
      </c>
      <c r="B247" s="350">
        <v>2268704</v>
      </c>
      <c r="C247" s="348" t="s">
        <v>48</v>
      </c>
    </row>
    <row r="248" spans="1:3">
      <c r="A248" s="355" t="s">
        <v>2807</v>
      </c>
      <c r="B248" s="350">
        <v>2275187</v>
      </c>
      <c r="C248" s="348" t="s">
        <v>48</v>
      </c>
    </row>
    <row r="249" spans="1:3">
      <c r="A249" s="355" t="s">
        <v>2807</v>
      </c>
      <c r="B249" s="350">
        <v>2275866</v>
      </c>
      <c r="C249" s="348" t="s">
        <v>48</v>
      </c>
    </row>
    <row r="250" spans="1:3">
      <c r="A250" s="355" t="s">
        <v>2807</v>
      </c>
      <c r="B250" s="350">
        <v>2277460</v>
      </c>
      <c r="C250" s="348" t="s">
        <v>48</v>
      </c>
    </row>
    <row r="251" spans="1:3">
      <c r="A251" s="355" t="s">
        <v>2807</v>
      </c>
      <c r="B251" s="350">
        <v>2286594</v>
      </c>
      <c r="C251" s="348" t="s">
        <v>48</v>
      </c>
    </row>
    <row r="252" spans="1:3">
      <c r="A252" s="355" t="s">
        <v>2807</v>
      </c>
      <c r="B252" s="350">
        <v>2290706</v>
      </c>
      <c r="C252" s="348" t="s">
        <v>48</v>
      </c>
    </row>
    <row r="253" spans="1:3">
      <c r="A253" s="355" t="s">
        <v>2807</v>
      </c>
      <c r="B253" s="350">
        <v>2292114</v>
      </c>
      <c r="C253" s="348" t="s">
        <v>48</v>
      </c>
    </row>
    <row r="254" spans="1:3">
      <c r="A254" s="355" t="s">
        <v>2807</v>
      </c>
      <c r="B254" s="350">
        <v>2295290</v>
      </c>
      <c r="C254" s="348" t="s">
        <v>48</v>
      </c>
    </row>
    <row r="255" spans="1:3">
      <c r="A255" s="355" t="s">
        <v>2807</v>
      </c>
      <c r="B255" s="350">
        <v>2300666</v>
      </c>
      <c r="C255" s="348" t="s">
        <v>48</v>
      </c>
    </row>
    <row r="256" spans="1:3">
      <c r="A256" s="355" t="s">
        <v>2807</v>
      </c>
      <c r="B256" s="350">
        <v>2310201</v>
      </c>
      <c r="C256" s="348" t="s">
        <v>48</v>
      </c>
    </row>
    <row r="257" spans="1:3">
      <c r="A257" s="355" t="s">
        <v>2807</v>
      </c>
      <c r="B257" s="350">
        <v>2315039</v>
      </c>
      <c r="C257" s="348" t="s">
        <v>48</v>
      </c>
    </row>
    <row r="258" spans="1:3">
      <c r="A258" s="355" t="s">
        <v>2807</v>
      </c>
      <c r="B258" s="350">
        <v>2318367</v>
      </c>
      <c r="C258" s="348" t="s">
        <v>48</v>
      </c>
    </row>
    <row r="259" spans="1:3">
      <c r="A259" s="355" t="s">
        <v>2807</v>
      </c>
      <c r="B259" s="350">
        <v>2320506</v>
      </c>
      <c r="C259" s="348" t="s">
        <v>48</v>
      </c>
    </row>
    <row r="260" spans="1:3">
      <c r="A260" s="356" t="s">
        <v>2790</v>
      </c>
      <c r="B260" s="350">
        <v>2352041</v>
      </c>
      <c r="C260" s="350" t="s">
        <v>49</v>
      </c>
    </row>
    <row r="261" spans="1:3">
      <c r="A261" s="355" t="s">
        <v>66</v>
      </c>
      <c r="B261" s="350">
        <v>2354191</v>
      </c>
      <c r="C261" s="348" t="s">
        <v>48</v>
      </c>
    </row>
    <row r="262" spans="1:3">
      <c r="A262" s="355" t="s">
        <v>66</v>
      </c>
      <c r="B262" s="350">
        <v>2358621</v>
      </c>
      <c r="C262" s="348" t="s">
        <v>48</v>
      </c>
    </row>
    <row r="263" spans="1:3">
      <c r="A263" s="355" t="s">
        <v>66</v>
      </c>
      <c r="B263" s="350">
        <v>2368097</v>
      </c>
      <c r="C263" s="348" t="s">
        <v>48</v>
      </c>
    </row>
    <row r="264" spans="1:3">
      <c r="A264" s="355" t="s">
        <v>66</v>
      </c>
      <c r="B264" s="350">
        <v>2375067</v>
      </c>
      <c r="C264" s="348" t="s">
        <v>48</v>
      </c>
    </row>
    <row r="265" spans="1:3">
      <c r="A265" s="355" t="s">
        <v>66</v>
      </c>
      <c r="B265" s="350">
        <v>2375068</v>
      </c>
      <c r="C265" s="348" t="s">
        <v>48</v>
      </c>
    </row>
    <row r="266" spans="1:3">
      <c r="A266" s="355" t="s">
        <v>66</v>
      </c>
      <c r="B266" s="350">
        <v>2375069</v>
      </c>
      <c r="C266" s="348" t="s">
        <v>48</v>
      </c>
    </row>
    <row r="267" spans="1:3">
      <c r="A267" s="355" t="s">
        <v>66</v>
      </c>
      <c r="B267" s="350">
        <v>2382120</v>
      </c>
      <c r="C267" s="348" t="s">
        <v>48</v>
      </c>
    </row>
    <row r="268" spans="1:3">
      <c r="A268" s="355" t="s">
        <v>66</v>
      </c>
      <c r="B268" s="350">
        <v>2388899</v>
      </c>
      <c r="C268" s="348" t="s">
        <v>48</v>
      </c>
    </row>
    <row r="269" spans="1:3">
      <c r="A269" s="355" t="s">
        <v>66</v>
      </c>
      <c r="B269" s="350">
        <v>2390823</v>
      </c>
      <c r="C269" s="348" t="s">
        <v>48</v>
      </c>
    </row>
    <row r="270" spans="1:3">
      <c r="A270" s="355" t="s">
        <v>66</v>
      </c>
      <c r="B270" s="350">
        <v>2399849</v>
      </c>
      <c r="C270" s="348" t="s">
        <v>48</v>
      </c>
    </row>
    <row r="271" spans="1:3">
      <c r="A271" s="355" t="s">
        <v>66</v>
      </c>
      <c r="B271" s="350">
        <v>2401595</v>
      </c>
      <c r="C271" s="348" t="s">
        <v>48</v>
      </c>
    </row>
    <row r="272" spans="1:3">
      <c r="A272" s="355" t="s">
        <v>66</v>
      </c>
      <c r="B272" s="350">
        <v>2401996</v>
      </c>
      <c r="C272" s="348" t="s">
        <v>48</v>
      </c>
    </row>
    <row r="273" spans="1:3">
      <c r="A273" s="355" t="s">
        <v>66</v>
      </c>
      <c r="B273" s="350">
        <v>2406676</v>
      </c>
      <c r="C273" s="348" t="s">
        <v>48</v>
      </c>
    </row>
    <row r="274" spans="1:3">
      <c r="A274" s="355" t="s">
        <v>66</v>
      </c>
      <c r="B274" s="350">
        <v>2412556</v>
      </c>
      <c r="C274" s="348" t="s">
        <v>48</v>
      </c>
    </row>
    <row r="275" spans="1:3">
      <c r="A275" s="355" t="s">
        <v>66</v>
      </c>
      <c r="B275" s="350">
        <v>2414352</v>
      </c>
      <c r="C275" s="348" t="s">
        <v>48</v>
      </c>
    </row>
    <row r="276" spans="1:3">
      <c r="A276" s="355" t="s">
        <v>66</v>
      </c>
      <c r="B276" s="350">
        <v>2415184</v>
      </c>
      <c r="C276" s="348" t="s">
        <v>48</v>
      </c>
    </row>
    <row r="277" spans="1:3">
      <c r="A277" s="355" t="s">
        <v>66</v>
      </c>
      <c r="B277" s="350">
        <v>2419054</v>
      </c>
      <c r="C277" s="348" t="s">
        <v>48</v>
      </c>
    </row>
    <row r="278" spans="1:3">
      <c r="A278" s="355" t="s">
        <v>66</v>
      </c>
      <c r="B278" s="350">
        <v>2425851</v>
      </c>
      <c r="C278" s="348" t="s">
        <v>48</v>
      </c>
    </row>
    <row r="279" spans="1:3">
      <c r="A279" s="355" t="s">
        <v>66</v>
      </c>
      <c r="B279" s="350">
        <v>2432568</v>
      </c>
      <c r="C279" s="348" t="s">
        <v>48</v>
      </c>
    </row>
    <row r="280" spans="1:3">
      <c r="A280" s="355" t="s">
        <v>66</v>
      </c>
      <c r="B280" s="350">
        <v>2432603</v>
      </c>
      <c r="C280" s="348" t="s">
        <v>48</v>
      </c>
    </row>
    <row r="281" spans="1:3">
      <c r="A281" s="355" t="s">
        <v>66</v>
      </c>
      <c r="B281" s="350">
        <v>2433505</v>
      </c>
      <c r="C281" s="348" t="s">
        <v>48</v>
      </c>
    </row>
    <row r="282" spans="1:3">
      <c r="A282" s="355" t="s">
        <v>66</v>
      </c>
      <c r="B282" s="350">
        <v>2433729</v>
      </c>
      <c r="C282" s="348" t="s">
        <v>48</v>
      </c>
    </row>
    <row r="283" spans="1:3">
      <c r="A283" s="355" t="s">
        <v>66</v>
      </c>
      <c r="B283" s="350">
        <v>2457437</v>
      </c>
      <c r="C283" s="348" t="s">
        <v>48</v>
      </c>
    </row>
    <row r="284" spans="1:3">
      <c r="A284" s="355" t="s">
        <v>66</v>
      </c>
      <c r="B284" s="350">
        <v>2457438</v>
      </c>
      <c r="C284" s="348" t="s">
        <v>48</v>
      </c>
    </row>
    <row r="285" spans="1:3">
      <c r="A285" s="355" t="s">
        <v>66</v>
      </c>
      <c r="B285" s="350">
        <v>2476953</v>
      </c>
      <c r="C285" s="348" t="s">
        <v>48</v>
      </c>
    </row>
    <row r="286" spans="1:3">
      <c r="A286" s="355" t="s">
        <v>66</v>
      </c>
      <c r="B286" s="350">
        <v>2493909</v>
      </c>
      <c r="C286" s="348" t="s">
        <v>48</v>
      </c>
    </row>
    <row r="287" spans="1:3">
      <c r="A287" s="355" t="s">
        <v>66</v>
      </c>
      <c r="B287" s="350">
        <v>2501305</v>
      </c>
      <c r="C287" s="348" t="s">
        <v>48</v>
      </c>
    </row>
    <row r="288" spans="1:3">
      <c r="A288" s="355" t="s">
        <v>66</v>
      </c>
      <c r="B288" s="350">
        <v>2516747</v>
      </c>
      <c r="C288" s="348" t="s">
        <v>48</v>
      </c>
    </row>
    <row r="289" spans="1:3">
      <c r="A289" s="355" t="s">
        <v>66</v>
      </c>
      <c r="B289" s="350">
        <v>2531156</v>
      </c>
      <c r="C289" s="348" t="s">
        <v>48</v>
      </c>
    </row>
    <row r="290" spans="1:3">
      <c r="A290" s="355" t="s">
        <v>66</v>
      </c>
      <c r="B290" s="350">
        <v>2532477</v>
      </c>
      <c r="C290" s="348" t="s">
        <v>48</v>
      </c>
    </row>
    <row r="291" spans="1:3">
      <c r="A291" s="355" t="s">
        <v>66</v>
      </c>
      <c r="B291" s="350">
        <v>2555840</v>
      </c>
      <c r="C291" s="348" t="s">
        <v>48</v>
      </c>
    </row>
    <row r="292" spans="1:3">
      <c r="A292" s="355" t="s">
        <v>66</v>
      </c>
      <c r="B292" s="350">
        <v>2597222</v>
      </c>
      <c r="C292" s="348" t="s">
        <v>48</v>
      </c>
    </row>
    <row r="293" spans="1:3">
      <c r="A293" s="355" t="s">
        <v>66</v>
      </c>
      <c r="B293" s="350">
        <v>2615074</v>
      </c>
      <c r="C293" s="348" t="s">
        <v>48</v>
      </c>
    </row>
    <row r="294" spans="1:3">
      <c r="A294" s="355" t="s">
        <v>66</v>
      </c>
      <c r="B294" s="350">
        <v>2665328</v>
      </c>
      <c r="C294" s="348" t="s">
        <v>48</v>
      </c>
    </row>
    <row r="295" spans="1:3">
      <c r="A295" s="355" t="s">
        <v>66</v>
      </c>
      <c r="B295" s="350">
        <v>2678863</v>
      </c>
      <c r="C295" s="348" t="s">
        <v>48</v>
      </c>
    </row>
    <row r="296" spans="1:3">
      <c r="A296" s="354" t="s">
        <v>334</v>
      </c>
      <c r="B296" s="349">
        <v>1976439</v>
      </c>
      <c r="C296" s="349" t="s">
        <v>50</v>
      </c>
    </row>
    <row r="297" spans="1:3">
      <c r="A297" s="355" t="s">
        <v>334</v>
      </c>
      <c r="B297" s="350">
        <v>1977781</v>
      </c>
      <c r="C297" s="350" t="s">
        <v>50</v>
      </c>
    </row>
    <row r="298" spans="1:3">
      <c r="A298" s="355" t="s">
        <v>334</v>
      </c>
      <c r="B298" s="350">
        <v>1980161</v>
      </c>
      <c r="C298" s="350" t="s">
        <v>50</v>
      </c>
    </row>
    <row r="299" spans="1:3">
      <c r="A299" s="355" t="s">
        <v>334</v>
      </c>
      <c r="B299" s="350">
        <v>1996136</v>
      </c>
      <c r="C299" s="350" t="s">
        <v>50</v>
      </c>
    </row>
    <row r="300" spans="1:3">
      <c r="A300" s="354" t="s">
        <v>334</v>
      </c>
      <c r="B300" s="349">
        <v>2003739</v>
      </c>
      <c r="C300" s="349" t="s">
        <v>50</v>
      </c>
    </row>
    <row r="301" spans="1:3">
      <c r="A301" s="355" t="s">
        <v>334</v>
      </c>
      <c r="B301" s="350">
        <v>2003757</v>
      </c>
      <c r="C301" s="350" t="s">
        <v>50</v>
      </c>
    </row>
    <row r="302" spans="1:3">
      <c r="A302" s="354" t="s">
        <v>334</v>
      </c>
      <c r="B302" s="349">
        <v>2003760</v>
      </c>
      <c r="C302" s="349" t="s">
        <v>50</v>
      </c>
    </row>
    <row r="303" spans="1:3">
      <c r="A303" s="355" t="s">
        <v>334</v>
      </c>
      <c r="B303" s="350">
        <v>2003762</v>
      </c>
      <c r="C303" s="350" t="s">
        <v>50</v>
      </c>
    </row>
    <row r="304" spans="1:3">
      <c r="A304" s="354" t="s">
        <v>334</v>
      </c>
      <c r="B304" s="349">
        <v>2012194</v>
      </c>
      <c r="C304" s="349" t="s">
        <v>50</v>
      </c>
    </row>
    <row r="305" spans="1:3">
      <c r="A305" s="355" t="s">
        <v>334</v>
      </c>
      <c r="B305" s="350">
        <v>2021672</v>
      </c>
      <c r="C305" s="350" t="s">
        <v>50</v>
      </c>
    </row>
    <row r="306" spans="1:3">
      <c r="A306" s="355" t="s">
        <v>334</v>
      </c>
      <c r="B306" s="350">
        <v>2036634</v>
      </c>
      <c r="C306" s="350" t="s">
        <v>50</v>
      </c>
    </row>
    <row r="307" spans="1:3">
      <c r="A307" s="355" t="s">
        <v>334</v>
      </c>
      <c r="B307" s="350">
        <v>2051155</v>
      </c>
      <c r="C307" s="350" t="s">
        <v>50</v>
      </c>
    </row>
    <row r="308" spans="1:3">
      <c r="A308" s="355" t="s">
        <v>334</v>
      </c>
      <c r="B308" s="350">
        <v>2052515</v>
      </c>
      <c r="C308" s="350" t="s">
        <v>50</v>
      </c>
    </row>
    <row r="309" spans="1:3">
      <c r="A309" s="355" t="s">
        <v>334</v>
      </c>
      <c r="B309" s="350">
        <v>2059645</v>
      </c>
      <c r="C309" s="350" t="s">
        <v>50</v>
      </c>
    </row>
    <row r="310" spans="1:3">
      <c r="A310" s="355" t="s">
        <v>334</v>
      </c>
      <c r="B310" s="350">
        <v>2061714</v>
      </c>
      <c r="C310" s="350" t="s">
        <v>50</v>
      </c>
    </row>
    <row r="311" spans="1:3">
      <c r="A311" s="355" t="s">
        <v>334</v>
      </c>
      <c r="B311" s="350">
        <v>2061715</v>
      </c>
      <c r="C311" s="350" t="s">
        <v>50</v>
      </c>
    </row>
    <row r="312" spans="1:3">
      <c r="A312" s="355" t="s">
        <v>334</v>
      </c>
      <c r="B312" s="350">
        <v>2061722</v>
      </c>
      <c r="C312" s="350" t="s">
        <v>50</v>
      </c>
    </row>
    <row r="313" spans="1:3">
      <c r="A313" s="355" t="s">
        <v>334</v>
      </c>
      <c r="B313" s="350">
        <v>2065962</v>
      </c>
      <c r="C313" s="350" t="s">
        <v>50</v>
      </c>
    </row>
    <row r="314" spans="1:3">
      <c r="A314" s="355" t="s">
        <v>334</v>
      </c>
      <c r="B314" s="350">
        <v>2067302</v>
      </c>
      <c r="C314" s="350" t="s">
        <v>50</v>
      </c>
    </row>
    <row r="315" spans="1:3">
      <c r="A315" s="355" t="s">
        <v>334</v>
      </c>
      <c r="B315" s="350">
        <v>2069564</v>
      </c>
      <c r="C315" s="350" t="s">
        <v>50</v>
      </c>
    </row>
    <row r="316" spans="1:3">
      <c r="A316" s="355" t="s">
        <v>334</v>
      </c>
      <c r="B316" s="350">
        <v>2071990</v>
      </c>
      <c r="C316" s="350" t="s">
        <v>50</v>
      </c>
    </row>
    <row r="317" spans="1:3">
      <c r="A317" s="355" t="s">
        <v>334</v>
      </c>
      <c r="B317" s="350">
        <v>2071997</v>
      </c>
      <c r="C317" s="350" t="s">
        <v>50</v>
      </c>
    </row>
    <row r="318" spans="1:3">
      <c r="A318" s="355" t="s">
        <v>334</v>
      </c>
      <c r="B318" s="350">
        <v>2076321</v>
      </c>
      <c r="C318" s="350" t="s">
        <v>50</v>
      </c>
    </row>
    <row r="319" spans="1:3">
      <c r="A319" s="355" t="s">
        <v>334</v>
      </c>
      <c r="B319" s="350">
        <v>2076322</v>
      </c>
      <c r="C319" s="350" t="s">
        <v>50</v>
      </c>
    </row>
    <row r="320" spans="1:3">
      <c r="A320" s="355" t="s">
        <v>334</v>
      </c>
      <c r="B320" s="350">
        <v>2076443</v>
      </c>
      <c r="C320" s="350" t="s">
        <v>50</v>
      </c>
    </row>
    <row r="321" spans="1:3">
      <c r="A321" s="355" t="s">
        <v>334</v>
      </c>
      <c r="B321" s="350">
        <v>2088104</v>
      </c>
      <c r="C321" s="350" t="s">
        <v>50</v>
      </c>
    </row>
    <row r="322" spans="1:3">
      <c r="A322" s="355" t="s">
        <v>334</v>
      </c>
      <c r="B322" s="350">
        <v>2091002</v>
      </c>
      <c r="C322" s="350" t="s">
        <v>50</v>
      </c>
    </row>
    <row r="323" spans="1:3">
      <c r="A323" s="355" t="s">
        <v>334</v>
      </c>
      <c r="B323" s="350">
        <v>2098893</v>
      </c>
      <c r="C323" s="350" t="s">
        <v>50</v>
      </c>
    </row>
    <row r="324" spans="1:3">
      <c r="A324" s="355" t="s">
        <v>334</v>
      </c>
      <c r="B324" s="350">
        <v>2099623</v>
      </c>
      <c r="C324" s="350" t="s">
        <v>50</v>
      </c>
    </row>
    <row r="325" spans="1:3">
      <c r="A325" s="355" t="s">
        <v>334</v>
      </c>
      <c r="B325" s="350">
        <v>2111169</v>
      </c>
      <c r="C325" s="350" t="s">
        <v>50</v>
      </c>
    </row>
    <row r="326" spans="1:3">
      <c r="A326" s="355" t="s">
        <v>334</v>
      </c>
      <c r="B326" s="350">
        <v>2112476</v>
      </c>
      <c r="C326" s="350" t="s">
        <v>50</v>
      </c>
    </row>
    <row r="327" spans="1:3">
      <c r="A327" s="355" t="s">
        <v>334</v>
      </c>
      <c r="B327" s="350">
        <v>2114576</v>
      </c>
      <c r="C327" s="350" t="s">
        <v>50</v>
      </c>
    </row>
    <row r="328" spans="1:3">
      <c r="A328" s="355" t="s">
        <v>334</v>
      </c>
      <c r="B328" s="350">
        <v>2122824</v>
      </c>
      <c r="C328" s="350" t="s">
        <v>50</v>
      </c>
    </row>
    <row r="329" spans="1:3">
      <c r="A329" s="355" t="s">
        <v>334</v>
      </c>
      <c r="B329" s="350">
        <v>2127310</v>
      </c>
      <c r="C329" s="350" t="s">
        <v>50</v>
      </c>
    </row>
    <row r="330" spans="1:3">
      <c r="A330" s="355" t="s">
        <v>334</v>
      </c>
      <c r="B330" s="350">
        <v>2127314</v>
      </c>
      <c r="C330" s="350" t="s">
        <v>50</v>
      </c>
    </row>
    <row r="331" spans="1:3">
      <c r="A331" s="355" t="s">
        <v>334</v>
      </c>
      <c r="B331" s="350">
        <v>2139227</v>
      </c>
      <c r="C331" s="350" t="s">
        <v>50</v>
      </c>
    </row>
    <row r="332" spans="1:3">
      <c r="A332" s="355" t="s">
        <v>334</v>
      </c>
      <c r="B332" s="350">
        <v>2139299</v>
      </c>
      <c r="C332" s="350" t="s">
        <v>50</v>
      </c>
    </row>
    <row r="333" spans="1:3">
      <c r="A333" s="355" t="s">
        <v>334</v>
      </c>
      <c r="B333" s="350">
        <v>2146983</v>
      </c>
      <c r="C333" s="350" t="s">
        <v>50</v>
      </c>
    </row>
    <row r="334" spans="1:3">
      <c r="A334" s="355" t="s">
        <v>334</v>
      </c>
      <c r="B334" s="350">
        <v>2155318</v>
      </c>
      <c r="C334" s="350" t="s">
        <v>49</v>
      </c>
    </row>
    <row r="335" spans="1:3">
      <c r="A335" s="355" t="s">
        <v>334</v>
      </c>
      <c r="B335" s="350">
        <v>2155964</v>
      </c>
      <c r="C335" s="350" t="s">
        <v>50</v>
      </c>
    </row>
    <row r="336" spans="1:3">
      <c r="A336" s="355" t="s">
        <v>334</v>
      </c>
      <c r="B336" s="350">
        <v>2164156</v>
      </c>
      <c r="C336" s="350" t="s">
        <v>49</v>
      </c>
    </row>
    <row r="337" spans="1:3">
      <c r="A337" s="355" t="s">
        <v>334</v>
      </c>
      <c r="B337" s="350">
        <v>2170065</v>
      </c>
      <c r="C337" s="350" t="s">
        <v>50</v>
      </c>
    </row>
    <row r="338" spans="1:3">
      <c r="A338" s="355" t="s">
        <v>334</v>
      </c>
      <c r="B338" s="350">
        <v>2170975</v>
      </c>
      <c r="C338" s="350" t="s">
        <v>50</v>
      </c>
    </row>
    <row r="339" spans="1:3">
      <c r="A339" s="355" t="s">
        <v>334</v>
      </c>
      <c r="B339" s="350">
        <v>2179246</v>
      </c>
      <c r="C339" s="350" t="s">
        <v>50</v>
      </c>
    </row>
    <row r="340" spans="1:3">
      <c r="A340" s="355" t="s">
        <v>334</v>
      </c>
      <c r="B340" s="350">
        <v>2179271</v>
      </c>
      <c r="C340" s="350" t="s">
        <v>50</v>
      </c>
    </row>
    <row r="341" spans="1:3">
      <c r="A341" s="355" t="s">
        <v>334</v>
      </c>
      <c r="B341" s="350">
        <v>2180320</v>
      </c>
      <c r="C341" s="350" t="s">
        <v>50</v>
      </c>
    </row>
    <row r="342" spans="1:3">
      <c r="A342" s="355" t="s">
        <v>334</v>
      </c>
      <c r="B342" s="350">
        <v>2190853</v>
      </c>
      <c r="C342" s="350" t="s">
        <v>50</v>
      </c>
    </row>
    <row r="343" spans="1:3">
      <c r="A343" s="355" t="s">
        <v>334</v>
      </c>
      <c r="B343" s="350">
        <v>2191059</v>
      </c>
      <c r="C343" s="350" t="s">
        <v>49</v>
      </c>
    </row>
    <row r="344" spans="1:3">
      <c r="A344" s="355" t="s">
        <v>334</v>
      </c>
      <c r="B344" s="350">
        <v>2191060</v>
      </c>
      <c r="C344" s="350" t="s">
        <v>49</v>
      </c>
    </row>
    <row r="345" spans="1:3">
      <c r="A345" s="355" t="s">
        <v>334</v>
      </c>
      <c r="B345" s="350">
        <v>2191063</v>
      </c>
      <c r="C345" s="350" t="s">
        <v>50</v>
      </c>
    </row>
    <row r="346" spans="1:3">
      <c r="A346" s="355" t="s">
        <v>334</v>
      </c>
      <c r="B346" s="350">
        <v>2198874</v>
      </c>
      <c r="C346" s="350" t="s">
        <v>50</v>
      </c>
    </row>
    <row r="347" spans="1:3">
      <c r="A347" s="355" t="s">
        <v>334</v>
      </c>
      <c r="B347" s="350">
        <v>2204062</v>
      </c>
      <c r="C347" s="350" t="s">
        <v>50</v>
      </c>
    </row>
    <row r="348" spans="1:3">
      <c r="A348" s="355" t="s">
        <v>334</v>
      </c>
      <c r="B348" s="350">
        <v>2204072</v>
      </c>
      <c r="C348" s="350" t="s">
        <v>50</v>
      </c>
    </row>
    <row r="349" spans="1:3">
      <c r="A349" s="355" t="s">
        <v>334</v>
      </c>
      <c r="B349" s="350">
        <v>2204097</v>
      </c>
      <c r="C349" s="350" t="s">
        <v>50</v>
      </c>
    </row>
    <row r="350" spans="1:3">
      <c r="A350" s="355" t="s">
        <v>334</v>
      </c>
      <c r="B350" s="350">
        <v>2205635</v>
      </c>
      <c r="C350" s="350" t="s">
        <v>50</v>
      </c>
    </row>
    <row r="351" spans="1:3">
      <c r="A351" s="355" t="s">
        <v>334</v>
      </c>
      <c r="B351" s="350">
        <v>2206007</v>
      </c>
      <c r="C351" s="350" t="s">
        <v>49</v>
      </c>
    </row>
    <row r="352" spans="1:3">
      <c r="A352" s="355" t="s">
        <v>334</v>
      </c>
      <c r="B352" s="350">
        <v>2226134</v>
      </c>
      <c r="C352" s="350" t="s">
        <v>49</v>
      </c>
    </row>
    <row r="353" spans="1:3">
      <c r="A353" s="355" t="s">
        <v>334</v>
      </c>
      <c r="B353" s="350">
        <v>2226743</v>
      </c>
      <c r="C353" s="350" t="s">
        <v>50</v>
      </c>
    </row>
    <row r="354" spans="1:3">
      <c r="A354" s="355" t="s">
        <v>334</v>
      </c>
      <c r="B354" s="350">
        <v>2227520</v>
      </c>
      <c r="C354" s="350" t="s">
        <v>50</v>
      </c>
    </row>
    <row r="355" spans="1:3">
      <c r="A355" s="355" t="s">
        <v>334</v>
      </c>
      <c r="B355" s="350">
        <v>2240116</v>
      </c>
      <c r="C355" s="350" t="s">
        <v>50</v>
      </c>
    </row>
    <row r="356" spans="1:3">
      <c r="A356" s="355" t="s">
        <v>334</v>
      </c>
      <c r="B356" s="350">
        <v>2240119</v>
      </c>
      <c r="C356" s="350" t="s">
        <v>50</v>
      </c>
    </row>
    <row r="357" spans="1:3">
      <c r="A357" s="355" t="s">
        <v>334</v>
      </c>
      <c r="B357" s="350">
        <v>2240163</v>
      </c>
      <c r="C357" s="350" t="s">
        <v>50</v>
      </c>
    </row>
    <row r="358" spans="1:3">
      <c r="A358" s="355" t="s">
        <v>334</v>
      </c>
      <c r="B358" s="350">
        <v>2240164</v>
      </c>
      <c r="C358" s="350" t="s">
        <v>50</v>
      </c>
    </row>
    <row r="359" spans="1:3">
      <c r="A359" s="355" t="s">
        <v>334</v>
      </c>
      <c r="B359" s="350">
        <v>2240171</v>
      </c>
      <c r="C359" s="350" t="s">
        <v>50</v>
      </c>
    </row>
    <row r="360" spans="1:3">
      <c r="A360" s="355" t="s">
        <v>334</v>
      </c>
      <c r="B360" s="350">
        <v>2240182</v>
      </c>
      <c r="C360" s="350" t="s">
        <v>50</v>
      </c>
    </row>
    <row r="361" spans="1:3">
      <c r="A361" s="355" t="s">
        <v>334</v>
      </c>
      <c r="B361" s="350">
        <v>2241873</v>
      </c>
      <c r="C361" s="350" t="s">
        <v>50</v>
      </c>
    </row>
    <row r="362" spans="1:3">
      <c r="A362" s="355" t="s">
        <v>334</v>
      </c>
      <c r="B362" s="350">
        <v>2241887</v>
      </c>
      <c r="C362" s="350" t="s">
        <v>50</v>
      </c>
    </row>
    <row r="363" spans="1:3">
      <c r="A363" s="355" t="s">
        <v>334</v>
      </c>
      <c r="B363" s="350">
        <v>2244188</v>
      </c>
      <c r="C363" s="350" t="s">
        <v>50</v>
      </c>
    </row>
    <row r="364" spans="1:3">
      <c r="A364" s="355" t="s">
        <v>334</v>
      </c>
      <c r="B364" s="350">
        <v>2259717</v>
      </c>
      <c r="C364" s="350" t="s">
        <v>50</v>
      </c>
    </row>
    <row r="365" spans="1:3">
      <c r="A365" s="355" t="s">
        <v>334</v>
      </c>
      <c r="B365" s="350">
        <v>2260971</v>
      </c>
      <c r="C365" s="350" t="s">
        <v>50</v>
      </c>
    </row>
    <row r="366" spans="1:3">
      <c r="A366" s="355" t="s">
        <v>334</v>
      </c>
      <c r="B366" s="350">
        <v>2264139</v>
      </c>
      <c r="C366" s="350" t="s">
        <v>50</v>
      </c>
    </row>
    <row r="367" spans="1:3">
      <c r="A367" s="355" t="s">
        <v>334</v>
      </c>
      <c r="B367" s="350">
        <v>2267831</v>
      </c>
      <c r="C367" s="350" t="s">
        <v>49</v>
      </c>
    </row>
    <row r="368" spans="1:3">
      <c r="A368" s="355" t="s">
        <v>334</v>
      </c>
      <c r="B368" s="350">
        <v>2267841</v>
      </c>
      <c r="C368" s="350" t="s">
        <v>50</v>
      </c>
    </row>
    <row r="369" spans="1:3">
      <c r="A369" s="355" t="s">
        <v>334</v>
      </c>
      <c r="B369" s="350">
        <v>2272026</v>
      </c>
      <c r="C369" s="350" t="s">
        <v>50</v>
      </c>
    </row>
    <row r="370" spans="1:3">
      <c r="A370" s="355" t="s">
        <v>334</v>
      </c>
      <c r="B370" s="350">
        <v>2281194</v>
      </c>
      <c r="C370" s="350" t="s">
        <v>50</v>
      </c>
    </row>
    <row r="371" spans="1:3">
      <c r="A371" s="355" t="s">
        <v>334</v>
      </c>
      <c r="B371" s="350">
        <v>2295714</v>
      </c>
      <c r="C371" s="350" t="s">
        <v>50</v>
      </c>
    </row>
    <row r="372" spans="1:3">
      <c r="A372" s="355" t="s">
        <v>334</v>
      </c>
      <c r="B372" s="350">
        <v>2298707</v>
      </c>
      <c r="C372" s="350" t="s">
        <v>49</v>
      </c>
    </row>
    <row r="373" spans="1:3">
      <c r="A373" s="355" t="s">
        <v>334</v>
      </c>
      <c r="B373" s="350">
        <v>2323990</v>
      </c>
      <c r="C373" s="350" t="s">
        <v>49</v>
      </c>
    </row>
    <row r="374" spans="1:3">
      <c r="A374" s="355" t="s">
        <v>334</v>
      </c>
      <c r="B374" s="350">
        <v>2328323</v>
      </c>
      <c r="C374" s="350" t="s">
        <v>50</v>
      </c>
    </row>
    <row r="375" spans="1:3">
      <c r="A375" s="355" t="s">
        <v>334</v>
      </c>
      <c r="B375" s="350">
        <v>2347318</v>
      </c>
      <c r="C375" s="350" t="s">
        <v>50</v>
      </c>
    </row>
    <row r="376" spans="1:3">
      <c r="A376" s="355" t="s">
        <v>334</v>
      </c>
      <c r="B376" s="350">
        <v>2351835</v>
      </c>
      <c r="C376" s="350" t="s">
        <v>50</v>
      </c>
    </row>
    <row r="377" spans="1:3">
      <c r="A377" s="355" t="s">
        <v>334</v>
      </c>
      <c r="B377" s="350">
        <v>2355402</v>
      </c>
      <c r="C377" s="350" t="s">
        <v>50</v>
      </c>
    </row>
    <row r="378" spans="1:3">
      <c r="A378" s="355" t="s">
        <v>334</v>
      </c>
      <c r="B378" s="350">
        <v>2360195</v>
      </c>
      <c r="C378" s="350" t="s">
        <v>50</v>
      </c>
    </row>
    <row r="379" spans="1:3">
      <c r="A379" s="355" t="s">
        <v>334</v>
      </c>
      <c r="B379" s="350">
        <v>2361235</v>
      </c>
      <c r="C379" s="350" t="s">
        <v>50</v>
      </c>
    </row>
    <row r="380" spans="1:3">
      <c r="A380" s="355" t="s">
        <v>334</v>
      </c>
      <c r="B380" s="350">
        <v>2364775</v>
      </c>
      <c r="C380" s="350" t="s">
        <v>50</v>
      </c>
    </row>
    <row r="381" spans="1:3">
      <c r="A381" s="355" t="s">
        <v>334</v>
      </c>
      <c r="B381" s="350">
        <v>2366898</v>
      </c>
      <c r="C381" s="350" t="s">
        <v>50</v>
      </c>
    </row>
    <row r="382" spans="1:3">
      <c r="A382" s="355" t="s">
        <v>334</v>
      </c>
      <c r="B382" s="350">
        <v>2370772</v>
      </c>
      <c r="C382" s="350" t="s">
        <v>50</v>
      </c>
    </row>
    <row r="383" spans="1:3">
      <c r="A383" s="355" t="s">
        <v>334</v>
      </c>
      <c r="B383" s="350">
        <v>2371427</v>
      </c>
      <c r="C383" s="350" t="s">
        <v>50</v>
      </c>
    </row>
    <row r="384" spans="1:3">
      <c r="A384" s="355" t="s">
        <v>334</v>
      </c>
      <c r="B384" s="350">
        <v>2372391</v>
      </c>
      <c r="C384" s="350" t="s">
        <v>50</v>
      </c>
    </row>
    <row r="385" spans="1:3">
      <c r="A385" s="355" t="s">
        <v>334</v>
      </c>
      <c r="B385" s="350">
        <v>2378307</v>
      </c>
      <c r="C385" s="350" t="s">
        <v>49</v>
      </c>
    </row>
    <row r="386" spans="1:3">
      <c r="A386" s="355" t="s">
        <v>334</v>
      </c>
      <c r="B386" s="350">
        <v>2382334</v>
      </c>
      <c r="C386" s="350" t="s">
        <v>50</v>
      </c>
    </row>
    <row r="387" spans="1:3">
      <c r="A387" s="355" t="s">
        <v>334</v>
      </c>
      <c r="B387" s="350">
        <v>2392105</v>
      </c>
      <c r="C387" s="350" t="s">
        <v>50</v>
      </c>
    </row>
    <row r="388" spans="1:3">
      <c r="A388" s="355" t="s">
        <v>334</v>
      </c>
      <c r="B388" s="350">
        <v>2393249</v>
      </c>
      <c r="C388" s="350" t="s">
        <v>50</v>
      </c>
    </row>
    <row r="389" spans="1:3">
      <c r="A389" s="355" t="s">
        <v>334</v>
      </c>
      <c r="B389" s="350">
        <v>2393269</v>
      </c>
      <c r="C389" s="350" t="s">
        <v>50</v>
      </c>
    </row>
    <row r="390" spans="1:3">
      <c r="A390" s="355" t="s">
        <v>334</v>
      </c>
      <c r="B390" s="350">
        <v>2397575</v>
      </c>
      <c r="C390" s="350" t="s">
        <v>50</v>
      </c>
    </row>
    <row r="391" spans="1:3">
      <c r="A391" s="355" t="s">
        <v>334</v>
      </c>
      <c r="B391" s="350">
        <v>2401924</v>
      </c>
      <c r="C391" s="350" t="s">
        <v>50</v>
      </c>
    </row>
    <row r="392" spans="1:3">
      <c r="A392" s="355" t="s">
        <v>334</v>
      </c>
      <c r="B392" s="350">
        <v>2422054</v>
      </c>
      <c r="C392" s="350" t="s">
        <v>50</v>
      </c>
    </row>
    <row r="393" spans="1:3">
      <c r="A393" s="355" t="s">
        <v>334</v>
      </c>
      <c r="B393" s="350">
        <v>2428418</v>
      </c>
      <c r="C393" s="350" t="s">
        <v>50</v>
      </c>
    </row>
    <row r="394" spans="1:3">
      <c r="A394" s="355" t="s">
        <v>334</v>
      </c>
      <c r="B394" s="350">
        <v>2431251</v>
      </c>
      <c r="C394" s="350" t="s">
        <v>50</v>
      </c>
    </row>
    <row r="395" spans="1:3">
      <c r="A395" s="355" t="s">
        <v>334</v>
      </c>
      <c r="B395" s="350">
        <v>2442584</v>
      </c>
      <c r="C395" s="350" t="s">
        <v>50</v>
      </c>
    </row>
    <row r="396" spans="1:3">
      <c r="A396" s="355" t="s">
        <v>334</v>
      </c>
      <c r="B396" s="350">
        <v>2442989</v>
      </c>
      <c r="C396" s="350" t="s">
        <v>50</v>
      </c>
    </row>
    <row r="397" spans="1:3">
      <c r="A397" s="355" t="s">
        <v>334</v>
      </c>
      <c r="B397" s="350">
        <v>2447135</v>
      </c>
      <c r="C397" s="350" t="s">
        <v>50</v>
      </c>
    </row>
    <row r="398" spans="1:3">
      <c r="A398" s="355" t="s">
        <v>334</v>
      </c>
      <c r="B398" s="350">
        <v>2463304</v>
      </c>
      <c r="C398" s="350" t="s">
        <v>50</v>
      </c>
    </row>
    <row r="399" spans="1:3">
      <c r="A399" s="355" t="s">
        <v>334</v>
      </c>
      <c r="B399" s="350">
        <v>2469304</v>
      </c>
      <c r="C399" s="350" t="s">
        <v>50</v>
      </c>
    </row>
    <row r="400" spans="1:3">
      <c r="A400" s="355" t="s">
        <v>334</v>
      </c>
      <c r="B400" s="350">
        <v>2469472</v>
      </c>
      <c r="C400" s="350" t="s">
        <v>50</v>
      </c>
    </row>
    <row r="401" spans="1:3">
      <c r="A401" s="355" t="s">
        <v>334</v>
      </c>
      <c r="B401" s="350">
        <v>2472616</v>
      </c>
      <c r="C401" s="350" t="s">
        <v>50</v>
      </c>
    </row>
    <row r="402" spans="1:3">
      <c r="A402" s="355" t="s">
        <v>334</v>
      </c>
      <c r="B402" s="350">
        <v>2494784</v>
      </c>
      <c r="C402" s="350" t="s">
        <v>50</v>
      </c>
    </row>
    <row r="403" spans="1:3">
      <c r="A403" s="355" t="s">
        <v>334</v>
      </c>
      <c r="B403" s="350">
        <v>2505916</v>
      </c>
      <c r="C403" s="350" t="s">
        <v>50</v>
      </c>
    </row>
    <row r="404" spans="1:3">
      <c r="A404" s="355" t="s">
        <v>334</v>
      </c>
      <c r="B404" s="350">
        <v>2512053</v>
      </c>
      <c r="C404" s="350" t="s">
        <v>50</v>
      </c>
    </row>
    <row r="405" spans="1:3">
      <c r="A405" s="355" t="s">
        <v>334</v>
      </c>
      <c r="B405" s="350">
        <v>2518956</v>
      </c>
      <c r="C405" s="350" t="s">
        <v>50</v>
      </c>
    </row>
    <row r="406" spans="1:3">
      <c r="A406" s="355" t="s">
        <v>334</v>
      </c>
      <c r="B406" s="350">
        <v>2524635</v>
      </c>
      <c r="C406" s="350" t="s">
        <v>50</v>
      </c>
    </row>
    <row r="407" spans="1:3">
      <c r="A407" s="355" t="s">
        <v>334</v>
      </c>
      <c r="B407" s="350">
        <v>2535181</v>
      </c>
      <c r="C407" s="350" t="s">
        <v>50</v>
      </c>
    </row>
    <row r="408" spans="1:3">
      <c r="A408" s="355" t="s">
        <v>334</v>
      </c>
      <c r="B408" s="350">
        <v>2562699</v>
      </c>
      <c r="C408" s="350" t="s">
        <v>50</v>
      </c>
    </row>
    <row r="409" spans="1:3">
      <c r="A409" s="355" t="s">
        <v>334</v>
      </c>
      <c r="B409" s="350">
        <v>2562730</v>
      </c>
      <c r="C409" s="350" t="s">
        <v>50</v>
      </c>
    </row>
    <row r="410" spans="1:3">
      <c r="A410" s="355" t="s">
        <v>334</v>
      </c>
      <c r="B410" s="350">
        <v>2562735</v>
      </c>
      <c r="C410" s="350" t="s">
        <v>50</v>
      </c>
    </row>
    <row r="411" spans="1:3">
      <c r="A411" s="355" t="s">
        <v>334</v>
      </c>
      <c r="B411" s="350">
        <v>2570822</v>
      </c>
      <c r="C411" s="350" t="s">
        <v>50</v>
      </c>
    </row>
    <row r="412" spans="1:3">
      <c r="A412" s="355" t="s">
        <v>334</v>
      </c>
      <c r="B412" s="350">
        <v>2575518</v>
      </c>
      <c r="C412" s="350" t="s">
        <v>50</v>
      </c>
    </row>
    <row r="413" spans="1:3">
      <c r="A413" s="355" t="s">
        <v>334</v>
      </c>
      <c r="B413" s="350">
        <v>2581878</v>
      </c>
      <c r="C413" s="350" t="s">
        <v>50</v>
      </c>
    </row>
    <row r="414" spans="1:3">
      <c r="A414" s="355" t="s">
        <v>334</v>
      </c>
      <c r="B414" s="350">
        <v>2596822</v>
      </c>
      <c r="C414" s="350" t="s">
        <v>50</v>
      </c>
    </row>
    <row r="415" spans="1:3">
      <c r="A415" s="355" t="s">
        <v>334</v>
      </c>
      <c r="B415" s="350">
        <v>2596915</v>
      </c>
      <c r="C415" s="350" t="s">
        <v>50</v>
      </c>
    </row>
    <row r="416" spans="1:3">
      <c r="A416" s="355" t="s">
        <v>334</v>
      </c>
      <c r="B416" s="350">
        <v>2600719</v>
      </c>
      <c r="C416" s="350" t="s">
        <v>50</v>
      </c>
    </row>
    <row r="417" spans="1:3">
      <c r="A417" s="355" t="s">
        <v>334</v>
      </c>
      <c r="B417" s="350">
        <v>2606870</v>
      </c>
      <c r="C417" s="350" t="s">
        <v>50</v>
      </c>
    </row>
    <row r="418" spans="1:3">
      <c r="A418" s="355" t="s">
        <v>334</v>
      </c>
      <c r="B418" s="350">
        <v>2628191</v>
      </c>
      <c r="C418" s="350" t="s">
        <v>50</v>
      </c>
    </row>
    <row r="419" spans="1:3">
      <c r="A419" s="355" t="s">
        <v>334</v>
      </c>
      <c r="B419" s="350">
        <v>2628194</v>
      </c>
      <c r="C419" s="350" t="s">
        <v>50</v>
      </c>
    </row>
    <row r="420" spans="1:3">
      <c r="A420" s="355" t="s">
        <v>334</v>
      </c>
      <c r="B420" s="350">
        <v>2643771</v>
      </c>
      <c r="C420" s="350" t="s">
        <v>50</v>
      </c>
    </row>
    <row r="421" spans="1:3">
      <c r="A421" s="355" t="s">
        <v>334</v>
      </c>
      <c r="B421" s="350">
        <v>2648439</v>
      </c>
      <c r="C421" s="350" t="s">
        <v>50</v>
      </c>
    </row>
    <row r="422" spans="1:3">
      <c r="A422" s="355" t="s">
        <v>334</v>
      </c>
      <c r="B422" s="350">
        <v>2676922</v>
      </c>
      <c r="C422" s="350" t="s">
        <v>50</v>
      </c>
    </row>
    <row r="423" spans="1:3">
      <c r="A423" s="355" t="s">
        <v>334</v>
      </c>
      <c r="B423" s="350">
        <v>2677390</v>
      </c>
      <c r="C423" s="350" t="s">
        <v>50</v>
      </c>
    </row>
    <row r="424" spans="1:3">
      <c r="A424" s="355" t="s">
        <v>334</v>
      </c>
      <c r="B424" s="350">
        <v>2681892</v>
      </c>
      <c r="C424" s="350" t="s">
        <v>50</v>
      </c>
    </row>
    <row r="425" spans="1:3">
      <c r="A425" s="355" t="s">
        <v>334</v>
      </c>
      <c r="B425" s="350">
        <v>2689829</v>
      </c>
      <c r="C425" s="350" t="s">
        <v>50</v>
      </c>
    </row>
    <row r="426" spans="1:3">
      <c r="A426" s="351" t="s">
        <v>686</v>
      </c>
      <c r="B426" s="362">
        <v>1805874</v>
      </c>
      <c r="C426" s="349" t="s">
        <v>50</v>
      </c>
    </row>
    <row r="427" spans="1:3">
      <c r="A427" s="351" t="s">
        <v>686</v>
      </c>
      <c r="B427" s="362">
        <v>1807340</v>
      </c>
      <c r="C427" s="349" t="s">
        <v>50</v>
      </c>
    </row>
    <row r="428" spans="1:3">
      <c r="A428" s="351" t="s">
        <v>686</v>
      </c>
      <c r="B428" s="362">
        <v>1810367</v>
      </c>
      <c r="C428" s="349" t="s">
        <v>50</v>
      </c>
    </row>
    <row r="429" spans="1:3">
      <c r="A429" s="354" t="s">
        <v>686</v>
      </c>
      <c r="B429" s="362">
        <v>1818693</v>
      </c>
      <c r="C429" s="349" t="s">
        <v>50</v>
      </c>
    </row>
    <row r="430" spans="1:3">
      <c r="A430" s="354" t="s">
        <v>686</v>
      </c>
      <c r="B430" s="362">
        <v>1818721</v>
      </c>
      <c r="C430" s="349" t="s">
        <v>50</v>
      </c>
    </row>
    <row r="431" spans="1:3">
      <c r="A431" s="354" t="s">
        <v>686</v>
      </c>
      <c r="B431" s="362">
        <v>1837231</v>
      </c>
      <c r="C431" s="349" t="s">
        <v>50</v>
      </c>
    </row>
    <row r="432" spans="1:3">
      <c r="A432" s="354" t="s">
        <v>686</v>
      </c>
      <c r="B432" s="362">
        <v>1856774</v>
      </c>
      <c r="C432" s="349" t="s">
        <v>50</v>
      </c>
    </row>
    <row r="433" spans="1:3">
      <c r="A433" s="354" t="s">
        <v>686</v>
      </c>
      <c r="B433" s="362">
        <v>1858675</v>
      </c>
      <c r="C433" s="349" t="s">
        <v>50</v>
      </c>
    </row>
    <row r="434" spans="1:3">
      <c r="A434" s="355" t="s">
        <v>686</v>
      </c>
      <c r="B434" s="363">
        <v>1877228</v>
      </c>
      <c r="C434" s="350" t="s">
        <v>50</v>
      </c>
    </row>
    <row r="435" spans="1:3">
      <c r="A435" s="354" t="s">
        <v>686</v>
      </c>
      <c r="B435" s="362">
        <v>1887320</v>
      </c>
      <c r="C435" s="349" t="s">
        <v>50</v>
      </c>
    </row>
    <row r="436" spans="1:3">
      <c r="A436" s="354" t="s">
        <v>686</v>
      </c>
      <c r="B436" s="362">
        <v>1887522</v>
      </c>
      <c r="C436" s="349" t="s">
        <v>50</v>
      </c>
    </row>
    <row r="437" spans="1:3">
      <c r="A437" s="355" t="s">
        <v>686</v>
      </c>
      <c r="B437" s="363">
        <v>1889755</v>
      </c>
      <c r="C437" s="350" t="s">
        <v>50</v>
      </c>
    </row>
    <row r="438" spans="1:3">
      <c r="A438" s="351" t="s">
        <v>686</v>
      </c>
      <c r="B438" s="362">
        <v>1890305</v>
      </c>
      <c r="C438" s="349" t="s">
        <v>50</v>
      </c>
    </row>
    <row r="439" spans="1:3">
      <c r="A439" s="351" t="s">
        <v>686</v>
      </c>
      <c r="B439" s="362">
        <v>1890306</v>
      </c>
      <c r="C439" s="349" t="s">
        <v>50</v>
      </c>
    </row>
    <row r="440" spans="1:3">
      <c r="A440" s="351" t="s">
        <v>686</v>
      </c>
      <c r="B440" s="362">
        <v>1890518</v>
      </c>
      <c r="C440" s="349" t="s">
        <v>50</v>
      </c>
    </row>
    <row r="441" spans="1:3">
      <c r="A441" s="355" t="s">
        <v>686</v>
      </c>
      <c r="B441" s="363">
        <v>1890898</v>
      </c>
      <c r="C441" s="350" t="s">
        <v>50</v>
      </c>
    </row>
    <row r="442" spans="1:3">
      <c r="A442" s="354" t="s">
        <v>686</v>
      </c>
      <c r="B442" s="362">
        <v>1891369</v>
      </c>
      <c r="C442" s="349" t="s">
        <v>50</v>
      </c>
    </row>
    <row r="443" spans="1:3">
      <c r="A443" s="354" t="s">
        <v>686</v>
      </c>
      <c r="B443" s="362">
        <v>1892802</v>
      </c>
      <c r="C443" s="349" t="s">
        <v>50</v>
      </c>
    </row>
    <row r="444" spans="1:3">
      <c r="A444" s="354" t="s">
        <v>686</v>
      </c>
      <c r="B444" s="362">
        <v>1893840</v>
      </c>
      <c r="C444" s="349" t="s">
        <v>50</v>
      </c>
    </row>
    <row r="445" spans="1:3">
      <c r="A445" s="355" t="s">
        <v>686</v>
      </c>
      <c r="B445" s="363">
        <v>1898835</v>
      </c>
      <c r="C445" s="350" t="s">
        <v>50</v>
      </c>
    </row>
    <row r="446" spans="1:3">
      <c r="A446" s="355" t="s">
        <v>686</v>
      </c>
      <c r="B446" s="363">
        <v>1902331</v>
      </c>
      <c r="C446" s="350" t="s">
        <v>50</v>
      </c>
    </row>
    <row r="447" spans="1:3">
      <c r="A447" s="354" t="s">
        <v>686</v>
      </c>
      <c r="B447" s="362">
        <v>1902655</v>
      </c>
      <c r="C447" s="349" t="s">
        <v>50</v>
      </c>
    </row>
    <row r="448" spans="1:3">
      <c r="A448" s="354" t="s">
        <v>686</v>
      </c>
      <c r="B448" s="362">
        <v>1902874</v>
      </c>
      <c r="C448" s="349" t="s">
        <v>50</v>
      </c>
    </row>
    <row r="449" spans="1:3">
      <c r="A449" s="352" t="s">
        <v>686</v>
      </c>
      <c r="B449" s="363">
        <v>1904692</v>
      </c>
      <c r="C449" s="350" t="s">
        <v>50</v>
      </c>
    </row>
    <row r="450" spans="1:3">
      <c r="A450" s="352" t="s">
        <v>686</v>
      </c>
      <c r="B450" s="363">
        <v>1907428</v>
      </c>
      <c r="C450" s="350" t="s">
        <v>50</v>
      </c>
    </row>
    <row r="451" spans="1:3">
      <c r="A451" s="352" t="s">
        <v>686</v>
      </c>
      <c r="B451" s="363">
        <v>1908119</v>
      </c>
      <c r="C451" s="350" t="s">
        <v>50</v>
      </c>
    </row>
    <row r="452" spans="1:3">
      <c r="A452" s="355" t="s">
        <v>686</v>
      </c>
      <c r="B452" s="363">
        <v>1913575</v>
      </c>
      <c r="C452" s="350" t="s">
        <v>50</v>
      </c>
    </row>
    <row r="453" spans="1:3">
      <c r="A453" s="354" t="s">
        <v>686</v>
      </c>
      <c r="B453" s="362">
        <v>1913586</v>
      </c>
      <c r="C453" s="349" t="s">
        <v>50</v>
      </c>
    </row>
    <row r="454" spans="1:3">
      <c r="A454" s="355" t="s">
        <v>686</v>
      </c>
      <c r="B454" s="363">
        <v>1914808</v>
      </c>
      <c r="C454" s="350" t="s">
        <v>50</v>
      </c>
    </row>
    <row r="455" spans="1:3">
      <c r="A455" s="355" t="s">
        <v>686</v>
      </c>
      <c r="B455" s="363">
        <v>1914809</v>
      </c>
      <c r="C455" s="350" t="s">
        <v>50</v>
      </c>
    </row>
    <row r="456" spans="1:3">
      <c r="A456" s="355" t="s">
        <v>686</v>
      </c>
      <c r="B456" s="363">
        <v>1914812</v>
      </c>
      <c r="C456" s="350" t="s">
        <v>50</v>
      </c>
    </row>
    <row r="457" spans="1:3">
      <c r="A457" s="355" t="s">
        <v>686</v>
      </c>
      <c r="B457" s="363">
        <v>1916694</v>
      </c>
      <c r="C457" s="350" t="s">
        <v>50</v>
      </c>
    </row>
    <row r="458" spans="1:3">
      <c r="A458" s="355" t="s">
        <v>686</v>
      </c>
      <c r="B458" s="363">
        <v>1917046</v>
      </c>
      <c r="C458" s="350" t="s">
        <v>50</v>
      </c>
    </row>
    <row r="459" spans="1:3">
      <c r="A459" s="355" t="s">
        <v>686</v>
      </c>
      <c r="B459" s="363">
        <v>1917690</v>
      </c>
      <c r="C459" s="350" t="s">
        <v>50</v>
      </c>
    </row>
    <row r="460" spans="1:3">
      <c r="A460" s="352" t="s">
        <v>686</v>
      </c>
      <c r="B460" s="363">
        <v>1917907</v>
      </c>
      <c r="C460" s="350" t="s">
        <v>50</v>
      </c>
    </row>
    <row r="461" spans="1:3">
      <c r="A461" s="351" t="s">
        <v>686</v>
      </c>
      <c r="B461" s="362">
        <v>1920743</v>
      </c>
      <c r="C461" s="349" t="s">
        <v>50</v>
      </c>
    </row>
    <row r="462" spans="1:3">
      <c r="A462" s="352" t="s">
        <v>686</v>
      </c>
      <c r="B462" s="363">
        <v>1922655</v>
      </c>
      <c r="C462" s="350" t="s">
        <v>50</v>
      </c>
    </row>
    <row r="463" spans="1:3">
      <c r="A463" s="355" t="s">
        <v>686</v>
      </c>
      <c r="B463" s="363">
        <v>1934199</v>
      </c>
      <c r="C463" s="350" t="s">
        <v>50</v>
      </c>
    </row>
    <row r="464" spans="1:3">
      <c r="A464" s="355" t="s">
        <v>686</v>
      </c>
      <c r="B464" s="363">
        <v>1935610</v>
      </c>
      <c r="C464" s="350" t="s">
        <v>50</v>
      </c>
    </row>
    <row r="465" spans="1:3">
      <c r="A465" s="355" t="s">
        <v>686</v>
      </c>
      <c r="B465" s="363">
        <v>1938655</v>
      </c>
      <c r="C465" s="350" t="s">
        <v>50</v>
      </c>
    </row>
    <row r="466" spans="1:3">
      <c r="A466" s="355" t="s">
        <v>686</v>
      </c>
      <c r="B466" s="363">
        <v>1944590</v>
      </c>
      <c r="C466" s="350" t="s">
        <v>50</v>
      </c>
    </row>
    <row r="467" spans="1:3">
      <c r="A467" s="355" t="s">
        <v>686</v>
      </c>
      <c r="B467" s="363">
        <v>1944687</v>
      </c>
      <c r="C467" s="350" t="s">
        <v>50</v>
      </c>
    </row>
    <row r="468" spans="1:3">
      <c r="A468" s="355" t="s">
        <v>686</v>
      </c>
      <c r="B468" s="363">
        <v>1950986</v>
      </c>
      <c r="C468" s="350" t="s">
        <v>50</v>
      </c>
    </row>
    <row r="469" spans="1:3">
      <c r="A469" s="355" t="s">
        <v>686</v>
      </c>
      <c r="B469" s="363">
        <v>1950987</v>
      </c>
      <c r="C469" s="350" t="s">
        <v>50</v>
      </c>
    </row>
    <row r="470" spans="1:3">
      <c r="A470" s="355" t="s">
        <v>686</v>
      </c>
      <c r="B470" s="363">
        <v>1951744</v>
      </c>
      <c r="C470" s="350" t="s">
        <v>50</v>
      </c>
    </row>
    <row r="471" spans="1:3">
      <c r="A471" s="352" t="s">
        <v>686</v>
      </c>
      <c r="B471" s="363">
        <v>1952321</v>
      </c>
      <c r="C471" s="350" t="s">
        <v>50</v>
      </c>
    </row>
    <row r="472" spans="1:3">
      <c r="A472" s="352" t="s">
        <v>686</v>
      </c>
      <c r="B472" s="363">
        <v>1954087</v>
      </c>
      <c r="C472" s="350" t="s">
        <v>50</v>
      </c>
    </row>
    <row r="473" spans="1:3">
      <c r="A473" s="352" t="s">
        <v>686</v>
      </c>
      <c r="B473" s="363">
        <v>1954088</v>
      </c>
      <c r="C473" s="350" t="s">
        <v>50</v>
      </c>
    </row>
    <row r="474" spans="1:3">
      <c r="A474" s="354" t="s">
        <v>686</v>
      </c>
      <c r="B474" s="362">
        <v>1960479</v>
      </c>
      <c r="C474" s="349" t="s">
        <v>50</v>
      </c>
    </row>
    <row r="475" spans="1:3">
      <c r="A475" s="355" t="s">
        <v>686</v>
      </c>
      <c r="B475" s="363">
        <v>1964948</v>
      </c>
      <c r="C475" s="350" t="s">
        <v>50</v>
      </c>
    </row>
    <row r="476" spans="1:3">
      <c r="A476" s="355" t="s">
        <v>686</v>
      </c>
      <c r="B476" s="363">
        <v>1968224</v>
      </c>
      <c r="C476" s="350" t="s">
        <v>50</v>
      </c>
    </row>
    <row r="477" spans="1:3">
      <c r="A477" s="355" t="s">
        <v>686</v>
      </c>
      <c r="B477" s="363">
        <v>1968433</v>
      </c>
      <c r="C477" s="350" t="s">
        <v>50</v>
      </c>
    </row>
    <row r="478" spans="1:3">
      <c r="A478" s="355" t="s">
        <v>686</v>
      </c>
      <c r="B478" s="363">
        <v>1968930</v>
      </c>
      <c r="C478" s="350" t="s">
        <v>50</v>
      </c>
    </row>
    <row r="479" spans="1:3">
      <c r="A479" s="355" t="s">
        <v>686</v>
      </c>
      <c r="B479" s="363">
        <v>1969866</v>
      </c>
      <c r="C479" s="350" t="s">
        <v>50</v>
      </c>
    </row>
    <row r="480" spans="1:3">
      <c r="A480" s="355" t="s">
        <v>686</v>
      </c>
      <c r="B480" s="363">
        <v>1973378</v>
      </c>
      <c r="C480" s="350" t="s">
        <v>50</v>
      </c>
    </row>
    <row r="481" spans="1:3">
      <c r="A481" s="355" t="s">
        <v>686</v>
      </c>
      <c r="B481" s="363">
        <v>1978159</v>
      </c>
      <c r="C481" s="350" t="s">
        <v>50</v>
      </c>
    </row>
    <row r="482" spans="1:3">
      <c r="A482" s="355" t="s">
        <v>686</v>
      </c>
      <c r="B482" s="363">
        <v>1978161</v>
      </c>
      <c r="C482" s="350" t="s">
        <v>50</v>
      </c>
    </row>
    <row r="483" spans="1:3">
      <c r="A483" s="352" t="s">
        <v>686</v>
      </c>
      <c r="B483" s="363">
        <v>1978162</v>
      </c>
      <c r="C483" s="350" t="s">
        <v>50</v>
      </c>
    </row>
    <row r="484" spans="1:3">
      <c r="A484" s="352" t="s">
        <v>686</v>
      </c>
      <c r="B484" s="363">
        <v>1979313</v>
      </c>
      <c r="C484" s="350" t="s">
        <v>50</v>
      </c>
    </row>
    <row r="485" spans="1:3">
      <c r="A485" s="355" t="s">
        <v>686</v>
      </c>
      <c r="B485" s="363">
        <v>1979314</v>
      </c>
      <c r="C485" s="350" t="s">
        <v>50</v>
      </c>
    </row>
    <row r="486" spans="1:3">
      <c r="A486" s="355" t="s">
        <v>686</v>
      </c>
      <c r="B486" s="363">
        <v>1979315</v>
      </c>
      <c r="C486" s="350" t="s">
        <v>50</v>
      </c>
    </row>
    <row r="487" spans="1:3">
      <c r="A487" s="355" t="s">
        <v>686</v>
      </c>
      <c r="B487" s="363">
        <v>1979317</v>
      </c>
      <c r="C487" s="350" t="s">
        <v>50</v>
      </c>
    </row>
    <row r="488" spans="1:3">
      <c r="A488" s="355" t="s">
        <v>686</v>
      </c>
      <c r="B488" s="363">
        <v>1979453</v>
      </c>
      <c r="C488" s="350" t="s">
        <v>50</v>
      </c>
    </row>
    <row r="489" spans="1:3">
      <c r="A489" s="355" t="s">
        <v>686</v>
      </c>
      <c r="B489" s="363">
        <v>1980038</v>
      </c>
      <c r="C489" s="350" t="s">
        <v>50</v>
      </c>
    </row>
    <row r="490" spans="1:3">
      <c r="A490" s="355" t="s">
        <v>686</v>
      </c>
      <c r="B490" s="363">
        <v>1980178</v>
      </c>
      <c r="C490" s="350" t="s">
        <v>50</v>
      </c>
    </row>
    <row r="491" spans="1:3">
      <c r="A491" s="355" t="s">
        <v>686</v>
      </c>
      <c r="B491" s="363">
        <v>1988132</v>
      </c>
      <c r="C491" s="350" t="s">
        <v>50</v>
      </c>
    </row>
    <row r="492" spans="1:3">
      <c r="A492" s="355" t="s">
        <v>686</v>
      </c>
      <c r="B492" s="363">
        <v>1989057</v>
      </c>
      <c r="C492" s="350" t="s">
        <v>50</v>
      </c>
    </row>
    <row r="493" spans="1:3">
      <c r="A493" s="355" t="s">
        <v>686</v>
      </c>
      <c r="B493" s="363">
        <v>1990563</v>
      </c>
      <c r="C493" s="350" t="s">
        <v>50</v>
      </c>
    </row>
    <row r="494" spans="1:3">
      <c r="A494" s="352" t="s">
        <v>686</v>
      </c>
      <c r="B494" s="363">
        <v>1993560</v>
      </c>
      <c r="C494" s="350" t="s">
        <v>50</v>
      </c>
    </row>
    <row r="495" spans="1:3">
      <c r="A495" s="352" t="s">
        <v>686</v>
      </c>
      <c r="B495" s="363">
        <v>1993765</v>
      </c>
      <c r="C495" s="350" t="s">
        <v>50</v>
      </c>
    </row>
    <row r="496" spans="1:3">
      <c r="A496" s="352" t="s">
        <v>686</v>
      </c>
      <c r="B496" s="363">
        <v>1996946</v>
      </c>
      <c r="C496" s="350" t="s">
        <v>50</v>
      </c>
    </row>
    <row r="497" spans="1:3">
      <c r="A497" s="355" t="s">
        <v>686</v>
      </c>
      <c r="B497" s="363">
        <v>1996947</v>
      </c>
      <c r="C497" s="350" t="s">
        <v>50</v>
      </c>
    </row>
    <row r="498" spans="1:3">
      <c r="A498" s="355" t="s">
        <v>686</v>
      </c>
      <c r="B498" s="363">
        <v>1996948</v>
      </c>
      <c r="C498" s="350" t="s">
        <v>50</v>
      </c>
    </row>
    <row r="499" spans="1:3">
      <c r="A499" s="355" t="s">
        <v>686</v>
      </c>
      <c r="B499" s="363">
        <v>2005063</v>
      </c>
      <c r="C499" s="350" t="s">
        <v>50</v>
      </c>
    </row>
    <row r="500" spans="1:3">
      <c r="A500" s="355" t="s">
        <v>686</v>
      </c>
      <c r="B500" s="363">
        <v>2005098</v>
      </c>
      <c r="C500" s="350" t="s">
        <v>50</v>
      </c>
    </row>
    <row r="501" spans="1:3">
      <c r="A501" s="355" t="s">
        <v>686</v>
      </c>
      <c r="B501" s="363">
        <v>2005806</v>
      </c>
      <c r="C501" s="350" t="s">
        <v>50</v>
      </c>
    </row>
    <row r="502" spans="1:3">
      <c r="A502" s="355" t="s">
        <v>686</v>
      </c>
      <c r="B502" s="363">
        <v>2007373</v>
      </c>
      <c r="C502" s="350" t="s">
        <v>50</v>
      </c>
    </row>
    <row r="503" spans="1:3">
      <c r="A503" s="355" t="s">
        <v>686</v>
      </c>
      <c r="B503" s="363">
        <v>2013335</v>
      </c>
      <c r="C503" s="350" t="s">
        <v>50</v>
      </c>
    </row>
    <row r="504" spans="1:3">
      <c r="A504" s="355" t="s">
        <v>686</v>
      </c>
      <c r="B504" s="363">
        <v>2013878</v>
      </c>
      <c r="C504" s="350" t="s">
        <v>50</v>
      </c>
    </row>
    <row r="505" spans="1:3">
      <c r="A505" s="351" t="s">
        <v>686</v>
      </c>
      <c r="B505" s="362">
        <v>2020302</v>
      </c>
      <c r="C505" s="349" t="s">
        <v>50</v>
      </c>
    </row>
    <row r="506" spans="1:3">
      <c r="A506" s="352" t="s">
        <v>686</v>
      </c>
      <c r="B506" s="363">
        <v>2021380</v>
      </c>
      <c r="C506" s="350" t="s">
        <v>50</v>
      </c>
    </row>
    <row r="507" spans="1:3">
      <c r="A507" s="352" t="s">
        <v>686</v>
      </c>
      <c r="B507" s="363">
        <v>2023005</v>
      </c>
      <c r="C507" s="350" t="s">
        <v>50</v>
      </c>
    </row>
    <row r="508" spans="1:3">
      <c r="A508" s="355" t="s">
        <v>686</v>
      </c>
      <c r="B508" s="363">
        <v>2025093</v>
      </c>
      <c r="C508" s="350" t="s">
        <v>50</v>
      </c>
    </row>
    <row r="509" spans="1:3">
      <c r="A509" s="355" t="s">
        <v>686</v>
      </c>
      <c r="B509" s="363">
        <v>2026495</v>
      </c>
      <c r="C509" s="350" t="s">
        <v>50</v>
      </c>
    </row>
    <row r="510" spans="1:3">
      <c r="A510" s="355" t="s">
        <v>686</v>
      </c>
      <c r="B510" s="363">
        <v>2029523</v>
      </c>
      <c r="C510" s="350" t="s">
        <v>50</v>
      </c>
    </row>
    <row r="511" spans="1:3">
      <c r="A511" s="355" t="s">
        <v>686</v>
      </c>
      <c r="B511" s="363">
        <v>2030453</v>
      </c>
      <c r="C511" s="350" t="s">
        <v>50</v>
      </c>
    </row>
    <row r="512" spans="1:3">
      <c r="A512" s="355" t="s">
        <v>686</v>
      </c>
      <c r="B512" s="363">
        <v>2030454</v>
      </c>
      <c r="C512" s="350" t="s">
        <v>50</v>
      </c>
    </row>
    <row r="513" spans="1:3">
      <c r="A513" s="355" t="s">
        <v>686</v>
      </c>
      <c r="B513" s="363">
        <v>2031625</v>
      </c>
      <c r="C513" s="350" t="s">
        <v>50</v>
      </c>
    </row>
    <row r="514" spans="1:3">
      <c r="A514" s="355" t="s">
        <v>686</v>
      </c>
      <c r="B514" s="363">
        <v>2033477</v>
      </c>
      <c r="C514" s="350" t="s">
        <v>50</v>
      </c>
    </row>
    <row r="515" spans="1:3">
      <c r="A515" s="355" t="s">
        <v>686</v>
      </c>
      <c r="B515" s="363">
        <v>2034970</v>
      </c>
      <c r="C515" s="350" t="s">
        <v>50</v>
      </c>
    </row>
    <row r="516" spans="1:3">
      <c r="A516" s="352" t="s">
        <v>686</v>
      </c>
      <c r="B516" s="363">
        <v>2034974</v>
      </c>
      <c r="C516" s="350" t="s">
        <v>50</v>
      </c>
    </row>
    <row r="517" spans="1:3">
      <c r="A517" s="352" t="s">
        <v>686</v>
      </c>
      <c r="B517" s="363">
        <v>2043676</v>
      </c>
      <c r="C517" s="350" t="s">
        <v>50</v>
      </c>
    </row>
    <row r="518" spans="1:3">
      <c r="A518" s="352" t="s">
        <v>686</v>
      </c>
      <c r="B518" s="363">
        <v>2049487</v>
      </c>
      <c r="C518" s="350" t="s">
        <v>50</v>
      </c>
    </row>
    <row r="519" spans="1:3">
      <c r="A519" s="355" t="s">
        <v>686</v>
      </c>
      <c r="B519" s="363">
        <v>2055431</v>
      </c>
      <c r="C519" s="350" t="s">
        <v>50</v>
      </c>
    </row>
    <row r="520" spans="1:3">
      <c r="A520" s="355" t="s">
        <v>686</v>
      </c>
      <c r="B520" s="363">
        <v>2057241</v>
      </c>
      <c r="C520" s="350" t="s">
        <v>50</v>
      </c>
    </row>
    <row r="521" spans="1:3">
      <c r="A521" s="355" t="s">
        <v>686</v>
      </c>
      <c r="B521" s="363">
        <v>2061839</v>
      </c>
      <c r="C521" s="350" t="s">
        <v>50</v>
      </c>
    </row>
    <row r="522" spans="1:3">
      <c r="A522" s="355" t="s">
        <v>686</v>
      </c>
      <c r="B522" s="363">
        <v>2062253</v>
      </c>
      <c r="C522" s="350" t="s">
        <v>50</v>
      </c>
    </row>
    <row r="523" spans="1:3">
      <c r="A523" s="355" t="s">
        <v>686</v>
      </c>
      <c r="B523" s="363">
        <v>2064520</v>
      </c>
      <c r="C523" s="350" t="s">
        <v>50</v>
      </c>
    </row>
    <row r="524" spans="1:3">
      <c r="A524" s="355" t="s">
        <v>686</v>
      </c>
      <c r="B524" s="363">
        <v>2073604</v>
      </c>
      <c r="C524" s="350" t="s">
        <v>50</v>
      </c>
    </row>
    <row r="525" spans="1:3">
      <c r="A525" s="355" t="s">
        <v>686</v>
      </c>
      <c r="B525" s="363">
        <v>2075904</v>
      </c>
      <c r="C525" s="350" t="s">
        <v>50</v>
      </c>
    </row>
    <row r="526" spans="1:3">
      <c r="A526" s="355" t="s">
        <v>686</v>
      </c>
      <c r="B526" s="363">
        <v>2076771</v>
      </c>
      <c r="C526" s="350" t="s">
        <v>50</v>
      </c>
    </row>
    <row r="527" spans="1:3">
      <c r="A527" s="355" t="s">
        <v>686</v>
      </c>
      <c r="B527" s="363">
        <v>2087296</v>
      </c>
      <c r="C527" s="350" t="s">
        <v>50</v>
      </c>
    </row>
    <row r="528" spans="1:3">
      <c r="A528" s="352" t="s">
        <v>686</v>
      </c>
      <c r="B528" s="363">
        <v>2090688</v>
      </c>
      <c r="C528" s="350" t="s">
        <v>50</v>
      </c>
    </row>
    <row r="529" spans="1:3">
      <c r="A529" s="352" t="s">
        <v>686</v>
      </c>
      <c r="B529" s="363">
        <v>2093477</v>
      </c>
      <c r="C529" s="350" t="s">
        <v>50</v>
      </c>
    </row>
    <row r="530" spans="1:3">
      <c r="A530" s="355" t="s">
        <v>686</v>
      </c>
      <c r="B530" s="363">
        <v>2108398</v>
      </c>
      <c r="C530" s="350" t="s">
        <v>50</v>
      </c>
    </row>
    <row r="531" spans="1:3">
      <c r="A531" s="355" t="s">
        <v>686</v>
      </c>
      <c r="B531" s="363">
        <v>2108399</v>
      </c>
      <c r="C531" s="350" t="s">
        <v>50</v>
      </c>
    </row>
    <row r="532" spans="1:3">
      <c r="A532" s="355" t="s">
        <v>686</v>
      </c>
      <c r="B532" s="363">
        <v>2118313</v>
      </c>
      <c r="C532" s="350" t="s">
        <v>50</v>
      </c>
    </row>
    <row r="533" spans="1:3">
      <c r="A533" s="355" t="s">
        <v>686</v>
      </c>
      <c r="B533" s="363">
        <v>2124528</v>
      </c>
      <c r="C533" s="350" t="s">
        <v>50</v>
      </c>
    </row>
    <row r="534" spans="1:3">
      <c r="A534" s="355" t="s">
        <v>686</v>
      </c>
      <c r="B534" s="363">
        <v>2134175</v>
      </c>
      <c r="C534" s="350" t="s">
        <v>50</v>
      </c>
    </row>
    <row r="535" spans="1:3">
      <c r="A535" s="355" t="s">
        <v>686</v>
      </c>
      <c r="B535" s="363">
        <v>2141141</v>
      </c>
      <c r="C535" s="350" t="s">
        <v>50</v>
      </c>
    </row>
    <row r="536" spans="1:3">
      <c r="A536" s="355" t="s">
        <v>686</v>
      </c>
      <c r="B536" s="363">
        <v>2148424</v>
      </c>
      <c r="C536" s="350" t="s">
        <v>50</v>
      </c>
    </row>
    <row r="537" spans="1:3">
      <c r="A537" s="355" t="s">
        <v>686</v>
      </c>
      <c r="B537" s="363">
        <v>2149397</v>
      </c>
      <c r="C537" s="350" t="s">
        <v>50</v>
      </c>
    </row>
    <row r="538" spans="1:3">
      <c r="A538" s="355" t="s">
        <v>686</v>
      </c>
      <c r="B538" s="363">
        <v>2150206</v>
      </c>
      <c r="C538" s="350" t="s">
        <v>50</v>
      </c>
    </row>
    <row r="539" spans="1:3">
      <c r="A539" s="352" t="s">
        <v>686</v>
      </c>
      <c r="B539" s="363">
        <v>2150859</v>
      </c>
      <c r="C539" s="350" t="s">
        <v>50</v>
      </c>
    </row>
    <row r="540" spans="1:3">
      <c r="A540" s="352" t="s">
        <v>686</v>
      </c>
      <c r="B540" s="363">
        <v>2151955</v>
      </c>
      <c r="C540" s="350" t="s">
        <v>50</v>
      </c>
    </row>
    <row r="541" spans="1:3">
      <c r="A541" s="352" t="s">
        <v>686</v>
      </c>
      <c r="B541" s="363">
        <v>2156677</v>
      </c>
      <c r="C541" s="350" t="s">
        <v>50</v>
      </c>
    </row>
    <row r="542" spans="1:3">
      <c r="A542" s="355" t="s">
        <v>686</v>
      </c>
      <c r="B542" s="363">
        <v>2156679</v>
      </c>
      <c r="C542" s="350" t="s">
        <v>50</v>
      </c>
    </row>
    <row r="543" spans="1:3">
      <c r="A543" s="355" t="s">
        <v>686</v>
      </c>
      <c r="B543" s="363">
        <v>2161251</v>
      </c>
      <c r="C543" s="350" t="s">
        <v>50</v>
      </c>
    </row>
    <row r="544" spans="1:3">
      <c r="A544" s="355" t="s">
        <v>686</v>
      </c>
      <c r="B544" s="363">
        <v>2218109</v>
      </c>
      <c r="C544" s="350" t="s">
        <v>50</v>
      </c>
    </row>
    <row r="545" spans="1:3">
      <c r="A545" s="355" t="s">
        <v>686</v>
      </c>
      <c r="B545" s="363">
        <v>2239650</v>
      </c>
      <c r="C545" s="350" t="s">
        <v>50</v>
      </c>
    </row>
    <row r="546" spans="1:3">
      <c r="A546" s="355" t="s">
        <v>686</v>
      </c>
      <c r="B546" s="363">
        <v>2240804</v>
      </c>
      <c r="C546" s="350" t="s">
        <v>50</v>
      </c>
    </row>
    <row r="547" spans="1:3">
      <c r="A547" s="355" t="s">
        <v>686</v>
      </c>
      <c r="B547" s="363">
        <v>2243416</v>
      </c>
      <c r="C547" s="350" t="s">
        <v>50</v>
      </c>
    </row>
    <row r="548" spans="1:3">
      <c r="A548" s="355" t="s">
        <v>686</v>
      </c>
      <c r="B548" s="363">
        <v>2243418</v>
      </c>
      <c r="C548" s="350" t="s">
        <v>50</v>
      </c>
    </row>
    <row r="549" spans="1:3">
      <c r="A549" s="355" t="s">
        <v>686</v>
      </c>
      <c r="B549" s="363">
        <v>2246901</v>
      </c>
      <c r="C549" s="350" t="s">
        <v>50</v>
      </c>
    </row>
    <row r="550" spans="1:3">
      <c r="A550" s="352" t="s">
        <v>686</v>
      </c>
      <c r="B550" s="363">
        <v>2250682</v>
      </c>
      <c r="C550" s="350" t="s">
        <v>50</v>
      </c>
    </row>
    <row r="551" spans="1:3">
      <c r="A551" s="352" t="s">
        <v>686</v>
      </c>
      <c r="B551" s="363">
        <v>2250809</v>
      </c>
      <c r="C551" s="350" t="s">
        <v>50</v>
      </c>
    </row>
    <row r="552" spans="1:3">
      <c r="A552" s="352" t="s">
        <v>686</v>
      </c>
      <c r="B552" s="363">
        <v>2253201</v>
      </c>
      <c r="C552" s="350" t="s">
        <v>50</v>
      </c>
    </row>
    <row r="553" spans="1:3">
      <c r="A553" s="355" t="s">
        <v>686</v>
      </c>
      <c r="B553" s="363">
        <v>2259229</v>
      </c>
      <c r="C553" s="350" t="s">
        <v>50</v>
      </c>
    </row>
    <row r="554" spans="1:3">
      <c r="A554" s="355" t="s">
        <v>686</v>
      </c>
      <c r="B554" s="363">
        <v>2259693</v>
      </c>
      <c r="C554" s="350" t="s">
        <v>50</v>
      </c>
    </row>
    <row r="555" spans="1:3">
      <c r="A555" s="355" t="s">
        <v>686</v>
      </c>
      <c r="B555" s="363">
        <v>2267396</v>
      </c>
      <c r="C555" s="350" t="s">
        <v>50</v>
      </c>
    </row>
    <row r="556" spans="1:3">
      <c r="A556" s="355" t="s">
        <v>686</v>
      </c>
      <c r="B556" s="363">
        <v>2269651</v>
      </c>
      <c r="C556" s="350" t="s">
        <v>50</v>
      </c>
    </row>
    <row r="557" spans="1:3">
      <c r="A557" s="355" t="s">
        <v>686</v>
      </c>
      <c r="B557" s="363">
        <v>2281222</v>
      </c>
      <c r="C557" s="350" t="s">
        <v>50</v>
      </c>
    </row>
    <row r="558" spans="1:3">
      <c r="A558" s="355" t="s">
        <v>686</v>
      </c>
      <c r="B558" s="363">
        <v>2281862</v>
      </c>
      <c r="C558" s="350" t="s">
        <v>50</v>
      </c>
    </row>
    <row r="559" spans="1:3">
      <c r="A559" s="355" t="s">
        <v>686</v>
      </c>
      <c r="B559" s="363">
        <v>2286301</v>
      </c>
      <c r="C559" s="350" t="s">
        <v>50</v>
      </c>
    </row>
    <row r="560" spans="1:3">
      <c r="A560" s="355" t="s">
        <v>686</v>
      </c>
      <c r="B560" s="363">
        <v>2286302</v>
      </c>
      <c r="C560" s="350" t="s">
        <v>50</v>
      </c>
    </row>
    <row r="561" spans="1:3">
      <c r="A561" s="352" t="s">
        <v>686</v>
      </c>
      <c r="B561" s="363">
        <v>2298652</v>
      </c>
      <c r="C561" s="350" t="s">
        <v>50</v>
      </c>
    </row>
    <row r="562" spans="1:3">
      <c r="A562" s="352" t="s">
        <v>686</v>
      </c>
      <c r="B562" s="363">
        <v>2302896</v>
      </c>
      <c r="C562" s="350" t="s">
        <v>50</v>
      </c>
    </row>
    <row r="563" spans="1:3">
      <c r="A563" s="352" t="s">
        <v>686</v>
      </c>
      <c r="B563" s="363">
        <v>2305448</v>
      </c>
      <c r="C563" s="350" t="s">
        <v>50</v>
      </c>
    </row>
    <row r="564" spans="1:3">
      <c r="A564" s="355" t="s">
        <v>686</v>
      </c>
      <c r="B564" s="363">
        <v>2308973</v>
      </c>
      <c r="C564" s="350" t="s">
        <v>50</v>
      </c>
    </row>
    <row r="565" spans="1:3">
      <c r="A565" s="355" t="s">
        <v>686</v>
      </c>
      <c r="B565" s="363">
        <v>2312447</v>
      </c>
      <c r="C565" s="350" t="s">
        <v>50</v>
      </c>
    </row>
    <row r="566" spans="1:3">
      <c r="A566" s="355" t="s">
        <v>686</v>
      </c>
      <c r="B566" s="363">
        <v>2320947</v>
      </c>
      <c r="C566" s="350" t="s">
        <v>50</v>
      </c>
    </row>
    <row r="567" spans="1:3">
      <c r="A567" s="355" t="s">
        <v>686</v>
      </c>
      <c r="B567" s="363">
        <v>2330028</v>
      </c>
      <c r="C567" s="350" t="s">
        <v>50</v>
      </c>
    </row>
    <row r="568" spans="1:3">
      <c r="A568" s="355" t="s">
        <v>686</v>
      </c>
      <c r="B568" s="363">
        <v>2332665</v>
      </c>
      <c r="C568" s="350" t="s">
        <v>50</v>
      </c>
    </row>
    <row r="569" spans="1:3">
      <c r="A569" s="355" t="s">
        <v>686</v>
      </c>
      <c r="B569" s="363">
        <v>2336032</v>
      </c>
      <c r="C569" s="350" t="s">
        <v>50</v>
      </c>
    </row>
    <row r="570" spans="1:3">
      <c r="A570" s="355" t="s">
        <v>686</v>
      </c>
      <c r="B570" s="363">
        <v>2348896</v>
      </c>
      <c r="C570" s="350" t="s">
        <v>50</v>
      </c>
    </row>
    <row r="571" spans="1:3">
      <c r="A571" s="355" t="s">
        <v>686</v>
      </c>
      <c r="B571" s="363">
        <v>2355211</v>
      </c>
      <c r="C571" s="350" t="s">
        <v>50</v>
      </c>
    </row>
    <row r="572" spans="1:3">
      <c r="A572" s="355" t="s">
        <v>686</v>
      </c>
      <c r="B572" s="363">
        <v>2360835</v>
      </c>
      <c r="C572" s="350" t="s">
        <v>50</v>
      </c>
    </row>
    <row r="573" spans="1:3">
      <c r="A573" s="352" t="s">
        <v>686</v>
      </c>
      <c r="B573" s="363">
        <v>2380607</v>
      </c>
      <c r="C573" s="350" t="s">
        <v>50</v>
      </c>
    </row>
    <row r="574" spans="1:3">
      <c r="A574" s="352" t="s">
        <v>686</v>
      </c>
      <c r="B574" s="363">
        <v>2388681</v>
      </c>
      <c r="C574" s="350" t="s">
        <v>50</v>
      </c>
    </row>
    <row r="575" spans="1:3">
      <c r="A575" s="352" t="s">
        <v>686</v>
      </c>
      <c r="B575" s="363">
        <v>2393900</v>
      </c>
      <c r="C575" s="350" t="s">
        <v>50</v>
      </c>
    </row>
    <row r="576" spans="1:3">
      <c r="A576" s="355" t="s">
        <v>686</v>
      </c>
      <c r="B576" s="363">
        <v>2394234</v>
      </c>
      <c r="C576" s="350" t="s">
        <v>50</v>
      </c>
    </row>
    <row r="577" spans="1:3">
      <c r="A577" s="355" t="s">
        <v>686</v>
      </c>
      <c r="B577" s="363">
        <v>2395611</v>
      </c>
      <c r="C577" s="350" t="s">
        <v>50</v>
      </c>
    </row>
    <row r="578" spans="1:3">
      <c r="A578" s="355" t="s">
        <v>686</v>
      </c>
      <c r="B578" s="363">
        <v>2395629</v>
      </c>
      <c r="C578" s="350" t="s">
        <v>50</v>
      </c>
    </row>
    <row r="579" spans="1:3">
      <c r="A579" s="355" t="s">
        <v>686</v>
      </c>
      <c r="B579" s="363">
        <v>2395648</v>
      </c>
      <c r="C579" s="350" t="s">
        <v>50</v>
      </c>
    </row>
    <row r="580" spans="1:3">
      <c r="A580" s="355" t="s">
        <v>686</v>
      </c>
      <c r="B580" s="363">
        <v>2419683</v>
      </c>
      <c r="C580" s="350" t="s">
        <v>50</v>
      </c>
    </row>
    <row r="581" spans="1:3">
      <c r="A581" s="355" t="s">
        <v>686</v>
      </c>
      <c r="B581" s="363">
        <v>2420407</v>
      </c>
      <c r="C581" s="350" t="s">
        <v>50</v>
      </c>
    </row>
    <row r="582" spans="1:3">
      <c r="A582" s="355" t="s">
        <v>686</v>
      </c>
      <c r="B582" s="363">
        <v>2429806</v>
      </c>
      <c r="C582" s="350" t="s">
        <v>50</v>
      </c>
    </row>
    <row r="583" spans="1:3">
      <c r="A583" s="352" t="s">
        <v>686</v>
      </c>
      <c r="B583" s="363">
        <v>2431686</v>
      </c>
      <c r="C583" s="350" t="s">
        <v>50</v>
      </c>
    </row>
    <row r="584" spans="1:3">
      <c r="A584" s="352" t="s">
        <v>686</v>
      </c>
      <c r="B584" s="363">
        <v>2434492</v>
      </c>
      <c r="C584" s="350" t="s">
        <v>50</v>
      </c>
    </row>
    <row r="585" spans="1:3">
      <c r="A585" s="352" t="s">
        <v>686</v>
      </c>
      <c r="B585" s="363">
        <v>2434511</v>
      </c>
      <c r="C585" s="350" t="s">
        <v>50</v>
      </c>
    </row>
    <row r="586" spans="1:3">
      <c r="A586" s="355" t="s">
        <v>686</v>
      </c>
      <c r="B586" s="363">
        <v>2436797</v>
      </c>
      <c r="C586" s="350" t="s">
        <v>50</v>
      </c>
    </row>
    <row r="587" spans="1:3">
      <c r="A587" s="355" t="s">
        <v>686</v>
      </c>
      <c r="B587" s="363">
        <v>2441277</v>
      </c>
      <c r="C587" s="350" t="s">
        <v>50</v>
      </c>
    </row>
    <row r="588" spans="1:3">
      <c r="A588" s="355" t="s">
        <v>686</v>
      </c>
      <c r="B588" s="350">
        <v>2441922</v>
      </c>
      <c r="C588" s="350" t="s">
        <v>50</v>
      </c>
    </row>
    <row r="589" spans="1:3">
      <c r="A589" s="355" t="s">
        <v>686</v>
      </c>
      <c r="B589" s="350">
        <v>2449397</v>
      </c>
      <c r="C589" s="350" t="s">
        <v>50</v>
      </c>
    </row>
    <row r="590" spans="1:3">
      <c r="A590" s="352" t="s">
        <v>686</v>
      </c>
      <c r="B590" s="363">
        <v>2467531</v>
      </c>
      <c r="C590" s="350" t="s">
        <v>50</v>
      </c>
    </row>
    <row r="591" spans="1:3">
      <c r="A591" s="355" t="s">
        <v>686</v>
      </c>
      <c r="B591" s="363">
        <v>2485913</v>
      </c>
      <c r="C591" s="350" t="s">
        <v>50</v>
      </c>
    </row>
    <row r="592" spans="1:3">
      <c r="A592" s="355" t="s">
        <v>686</v>
      </c>
      <c r="B592" s="363">
        <v>2503406</v>
      </c>
      <c r="C592" s="350" t="s">
        <v>50</v>
      </c>
    </row>
    <row r="593" spans="1:3">
      <c r="A593" s="355" t="s">
        <v>686</v>
      </c>
      <c r="B593" s="363">
        <v>2508524</v>
      </c>
      <c r="C593" s="350" t="s">
        <v>50</v>
      </c>
    </row>
    <row r="594" spans="1:3">
      <c r="A594" s="352" t="s">
        <v>686</v>
      </c>
      <c r="B594" s="350">
        <v>2531202</v>
      </c>
      <c r="C594" s="350" t="s">
        <v>50</v>
      </c>
    </row>
    <row r="595" spans="1:3">
      <c r="A595" s="352" t="s">
        <v>686</v>
      </c>
      <c r="B595" s="363">
        <v>2544561</v>
      </c>
      <c r="C595" s="350" t="s">
        <v>50</v>
      </c>
    </row>
    <row r="596" spans="1:3">
      <c r="A596" s="355" t="s">
        <v>686</v>
      </c>
      <c r="B596" s="363">
        <v>2567753</v>
      </c>
      <c r="C596" s="350" t="s">
        <v>50</v>
      </c>
    </row>
    <row r="597" spans="1:3">
      <c r="A597" s="354" t="s">
        <v>51</v>
      </c>
      <c r="B597" s="349">
        <v>1894162</v>
      </c>
      <c r="C597" s="349" t="s">
        <v>49</v>
      </c>
    </row>
    <row r="598" spans="1:3">
      <c r="A598" s="354" t="s">
        <v>51</v>
      </c>
      <c r="B598" s="349">
        <v>1935529</v>
      </c>
      <c r="C598" s="349" t="s">
        <v>49</v>
      </c>
    </row>
    <row r="599" spans="1:3">
      <c r="A599" s="354" t="s">
        <v>51</v>
      </c>
      <c r="B599" s="349">
        <v>1941647</v>
      </c>
      <c r="C599" s="349" t="s">
        <v>49</v>
      </c>
    </row>
    <row r="600" spans="1:3">
      <c r="A600" s="354" t="s">
        <v>51</v>
      </c>
      <c r="B600" s="349">
        <v>2021872</v>
      </c>
      <c r="C600" s="349" t="s">
        <v>49</v>
      </c>
    </row>
    <row r="601" spans="1:3">
      <c r="A601" s="355" t="s">
        <v>51</v>
      </c>
      <c r="B601" s="350">
        <v>2044800</v>
      </c>
      <c r="C601" s="350" t="s">
        <v>49</v>
      </c>
    </row>
    <row r="602" spans="1:3">
      <c r="A602" s="355" t="s">
        <v>51</v>
      </c>
      <c r="B602" s="350">
        <v>2044801</v>
      </c>
      <c r="C602" s="350" t="s">
        <v>49</v>
      </c>
    </row>
    <row r="603" spans="1:3">
      <c r="A603" s="354" t="s">
        <v>51</v>
      </c>
      <c r="B603" s="349">
        <v>2049442</v>
      </c>
      <c r="C603" s="349" t="s">
        <v>49</v>
      </c>
    </row>
    <row r="604" spans="1:3">
      <c r="A604" s="355" t="s">
        <v>51</v>
      </c>
      <c r="B604" s="350">
        <v>2072913</v>
      </c>
      <c r="C604" s="350" t="s">
        <v>49</v>
      </c>
    </row>
    <row r="605" spans="1:3">
      <c r="A605" s="355" t="s">
        <v>51</v>
      </c>
      <c r="B605" s="350">
        <v>2078237</v>
      </c>
      <c r="C605" s="350" t="s">
        <v>49</v>
      </c>
    </row>
    <row r="606" spans="1:3">
      <c r="A606" s="355" t="s">
        <v>51</v>
      </c>
      <c r="B606" s="350">
        <v>2085009</v>
      </c>
      <c r="C606" s="350" t="s">
        <v>49</v>
      </c>
    </row>
    <row r="607" spans="1:3">
      <c r="A607" s="355" t="s">
        <v>51</v>
      </c>
      <c r="B607" s="350">
        <v>2086562</v>
      </c>
      <c r="C607" s="350" t="s">
        <v>49</v>
      </c>
    </row>
    <row r="608" spans="1:3">
      <c r="A608" s="355" t="s">
        <v>51</v>
      </c>
      <c r="B608" s="350">
        <v>2088590</v>
      </c>
      <c r="C608" s="350" t="s">
        <v>49</v>
      </c>
    </row>
    <row r="609" spans="1:3">
      <c r="A609" s="355" t="s">
        <v>51</v>
      </c>
      <c r="B609" s="350">
        <v>2089197</v>
      </c>
      <c r="C609" s="350" t="s">
        <v>49</v>
      </c>
    </row>
    <row r="610" spans="1:3">
      <c r="A610" s="355" t="s">
        <v>51</v>
      </c>
      <c r="B610" s="350">
        <v>2094000</v>
      </c>
      <c r="C610" s="350" t="s">
        <v>49</v>
      </c>
    </row>
    <row r="611" spans="1:3">
      <c r="A611" s="355" t="s">
        <v>51</v>
      </c>
      <c r="B611" s="350">
        <v>2098954</v>
      </c>
      <c r="C611" s="350" t="s">
        <v>49</v>
      </c>
    </row>
    <row r="612" spans="1:3">
      <c r="A612" s="355" t="s">
        <v>51</v>
      </c>
      <c r="B612" s="350">
        <v>2103272</v>
      </c>
      <c r="C612" s="350" t="s">
        <v>49</v>
      </c>
    </row>
    <row r="613" spans="1:3">
      <c r="A613" s="355" t="s">
        <v>51</v>
      </c>
      <c r="B613" s="350">
        <v>2104726</v>
      </c>
      <c r="C613" s="350" t="s">
        <v>49</v>
      </c>
    </row>
    <row r="614" spans="1:3">
      <c r="A614" s="355" t="s">
        <v>51</v>
      </c>
      <c r="B614" s="350">
        <v>2104738</v>
      </c>
      <c r="C614" s="350" t="s">
        <v>49</v>
      </c>
    </row>
    <row r="615" spans="1:3">
      <c r="A615" s="355" t="s">
        <v>51</v>
      </c>
      <c r="B615" s="350">
        <v>2104753</v>
      </c>
      <c r="C615" s="350" t="s">
        <v>49</v>
      </c>
    </row>
    <row r="616" spans="1:3">
      <c r="A616" s="355" t="s">
        <v>51</v>
      </c>
      <c r="B616" s="350">
        <v>2114306</v>
      </c>
      <c r="C616" s="350" t="s">
        <v>49</v>
      </c>
    </row>
    <row r="617" spans="1:3">
      <c r="A617" s="355" t="s">
        <v>51</v>
      </c>
      <c r="B617" s="350">
        <v>2118054</v>
      </c>
      <c r="C617" s="350" t="s">
        <v>49</v>
      </c>
    </row>
    <row r="618" spans="1:3">
      <c r="A618" s="355" t="s">
        <v>51</v>
      </c>
      <c r="B618" s="350">
        <v>2119527</v>
      </c>
      <c r="C618" s="350" t="s">
        <v>49</v>
      </c>
    </row>
    <row r="619" spans="1:3">
      <c r="A619" s="355" t="s">
        <v>51</v>
      </c>
      <c r="B619" s="350">
        <v>2123217</v>
      </c>
      <c r="C619" s="350" t="s">
        <v>49</v>
      </c>
    </row>
    <row r="620" spans="1:3">
      <c r="A620" s="355" t="s">
        <v>51</v>
      </c>
      <c r="B620" s="350">
        <v>2126731</v>
      </c>
      <c r="C620" s="350" t="s">
        <v>49</v>
      </c>
    </row>
    <row r="621" spans="1:3">
      <c r="A621" s="355" t="s">
        <v>51</v>
      </c>
      <c r="B621" s="350">
        <v>2127547</v>
      </c>
      <c r="C621" s="350" t="s">
        <v>49</v>
      </c>
    </row>
    <row r="622" spans="1:3">
      <c r="A622" s="355" t="s">
        <v>51</v>
      </c>
      <c r="B622" s="350">
        <v>2133977</v>
      </c>
      <c r="C622" s="350" t="s">
        <v>49</v>
      </c>
    </row>
    <row r="623" spans="1:3">
      <c r="A623" s="355" t="s">
        <v>51</v>
      </c>
      <c r="B623" s="350">
        <v>2133999</v>
      </c>
      <c r="C623" s="350" t="s">
        <v>49</v>
      </c>
    </row>
    <row r="624" spans="1:3">
      <c r="A624" s="355" t="s">
        <v>51</v>
      </c>
      <c r="B624" s="350">
        <v>2135521</v>
      </c>
      <c r="C624" s="350" t="s">
        <v>49</v>
      </c>
    </row>
    <row r="625" spans="1:3">
      <c r="A625" s="355" t="s">
        <v>51</v>
      </c>
      <c r="B625" s="350">
        <v>2145249</v>
      </c>
      <c r="C625" s="350" t="s">
        <v>49</v>
      </c>
    </row>
    <row r="626" spans="1:3">
      <c r="A626" s="355" t="s">
        <v>51</v>
      </c>
      <c r="B626" s="350">
        <v>2145907</v>
      </c>
      <c r="C626" s="350" t="s">
        <v>49</v>
      </c>
    </row>
    <row r="627" spans="1:3">
      <c r="A627" s="355" t="s">
        <v>51</v>
      </c>
      <c r="B627" s="350">
        <v>2149279</v>
      </c>
      <c r="C627" s="350" t="s">
        <v>49</v>
      </c>
    </row>
    <row r="628" spans="1:3">
      <c r="A628" s="355" t="s">
        <v>51</v>
      </c>
      <c r="B628" s="350">
        <v>2153591</v>
      </c>
      <c r="C628" s="350" t="s">
        <v>49</v>
      </c>
    </row>
    <row r="629" spans="1:3">
      <c r="A629" s="355" t="s">
        <v>51</v>
      </c>
      <c r="B629" s="350">
        <v>2155446</v>
      </c>
      <c r="C629" s="350" t="s">
        <v>49</v>
      </c>
    </row>
    <row r="630" spans="1:3">
      <c r="A630" s="355" t="s">
        <v>51</v>
      </c>
      <c r="B630" s="350">
        <v>2157137</v>
      </c>
      <c r="C630" s="350" t="s">
        <v>49</v>
      </c>
    </row>
    <row r="631" spans="1:3">
      <c r="A631" s="355" t="s">
        <v>51</v>
      </c>
      <c r="B631" s="350">
        <v>2158091</v>
      </c>
      <c r="C631" s="350" t="s">
        <v>49</v>
      </c>
    </row>
    <row r="632" spans="1:3">
      <c r="A632" s="355" t="s">
        <v>51</v>
      </c>
      <c r="B632" s="350">
        <v>2158098</v>
      </c>
      <c r="C632" s="350" t="s">
        <v>49</v>
      </c>
    </row>
    <row r="633" spans="1:3">
      <c r="A633" s="355" t="s">
        <v>51</v>
      </c>
      <c r="B633" s="350">
        <v>2160867</v>
      </c>
      <c r="C633" s="350" t="s">
        <v>49</v>
      </c>
    </row>
    <row r="634" spans="1:3">
      <c r="A634" s="355" t="s">
        <v>51</v>
      </c>
      <c r="B634" s="350">
        <v>2162737</v>
      </c>
      <c r="C634" s="350" t="s">
        <v>49</v>
      </c>
    </row>
    <row r="635" spans="1:3">
      <c r="A635" s="355" t="s">
        <v>51</v>
      </c>
      <c r="B635" s="350">
        <v>2163594</v>
      </c>
      <c r="C635" s="350" t="s">
        <v>49</v>
      </c>
    </row>
    <row r="636" spans="1:3">
      <c r="A636" s="355" t="s">
        <v>51</v>
      </c>
      <c r="B636" s="350">
        <v>2163629</v>
      </c>
      <c r="C636" s="350" t="s">
        <v>49</v>
      </c>
    </row>
    <row r="637" spans="1:3">
      <c r="A637" s="355" t="s">
        <v>51</v>
      </c>
      <c r="B637" s="350">
        <v>2163643</v>
      </c>
      <c r="C637" s="350" t="s">
        <v>49</v>
      </c>
    </row>
    <row r="638" spans="1:3">
      <c r="A638" s="355" t="s">
        <v>51</v>
      </c>
      <c r="B638" s="350">
        <v>2164316</v>
      </c>
      <c r="C638" s="350" t="s">
        <v>49</v>
      </c>
    </row>
    <row r="639" spans="1:3">
      <c r="A639" s="355" t="s">
        <v>51</v>
      </c>
      <c r="B639" s="350">
        <v>2168379</v>
      </c>
      <c r="C639" s="350" t="s">
        <v>49</v>
      </c>
    </row>
    <row r="640" spans="1:3">
      <c r="A640" s="355" t="s">
        <v>51</v>
      </c>
      <c r="B640" s="350">
        <v>2170127</v>
      </c>
      <c r="C640" s="350" t="s">
        <v>49</v>
      </c>
    </row>
    <row r="641" spans="1:3">
      <c r="A641" s="355" t="s">
        <v>51</v>
      </c>
      <c r="B641" s="350">
        <v>2176063</v>
      </c>
      <c r="C641" s="350" t="s">
        <v>49</v>
      </c>
    </row>
    <row r="642" spans="1:3">
      <c r="A642" s="355" t="s">
        <v>51</v>
      </c>
      <c r="B642" s="350">
        <v>2176113</v>
      </c>
      <c r="C642" s="350" t="s">
        <v>49</v>
      </c>
    </row>
    <row r="643" spans="1:3">
      <c r="A643" s="355" t="s">
        <v>51</v>
      </c>
      <c r="B643" s="350">
        <v>2176894</v>
      </c>
      <c r="C643" s="350" t="s">
        <v>49</v>
      </c>
    </row>
    <row r="644" spans="1:3">
      <c r="A644" s="355" t="s">
        <v>51</v>
      </c>
      <c r="B644" s="350">
        <v>2182791</v>
      </c>
      <c r="C644" s="350" t="s">
        <v>49</v>
      </c>
    </row>
    <row r="645" spans="1:3">
      <c r="A645" s="355" t="s">
        <v>51</v>
      </c>
      <c r="B645" s="350">
        <v>2182792</v>
      </c>
      <c r="C645" s="350" t="s">
        <v>49</v>
      </c>
    </row>
    <row r="646" spans="1:3">
      <c r="A646" s="355" t="s">
        <v>51</v>
      </c>
      <c r="B646" s="350">
        <v>2183553</v>
      </c>
      <c r="C646" s="350" t="s">
        <v>49</v>
      </c>
    </row>
    <row r="647" spans="1:3">
      <c r="A647" s="355" t="s">
        <v>51</v>
      </c>
      <c r="B647" s="350">
        <v>2184964</v>
      </c>
      <c r="C647" s="350" t="s">
        <v>49</v>
      </c>
    </row>
    <row r="648" spans="1:3">
      <c r="A648" s="355" t="s">
        <v>51</v>
      </c>
      <c r="B648" s="350">
        <v>2185237</v>
      </c>
      <c r="C648" s="350" t="s">
        <v>49</v>
      </c>
    </row>
    <row r="649" spans="1:3">
      <c r="A649" s="355" t="s">
        <v>51</v>
      </c>
      <c r="B649" s="350">
        <v>2189778</v>
      </c>
      <c r="C649" s="350" t="s">
        <v>49</v>
      </c>
    </row>
    <row r="650" spans="1:3">
      <c r="A650" s="355" t="s">
        <v>51</v>
      </c>
      <c r="B650" s="350">
        <v>2189810</v>
      </c>
      <c r="C650" s="350" t="s">
        <v>49</v>
      </c>
    </row>
    <row r="651" spans="1:3">
      <c r="A651" s="355" t="s">
        <v>51</v>
      </c>
      <c r="B651" s="350">
        <v>2189830</v>
      </c>
      <c r="C651" s="350" t="s">
        <v>49</v>
      </c>
    </row>
    <row r="652" spans="1:3">
      <c r="A652" s="355" t="s">
        <v>51</v>
      </c>
      <c r="B652" s="350">
        <v>2190167</v>
      </c>
      <c r="C652" s="350" t="s">
        <v>49</v>
      </c>
    </row>
    <row r="653" spans="1:3">
      <c r="A653" s="355" t="s">
        <v>51</v>
      </c>
      <c r="B653" s="350">
        <v>2190377</v>
      </c>
      <c r="C653" s="350" t="s">
        <v>49</v>
      </c>
    </row>
    <row r="654" spans="1:3">
      <c r="A654" s="355" t="s">
        <v>51</v>
      </c>
      <c r="B654" s="350">
        <v>2192204</v>
      </c>
      <c r="C654" s="350" t="s">
        <v>49</v>
      </c>
    </row>
    <row r="655" spans="1:3">
      <c r="A655" s="355" t="s">
        <v>51</v>
      </c>
      <c r="B655" s="350">
        <v>2198628</v>
      </c>
      <c r="C655" s="350" t="s">
        <v>49</v>
      </c>
    </row>
    <row r="656" spans="1:3">
      <c r="A656" s="355" t="s">
        <v>51</v>
      </c>
      <c r="B656" s="350">
        <v>2205448</v>
      </c>
      <c r="C656" s="350" t="s">
        <v>49</v>
      </c>
    </row>
    <row r="657" spans="1:3">
      <c r="A657" s="355" t="s">
        <v>51</v>
      </c>
      <c r="B657" s="350">
        <v>2207768</v>
      </c>
      <c r="C657" s="350" t="s">
        <v>49</v>
      </c>
    </row>
    <row r="658" spans="1:3">
      <c r="A658" s="355" t="s">
        <v>51</v>
      </c>
      <c r="B658" s="350">
        <v>2209769</v>
      </c>
      <c r="C658" s="350" t="s">
        <v>49</v>
      </c>
    </row>
    <row r="659" spans="1:3">
      <c r="A659" s="355" t="s">
        <v>51</v>
      </c>
      <c r="B659" s="350">
        <v>2212531</v>
      </c>
      <c r="C659" s="350" t="s">
        <v>49</v>
      </c>
    </row>
    <row r="660" spans="1:3">
      <c r="A660" s="355" t="s">
        <v>51</v>
      </c>
      <c r="B660" s="350">
        <v>2212532</v>
      </c>
      <c r="C660" s="350" t="s">
        <v>49</v>
      </c>
    </row>
    <row r="661" spans="1:3">
      <c r="A661" s="355" t="s">
        <v>51</v>
      </c>
      <c r="B661" s="350">
        <v>2216574</v>
      </c>
      <c r="C661" s="350" t="s">
        <v>49</v>
      </c>
    </row>
    <row r="662" spans="1:3">
      <c r="A662" s="355" t="s">
        <v>51</v>
      </c>
      <c r="B662" s="350">
        <v>2221828</v>
      </c>
      <c r="C662" s="350" t="s">
        <v>49</v>
      </c>
    </row>
    <row r="663" spans="1:3">
      <c r="A663" s="355" t="s">
        <v>51</v>
      </c>
      <c r="B663" s="350">
        <v>2224174</v>
      </c>
      <c r="C663" s="350" t="s">
        <v>49</v>
      </c>
    </row>
    <row r="664" spans="1:3">
      <c r="A664" s="355" t="s">
        <v>51</v>
      </c>
      <c r="B664" s="350">
        <v>2224865</v>
      </c>
      <c r="C664" s="350" t="s">
        <v>49</v>
      </c>
    </row>
    <row r="665" spans="1:3">
      <c r="A665" s="355" t="s">
        <v>51</v>
      </c>
      <c r="B665" s="350">
        <v>2226528</v>
      </c>
      <c r="C665" s="350" t="s">
        <v>49</v>
      </c>
    </row>
    <row r="666" spans="1:3">
      <c r="A666" s="355" t="s">
        <v>51</v>
      </c>
      <c r="B666" s="350">
        <v>2228262</v>
      </c>
      <c r="C666" s="350" t="s">
        <v>49</v>
      </c>
    </row>
    <row r="667" spans="1:3">
      <c r="A667" s="355" t="s">
        <v>51</v>
      </c>
      <c r="B667" s="350">
        <v>2229573</v>
      </c>
      <c r="C667" s="350" t="s">
        <v>49</v>
      </c>
    </row>
    <row r="668" spans="1:3">
      <c r="A668" s="355" t="s">
        <v>51</v>
      </c>
      <c r="B668" s="350">
        <v>2229574</v>
      </c>
      <c r="C668" s="350" t="s">
        <v>49</v>
      </c>
    </row>
    <row r="669" spans="1:3">
      <c r="A669" s="355" t="s">
        <v>51</v>
      </c>
      <c r="B669" s="350">
        <v>2230659</v>
      </c>
      <c r="C669" s="350" t="s">
        <v>49</v>
      </c>
    </row>
    <row r="670" spans="1:3">
      <c r="A670" s="355" t="s">
        <v>51</v>
      </c>
      <c r="B670" s="350">
        <v>2232699</v>
      </c>
      <c r="C670" s="350" t="s">
        <v>49</v>
      </c>
    </row>
    <row r="671" spans="1:3">
      <c r="A671" s="355" t="s">
        <v>51</v>
      </c>
      <c r="B671" s="350">
        <v>2232712</v>
      </c>
      <c r="C671" s="350" t="s">
        <v>49</v>
      </c>
    </row>
    <row r="672" spans="1:3">
      <c r="A672" s="355" t="s">
        <v>51</v>
      </c>
      <c r="B672" s="350">
        <v>2235638</v>
      </c>
      <c r="C672" s="350" t="s">
        <v>49</v>
      </c>
    </row>
    <row r="673" spans="1:3">
      <c r="A673" s="355" t="s">
        <v>51</v>
      </c>
      <c r="B673" s="350">
        <v>2235661</v>
      </c>
      <c r="C673" s="350" t="s">
        <v>49</v>
      </c>
    </row>
    <row r="674" spans="1:3">
      <c r="A674" s="355" t="s">
        <v>51</v>
      </c>
      <c r="B674" s="350">
        <v>2235862</v>
      </c>
      <c r="C674" s="350" t="s">
        <v>49</v>
      </c>
    </row>
    <row r="675" spans="1:3">
      <c r="A675" s="355" t="s">
        <v>51</v>
      </c>
      <c r="B675" s="350">
        <v>2235884</v>
      </c>
      <c r="C675" s="350" t="s">
        <v>49</v>
      </c>
    </row>
    <row r="676" spans="1:3">
      <c r="A676" s="355" t="s">
        <v>51</v>
      </c>
      <c r="B676" s="350">
        <v>2245147</v>
      </c>
      <c r="C676" s="350" t="s">
        <v>49</v>
      </c>
    </row>
    <row r="677" spans="1:3">
      <c r="A677" s="355" t="s">
        <v>51</v>
      </c>
      <c r="B677" s="350">
        <v>2247364</v>
      </c>
      <c r="C677" s="350" t="s">
        <v>49</v>
      </c>
    </row>
    <row r="678" spans="1:3">
      <c r="A678" s="355" t="s">
        <v>51</v>
      </c>
      <c r="B678" s="350">
        <v>2248078</v>
      </c>
      <c r="C678" s="350" t="s">
        <v>49</v>
      </c>
    </row>
    <row r="679" spans="1:3">
      <c r="A679" s="355" t="s">
        <v>51</v>
      </c>
      <c r="B679" s="350">
        <v>2248155</v>
      </c>
      <c r="C679" s="350" t="s">
        <v>49</v>
      </c>
    </row>
    <row r="680" spans="1:3">
      <c r="A680" s="355" t="s">
        <v>51</v>
      </c>
      <c r="B680" s="350">
        <v>2252709</v>
      </c>
      <c r="C680" s="350" t="s">
        <v>49</v>
      </c>
    </row>
    <row r="681" spans="1:3">
      <c r="A681" s="355" t="s">
        <v>51</v>
      </c>
      <c r="B681" s="350">
        <v>2259925</v>
      </c>
      <c r="C681" s="350" t="s">
        <v>49</v>
      </c>
    </row>
    <row r="682" spans="1:3">
      <c r="A682" s="355" t="s">
        <v>51</v>
      </c>
      <c r="B682" s="350">
        <v>2259936</v>
      </c>
      <c r="C682" s="350" t="s">
        <v>49</v>
      </c>
    </row>
    <row r="683" spans="1:3">
      <c r="A683" s="355" t="s">
        <v>51</v>
      </c>
      <c r="B683" s="350">
        <v>2261608</v>
      </c>
      <c r="C683" s="350" t="s">
        <v>49</v>
      </c>
    </row>
    <row r="684" spans="1:3">
      <c r="A684" s="355" t="s">
        <v>51</v>
      </c>
      <c r="B684" s="350">
        <v>2267313</v>
      </c>
      <c r="C684" s="350" t="s">
        <v>49</v>
      </c>
    </row>
    <row r="685" spans="1:3">
      <c r="A685" s="355" t="s">
        <v>51</v>
      </c>
      <c r="B685" s="350">
        <v>2272198</v>
      </c>
      <c r="C685" s="350" t="s">
        <v>49</v>
      </c>
    </row>
    <row r="686" spans="1:3">
      <c r="A686" s="355" t="s">
        <v>51</v>
      </c>
      <c r="B686" s="350">
        <v>2274449</v>
      </c>
      <c r="C686" s="350" t="s">
        <v>49</v>
      </c>
    </row>
    <row r="687" spans="1:3">
      <c r="A687" s="355" t="s">
        <v>51</v>
      </c>
      <c r="B687" s="350">
        <v>2287042</v>
      </c>
      <c r="C687" s="350" t="s">
        <v>49</v>
      </c>
    </row>
    <row r="688" spans="1:3">
      <c r="A688" s="355" t="s">
        <v>51</v>
      </c>
      <c r="B688" s="350">
        <v>2287847</v>
      </c>
      <c r="C688" s="350" t="s">
        <v>49</v>
      </c>
    </row>
    <row r="689" spans="1:3">
      <c r="A689" s="355" t="s">
        <v>51</v>
      </c>
      <c r="B689" s="350">
        <v>2289761</v>
      </c>
      <c r="C689" s="350" t="s">
        <v>49</v>
      </c>
    </row>
    <row r="690" spans="1:3">
      <c r="A690" s="355" t="s">
        <v>51</v>
      </c>
      <c r="B690" s="350">
        <v>2296677</v>
      </c>
      <c r="C690" s="350" t="s">
        <v>49</v>
      </c>
    </row>
    <row r="691" spans="1:3">
      <c r="A691" s="355" t="s">
        <v>51</v>
      </c>
      <c r="B691" s="350">
        <v>2296709</v>
      </c>
      <c r="C691" s="350" t="s">
        <v>49</v>
      </c>
    </row>
    <row r="692" spans="1:3">
      <c r="A692" s="355" t="s">
        <v>51</v>
      </c>
      <c r="B692" s="350">
        <v>2306093</v>
      </c>
      <c r="C692" s="350" t="s">
        <v>49</v>
      </c>
    </row>
    <row r="693" spans="1:3">
      <c r="A693" s="355" t="s">
        <v>51</v>
      </c>
      <c r="B693" s="350">
        <v>2306765</v>
      </c>
      <c r="C693" s="350" t="s">
        <v>49</v>
      </c>
    </row>
    <row r="694" spans="1:3">
      <c r="A694" s="355" t="s">
        <v>51</v>
      </c>
      <c r="B694" s="350">
        <v>2307084</v>
      </c>
      <c r="C694" s="350" t="s">
        <v>49</v>
      </c>
    </row>
    <row r="695" spans="1:3">
      <c r="A695" s="355" t="s">
        <v>51</v>
      </c>
      <c r="B695" s="350">
        <v>2333535</v>
      </c>
      <c r="C695" s="350" t="s">
        <v>49</v>
      </c>
    </row>
    <row r="696" spans="1:3">
      <c r="A696" s="355" t="s">
        <v>51</v>
      </c>
      <c r="B696" s="350">
        <v>2343773</v>
      </c>
      <c r="C696" s="350" t="s">
        <v>49</v>
      </c>
    </row>
    <row r="697" spans="1:3">
      <c r="A697" s="355" t="s">
        <v>51</v>
      </c>
      <c r="B697" s="350">
        <v>2345605</v>
      </c>
      <c r="C697" s="350" t="s">
        <v>49</v>
      </c>
    </row>
    <row r="698" spans="1:3">
      <c r="A698" s="355" t="s">
        <v>51</v>
      </c>
      <c r="B698" s="350">
        <v>2354317</v>
      </c>
      <c r="C698" s="350" t="s">
        <v>49</v>
      </c>
    </row>
    <row r="699" spans="1:3">
      <c r="A699" s="355" t="s">
        <v>51</v>
      </c>
      <c r="B699" s="350">
        <v>2358286</v>
      </c>
      <c r="C699" s="350" t="s">
        <v>49</v>
      </c>
    </row>
    <row r="700" spans="1:3">
      <c r="A700" s="355" t="s">
        <v>51</v>
      </c>
      <c r="B700" s="350">
        <v>2358287</v>
      </c>
      <c r="C700" s="350" t="s">
        <v>49</v>
      </c>
    </row>
    <row r="701" spans="1:3">
      <c r="A701" s="355" t="s">
        <v>51</v>
      </c>
      <c r="B701" s="350">
        <v>2359311</v>
      </c>
      <c r="C701" s="350" t="s">
        <v>49</v>
      </c>
    </row>
    <row r="702" spans="1:3">
      <c r="A702" s="355" t="s">
        <v>51</v>
      </c>
      <c r="B702" s="350">
        <v>2370015</v>
      </c>
      <c r="C702" s="350" t="s">
        <v>49</v>
      </c>
    </row>
    <row r="703" spans="1:3">
      <c r="A703" s="355" t="s">
        <v>51</v>
      </c>
      <c r="B703" s="350">
        <v>2372690</v>
      </c>
      <c r="C703" s="350" t="s">
        <v>49</v>
      </c>
    </row>
    <row r="704" spans="1:3">
      <c r="A704" s="355" t="s">
        <v>51</v>
      </c>
      <c r="B704" s="350">
        <v>2376984</v>
      </c>
      <c r="C704" s="350" t="s">
        <v>49</v>
      </c>
    </row>
    <row r="705" spans="1:3">
      <c r="A705" s="355" t="s">
        <v>51</v>
      </c>
      <c r="B705" s="350">
        <v>2392534</v>
      </c>
      <c r="C705" s="350" t="s">
        <v>49</v>
      </c>
    </row>
    <row r="706" spans="1:3">
      <c r="A706" s="355" t="s">
        <v>51</v>
      </c>
      <c r="B706" s="350">
        <v>2422625</v>
      </c>
      <c r="C706" s="350" t="s">
        <v>49</v>
      </c>
    </row>
    <row r="707" spans="1:3">
      <c r="A707" s="354" t="s">
        <v>52</v>
      </c>
      <c r="B707" s="349">
        <v>1913076</v>
      </c>
      <c r="C707" s="349" t="s">
        <v>50</v>
      </c>
    </row>
    <row r="708" spans="1:3">
      <c r="A708" s="354" t="s">
        <v>52</v>
      </c>
      <c r="B708" s="349">
        <v>2047192</v>
      </c>
      <c r="C708" s="349" t="s">
        <v>53</v>
      </c>
    </row>
    <row r="709" spans="1:3">
      <c r="A709" s="355" t="s">
        <v>52</v>
      </c>
      <c r="B709" s="350">
        <v>2067471</v>
      </c>
      <c r="C709" s="350" t="s">
        <v>53</v>
      </c>
    </row>
    <row r="710" spans="1:3">
      <c r="A710" s="355" t="s">
        <v>52</v>
      </c>
      <c r="B710" s="350">
        <v>2084542</v>
      </c>
      <c r="C710" s="350" t="s">
        <v>53</v>
      </c>
    </row>
    <row r="711" spans="1:3">
      <c r="A711" s="355" t="s">
        <v>52</v>
      </c>
      <c r="B711" s="350">
        <v>2084543</v>
      </c>
      <c r="C711" s="350" t="s">
        <v>53</v>
      </c>
    </row>
    <row r="712" spans="1:3">
      <c r="A712" s="354" t="s">
        <v>52</v>
      </c>
      <c r="B712" s="349">
        <v>2094557</v>
      </c>
      <c r="C712" s="349" t="s">
        <v>53</v>
      </c>
    </row>
    <row r="713" spans="1:3">
      <c r="A713" s="355" t="s">
        <v>52</v>
      </c>
      <c r="B713" s="350">
        <v>2100181</v>
      </c>
      <c r="C713" s="350" t="s">
        <v>53</v>
      </c>
    </row>
    <row r="714" spans="1:3">
      <c r="A714" s="355" t="s">
        <v>52</v>
      </c>
      <c r="B714" s="350">
        <v>2102102</v>
      </c>
      <c r="C714" s="350" t="s">
        <v>53</v>
      </c>
    </row>
    <row r="715" spans="1:3">
      <c r="A715" s="355" t="s">
        <v>52</v>
      </c>
      <c r="B715" s="350">
        <v>2108653</v>
      </c>
      <c r="C715" s="350" t="s">
        <v>53</v>
      </c>
    </row>
    <row r="716" spans="1:3">
      <c r="A716" s="354" t="s">
        <v>52</v>
      </c>
      <c r="B716" s="349">
        <v>2137151</v>
      </c>
      <c r="C716" s="349" t="s">
        <v>53</v>
      </c>
    </row>
    <row r="717" spans="1:3">
      <c r="A717" s="354" t="s">
        <v>52</v>
      </c>
      <c r="B717" s="349">
        <v>2146200</v>
      </c>
      <c r="C717" s="349" t="s">
        <v>53</v>
      </c>
    </row>
    <row r="718" spans="1:3">
      <c r="A718" s="355" t="s">
        <v>52</v>
      </c>
      <c r="B718" s="350">
        <v>2199339</v>
      </c>
      <c r="C718" s="350" t="s">
        <v>50</v>
      </c>
    </row>
    <row r="719" spans="1:3">
      <c r="A719" s="354" t="s">
        <v>52</v>
      </c>
      <c r="B719" s="349">
        <v>2205369</v>
      </c>
      <c r="C719" s="349" t="s">
        <v>53</v>
      </c>
    </row>
    <row r="720" spans="1:3">
      <c r="A720" s="354" t="s">
        <v>54</v>
      </c>
      <c r="B720" s="349">
        <v>1907247</v>
      </c>
      <c r="C720" s="349" t="s">
        <v>50</v>
      </c>
    </row>
    <row r="721" spans="1:3">
      <c r="A721" s="357" t="s">
        <v>54</v>
      </c>
      <c r="B721" s="246">
        <v>1910352</v>
      </c>
      <c r="C721" s="246" t="s">
        <v>50</v>
      </c>
    </row>
    <row r="722" spans="1:3">
      <c r="A722" s="359" t="s">
        <v>54</v>
      </c>
      <c r="B722" s="236">
        <v>1915929</v>
      </c>
      <c r="C722" s="349" t="s">
        <v>50</v>
      </c>
    </row>
    <row r="723" spans="1:3">
      <c r="A723" s="357" t="s">
        <v>54</v>
      </c>
      <c r="B723" s="246">
        <v>1920435</v>
      </c>
      <c r="C723" s="246" t="s">
        <v>50</v>
      </c>
    </row>
    <row r="724" spans="1:3">
      <c r="A724" s="358" t="s">
        <v>54</v>
      </c>
      <c r="B724" s="166">
        <v>1928283</v>
      </c>
      <c r="C724" s="166" t="s">
        <v>50</v>
      </c>
    </row>
    <row r="725" spans="1:3">
      <c r="A725" s="357" t="s">
        <v>54</v>
      </c>
      <c r="B725" s="246">
        <v>1931051</v>
      </c>
      <c r="C725" s="246" t="s">
        <v>50</v>
      </c>
    </row>
    <row r="726" spans="1:3">
      <c r="A726" s="357" t="s">
        <v>54</v>
      </c>
      <c r="B726" s="246">
        <v>1937084</v>
      </c>
      <c r="C726" s="246" t="s">
        <v>50</v>
      </c>
    </row>
    <row r="727" spans="1:3">
      <c r="A727" s="357" t="s">
        <v>54</v>
      </c>
      <c r="B727" s="246">
        <v>1937539</v>
      </c>
      <c r="C727" s="246" t="s">
        <v>50</v>
      </c>
    </row>
    <row r="728" spans="1:3">
      <c r="A728" s="357" t="s">
        <v>54</v>
      </c>
      <c r="B728" s="246">
        <v>1938207</v>
      </c>
      <c r="C728" s="246" t="s">
        <v>50</v>
      </c>
    </row>
    <row r="729" spans="1:3">
      <c r="A729" s="357" t="s">
        <v>54</v>
      </c>
      <c r="B729" s="246">
        <v>1940237</v>
      </c>
      <c r="C729" s="246" t="s">
        <v>50</v>
      </c>
    </row>
    <row r="730" spans="1:3">
      <c r="A730" s="357" t="s">
        <v>54</v>
      </c>
      <c r="B730" s="246">
        <v>1941296</v>
      </c>
      <c r="C730" s="246" t="s">
        <v>50</v>
      </c>
    </row>
    <row r="731" spans="1:3">
      <c r="A731" s="358" t="s">
        <v>54</v>
      </c>
      <c r="B731" s="166">
        <v>1941419</v>
      </c>
      <c r="C731" s="166" t="s">
        <v>50</v>
      </c>
    </row>
    <row r="732" spans="1:3">
      <c r="A732" s="357" t="s">
        <v>54</v>
      </c>
      <c r="B732" s="246">
        <v>1949854</v>
      </c>
      <c r="C732" s="246" t="s">
        <v>50</v>
      </c>
    </row>
    <row r="733" spans="1:3">
      <c r="A733" s="357" t="s">
        <v>54</v>
      </c>
      <c r="B733" s="246">
        <v>1955718</v>
      </c>
      <c r="C733" s="246" t="s">
        <v>50</v>
      </c>
    </row>
    <row r="734" spans="1:3">
      <c r="A734" s="357" t="s">
        <v>54</v>
      </c>
      <c r="B734" s="246">
        <v>1959403</v>
      </c>
      <c r="C734" s="246" t="s">
        <v>50</v>
      </c>
    </row>
    <row r="735" spans="1:3">
      <c r="A735" s="357" t="s">
        <v>54</v>
      </c>
      <c r="B735" s="246">
        <v>1959732</v>
      </c>
      <c r="C735" s="246" t="s">
        <v>50</v>
      </c>
    </row>
    <row r="736" spans="1:3">
      <c r="A736" s="357" t="s">
        <v>54</v>
      </c>
      <c r="B736" s="246">
        <v>1960227</v>
      </c>
      <c r="C736" s="246" t="s">
        <v>50</v>
      </c>
    </row>
    <row r="737" spans="1:3">
      <c r="A737" s="358" t="s">
        <v>54</v>
      </c>
      <c r="B737" s="166">
        <v>1963473</v>
      </c>
      <c r="C737" s="166" t="s">
        <v>50</v>
      </c>
    </row>
    <row r="738" spans="1:3">
      <c r="A738" s="358" t="s">
        <v>54</v>
      </c>
      <c r="B738" s="166">
        <v>1964462</v>
      </c>
      <c r="C738" s="166" t="s">
        <v>50</v>
      </c>
    </row>
    <row r="739" spans="1:3">
      <c r="A739" s="361" t="s">
        <v>54</v>
      </c>
      <c r="B739" s="211">
        <v>1965034</v>
      </c>
      <c r="C739" s="350" t="s">
        <v>49</v>
      </c>
    </row>
    <row r="740" spans="1:3">
      <c r="A740" s="358" t="s">
        <v>54</v>
      </c>
      <c r="B740" s="166">
        <v>1965656</v>
      </c>
      <c r="C740" s="166" t="s">
        <v>50</v>
      </c>
    </row>
    <row r="741" spans="1:3">
      <c r="A741" s="358" t="s">
        <v>54</v>
      </c>
      <c r="B741" s="166">
        <v>1966247</v>
      </c>
      <c r="C741" s="166" t="s">
        <v>50</v>
      </c>
    </row>
    <row r="742" spans="1:3">
      <c r="A742" s="359" t="s">
        <v>54</v>
      </c>
      <c r="B742" s="236">
        <v>1970935</v>
      </c>
      <c r="C742" s="349" t="s">
        <v>50</v>
      </c>
    </row>
    <row r="743" spans="1:3">
      <c r="A743" s="358" t="s">
        <v>54</v>
      </c>
      <c r="B743" s="166">
        <v>1971316</v>
      </c>
      <c r="C743" s="166" t="s">
        <v>50</v>
      </c>
    </row>
    <row r="744" spans="1:3">
      <c r="A744" s="357" t="s">
        <v>54</v>
      </c>
      <c r="B744" s="246">
        <v>1971725</v>
      </c>
      <c r="C744" s="246" t="s">
        <v>50</v>
      </c>
    </row>
    <row r="745" spans="1:3">
      <c r="A745" s="357" t="s">
        <v>54</v>
      </c>
      <c r="B745" s="246">
        <v>1977676</v>
      </c>
      <c r="C745" s="246" t="s">
        <v>50</v>
      </c>
    </row>
    <row r="746" spans="1:3">
      <c r="A746" s="358" t="s">
        <v>54</v>
      </c>
      <c r="B746" s="166">
        <v>1978086</v>
      </c>
      <c r="C746" s="166" t="s">
        <v>50</v>
      </c>
    </row>
    <row r="747" spans="1:3">
      <c r="A747" s="358" t="s">
        <v>54</v>
      </c>
      <c r="B747" s="166">
        <v>1978259</v>
      </c>
      <c r="C747" s="166" t="s">
        <v>50</v>
      </c>
    </row>
    <row r="748" spans="1:3">
      <c r="A748" s="358" t="s">
        <v>54</v>
      </c>
      <c r="B748" s="166">
        <v>1978454</v>
      </c>
      <c r="C748" s="166" t="s">
        <v>50</v>
      </c>
    </row>
    <row r="749" spans="1:3">
      <c r="A749" s="358" t="s">
        <v>54</v>
      </c>
      <c r="B749" s="166">
        <v>1981035</v>
      </c>
      <c r="C749" s="166" t="s">
        <v>50</v>
      </c>
    </row>
    <row r="750" spans="1:3">
      <c r="A750" s="361" t="s">
        <v>54</v>
      </c>
      <c r="B750" s="211">
        <v>1983128</v>
      </c>
      <c r="C750" s="350" t="s">
        <v>49</v>
      </c>
    </row>
    <row r="751" spans="1:3">
      <c r="A751" s="358" t="s">
        <v>54</v>
      </c>
      <c r="B751" s="166">
        <v>1984068</v>
      </c>
      <c r="C751" s="166" t="s">
        <v>50</v>
      </c>
    </row>
    <row r="752" spans="1:3">
      <c r="A752" s="357" t="s">
        <v>54</v>
      </c>
      <c r="B752" s="246">
        <v>1984319</v>
      </c>
      <c r="C752" s="246" t="s">
        <v>50</v>
      </c>
    </row>
    <row r="753" spans="1:3">
      <c r="A753" s="358" t="s">
        <v>54</v>
      </c>
      <c r="B753" s="166">
        <v>1989656</v>
      </c>
      <c r="C753" s="166" t="s">
        <v>50</v>
      </c>
    </row>
    <row r="754" spans="1:3">
      <c r="A754" s="358" t="s">
        <v>54</v>
      </c>
      <c r="B754" s="166">
        <v>1990988</v>
      </c>
      <c r="C754" s="166" t="s">
        <v>50</v>
      </c>
    </row>
    <row r="755" spans="1:3">
      <c r="A755" s="359" t="s">
        <v>54</v>
      </c>
      <c r="B755" s="236">
        <v>1992666</v>
      </c>
      <c r="C755" s="349" t="s">
        <v>50</v>
      </c>
    </row>
    <row r="756" spans="1:3">
      <c r="A756" s="361" t="s">
        <v>54</v>
      </c>
      <c r="B756" s="211">
        <v>1992667</v>
      </c>
      <c r="C756" s="350" t="s">
        <v>50</v>
      </c>
    </row>
    <row r="757" spans="1:3">
      <c r="A757" s="358" t="s">
        <v>54</v>
      </c>
      <c r="B757" s="166">
        <v>1997473</v>
      </c>
      <c r="C757" s="166" t="s">
        <v>50</v>
      </c>
    </row>
    <row r="758" spans="1:3">
      <c r="A758" s="357" t="s">
        <v>54</v>
      </c>
      <c r="B758" s="246">
        <v>1998364</v>
      </c>
      <c r="C758" s="246" t="s">
        <v>50</v>
      </c>
    </row>
    <row r="759" spans="1:3">
      <c r="A759" s="358" t="s">
        <v>54</v>
      </c>
      <c r="B759" s="166">
        <v>1999305</v>
      </c>
      <c r="C759" s="166" t="s">
        <v>50</v>
      </c>
    </row>
    <row r="760" spans="1:3">
      <c r="A760" s="359" t="s">
        <v>54</v>
      </c>
      <c r="B760" s="236">
        <v>2001676</v>
      </c>
      <c r="C760" s="349" t="s">
        <v>49</v>
      </c>
    </row>
    <row r="761" spans="1:3">
      <c r="A761" s="361" t="s">
        <v>54</v>
      </c>
      <c r="B761" s="211">
        <v>2002888</v>
      </c>
      <c r="C761" s="350" t="s">
        <v>49</v>
      </c>
    </row>
    <row r="762" spans="1:3">
      <c r="A762" s="358" t="s">
        <v>54</v>
      </c>
      <c r="B762" s="166">
        <v>2003766</v>
      </c>
      <c r="C762" s="166" t="s">
        <v>50</v>
      </c>
    </row>
    <row r="763" spans="1:3">
      <c r="A763" s="361" t="s">
        <v>54</v>
      </c>
      <c r="B763" s="211">
        <v>2003777</v>
      </c>
      <c r="C763" s="350" t="s">
        <v>50</v>
      </c>
    </row>
    <row r="764" spans="1:3">
      <c r="A764" s="357" t="s">
        <v>54</v>
      </c>
      <c r="B764" s="246">
        <v>2004219</v>
      </c>
      <c r="C764" s="246" t="s">
        <v>50</v>
      </c>
    </row>
    <row r="765" spans="1:3">
      <c r="A765" s="358" t="s">
        <v>54</v>
      </c>
      <c r="B765" s="166">
        <v>2005070</v>
      </c>
      <c r="C765" s="166" t="s">
        <v>50</v>
      </c>
    </row>
    <row r="766" spans="1:3">
      <c r="A766" s="357" t="s">
        <v>54</v>
      </c>
      <c r="B766" s="246">
        <v>2005461</v>
      </c>
      <c r="C766" s="246" t="s">
        <v>50</v>
      </c>
    </row>
    <row r="767" spans="1:3">
      <c r="A767" s="358" t="s">
        <v>54</v>
      </c>
      <c r="B767" s="166">
        <v>2005674</v>
      </c>
      <c r="C767" s="166" t="s">
        <v>50</v>
      </c>
    </row>
    <row r="768" spans="1:3">
      <c r="A768" s="358" t="s">
        <v>54</v>
      </c>
      <c r="B768" s="166">
        <v>2007798</v>
      </c>
      <c r="C768" s="166" t="s">
        <v>50</v>
      </c>
    </row>
    <row r="769" spans="1:3">
      <c r="A769" s="358" t="s">
        <v>54</v>
      </c>
      <c r="B769" s="166">
        <v>2009968</v>
      </c>
      <c r="C769" s="166" t="s">
        <v>50</v>
      </c>
    </row>
    <row r="770" spans="1:3">
      <c r="A770" s="358" t="s">
        <v>54</v>
      </c>
      <c r="B770" s="166">
        <v>2010624</v>
      </c>
      <c r="C770" s="166" t="s">
        <v>50</v>
      </c>
    </row>
    <row r="771" spans="1:3">
      <c r="A771" s="358" t="s">
        <v>54</v>
      </c>
      <c r="B771" s="166">
        <v>2013883</v>
      </c>
      <c r="C771" s="166" t="s">
        <v>50</v>
      </c>
    </row>
    <row r="772" spans="1:3">
      <c r="A772" s="358" t="s">
        <v>54</v>
      </c>
      <c r="B772" s="166">
        <v>2014100</v>
      </c>
      <c r="C772" s="166" t="s">
        <v>50</v>
      </c>
    </row>
    <row r="773" spans="1:3">
      <c r="A773" s="358" t="s">
        <v>54</v>
      </c>
      <c r="B773" s="166">
        <v>2014114</v>
      </c>
      <c r="C773" s="166" t="s">
        <v>50</v>
      </c>
    </row>
    <row r="774" spans="1:3">
      <c r="A774" s="357" t="s">
        <v>54</v>
      </c>
      <c r="B774" s="246">
        <v>2015106</v>
      </c>
      <c r="C774" s="246" t="s">
        <v>50</v>
      </c>
    </row>
    <row r="775" spans="1:3">
      <c r="A775" s="358" t="s">
        <v>54</v>
      </c>
      <c r="B775" s="166">
        <v>2016742</v>
      </c>
      <c r="C775" s="166" t="s">
        <v>50</v>
      </c>
    </row>
    <row r="776" spans="1:3">
      <c r="A776" s="357" t="s">
        <v>54</v>
      </c>
      <c r="B776" s="246">
        <v>2018460</v>
      </c>
      <c r="C776" s="246" t="s">
        <v>50</v>
      </c>
    </row>
    <row r="777" spans="1:3">
      <c r="A777" s="358" t="s">
        <v>54</v>
      </c>
      <c r="B777" s="166">
        <v>2018627</v>
      </c>
      <c r="C777" s="166" t="s">
        <v>50</v>
      </c>
    </row>
    <row r="778" spans="1:3">
      <c r="A778" s="359" t="s">
        <v>54</v>
      </c>
      <c r="B778" s="236">
        <v>2021598</v>
      </c>
      <c r="C778" s="349" t="s">
        <v>49</v>
      </c>
    </row>
    <row r="779" spans="1:3">
      <c r="A779" s="358" t="s">
        <v>54</v>
      </c>
      <c r="B779" s="166">
        <v>2024104</v>
      </c>
      <c r="C779" s="166" t="s">
        <v>50</v>
      </c>
    </row>
    <row r="780" spans="1:3">
      <c r="A780" s="358" t="s">
        <v>54</v>
      </c>
      <c r="B780" s="166">
        <v>2025383</v>
      </c>
      <c r="C780" s="166" t="s">
        <v>50</v>
      </c>
    </row>
    <row r="781" spans="1:3">
      <c r="A781" s="358" t="s">
        <v>54</v>
      </c>
      <c r="B781" s="166">
        <v>2026510</v>
      </c>
      <c r="C781" s="166" t="s">
        <v>50</v>
      </c>
    </row>
    <row r="782" spans="1:3">
      <c r="A782" s="358" t="s">
        <v>54</v>
      </c>
      <c r="B782" s="166">
        <v>2028222</v>
      </c>
      <c r="C782" s="166" t="s">
        <v>50</v>
      </c>
    </row>
    <row r="783" spans="1:3">
      <c r="A783" s="358" t="s">
        <v>54</v>
      </c>
      <c r="B783" s="166">
        <v>2030037</v>
      </c>
      <c r="C783" s="166" t="s">
        <v>50</v>
      </c>
    </row>
    <row r="784" spans="1:3">
      <c r="A784" s="357" t="s">
        <v>54</v>
      </c>
      <c r="B784" s="246">
        <v>2030944</v>
      </c>
      <c r="C784" s="246" t="s">
        <v>50</v>
      </c>
    </row>
    <row r="785" spans="1:3">
      <c r="A785" s="358" t="s">
        <v>54</v>
      </c>
      <c r="B785" s="166">
        <v>2031216</v>
      </c>
      <c r="C785" s="166" t="s">
        <v>50</v>
      </c>
    </row>
    <row r="786" spans="1:3">
      <c r="A786" s="358" t="s">
        <v>54</v>
      </c>
      <c r="B786" s="166">
        <v>2031300</v>
      </c>
      <c r="C786" s="166" t="s">
        <v>50</v>
      </c>
    </row>
    <row r="787" spans="1:3">
      <c r="A787" s="359" t="s">
        <v>54</v>
      </c>
      <c r="B787" s="236">
        <v>2032476</v>
      </c>
      <c r="C787" s="349" t="s">
        <v>50</v>
      </c>
    </row>
    <row r="788" spans="1:3">
      <c r="A788" s="357" t="s">
        <v>54</v>
      </c>
      <c r="B788" s="246">
        <v>2033301</v>
      </c>
      <c r="C788" s="246" t="s">
        <v>50</v>
      </c>
    </row>
    <row r="789" spans="1:3">
      <c r="A789" s="357" t="s">
        <v>54</v>
      </c>
      <c r="B789" s="246">
        <v>2034990</v>
      </c>
      <c r="C789" s="246" t="s">
        <v>50</v>
      </c>
    </row>
    <row r="790" spans="1:3">
      <c r="A790" s="361" t="s">
        <v>54</v>
      </c>
      <c r="B790" s="211">
        <v>2035876</v>
      </c>
      <c r="C790" s="350" t="s">
        <v>49</v>
      </c>
    </row>
    <row r="791" spans="1:3">
      <c r="A791" s="358" t="s">
        <v>54</v>
      </c>
      <c r="B791" s="166">
        <v>2037750</v>
      </c>
      <c r="C791" s="166" t="s">
        <v>50</v>
      </c>
    </row>
    <row r="792" spans="1:3">
      <c r="A792" s="359" t="s">
        <v>54</v>
      </c>
      <c r="B792" s="236">
        <v>2042149</v>
      </c>
      <c r="C792" s="349" t="s">
        <v>49</v>
      </c>
    </row>
    <row r="793" spans="1:3">
      <c r="A793" s="359" t="s">
        <v>54</v>
      </c>
      <c r="B793" s="236">
        <v>2042834</v>
      </c>
      <c r="C793" s="349" t="s">
        <v>50</v>
      </c>
    </row>
    <row r="794" spans="1:3">
      <c r="A794" s="358" t="s">
        <v>54</v>
      </c>
      <c r="B794" s="166">
        <v>2043214</v>
      </c>
      <c r="C794" s="166" t="s">
        <v>50</v>
      </c>
    </row>
    <row r="795" spans="1:3">
      <c r="A795" s="357" t="s">
        <v>54</v>
      </c>
      <c r="B795" s="246">
        <v>2044539</v>
      </c>
      <c r="C795" s="246" t="s">
        <v>50</v>
      </c>
    </row>
    <row r="796" spans="1:3">
      <c r="A796" s="358" t="s">
        <v>54</v>
      </c>
      <c r="B796" s="166">
        <v>2049385</v>
      </c>
      <c r="C796" s="166" t="s">
        <v>50</v>
      </c>
    </row>
    <row r="797" spans="1:3">
      <c r="A797" s="357" t="s">
        <v>54</v>
      </c>
      <c r="B797" s="246">
        <v>2049887</v>
      </c>
      <c r="C797" s="246" t="s">
        <v>50</v>
      </c>
    </row>
    <row r="798" spans="1:3">
      <c r="A798" s="358" t="s">
        <v>54</v>
      </c>
      <c r="B798" s="166">
        <v>2051636</v>
      </c>
      <c r="C798" s="166" t="s">
        <v>50</v>
      </c>
    </row>
    <row r="799" spans="1:3">
      <c r="A799" s="358" t="s">
        <v>54</v>
      </c>
      <c r="B799" s="166">
        <v>2053225</v>
      </c>
      <c r="C799" s="166" t="s">
        <v>50</v>
      </c>
    </row>
    <row r="800" spans="1:3">
      <c r="A800" s="358" t="s">
        <v>54</v>
      </c>
      <c r="B800" s="166">
        <v>2054422</v>
      </c>
      <c r="C800" s="166" t="s">
        <v>50</v>
      </c>
    </row>
    <row r="801" spans="1:3">
      <c r="A801" s="359" t="s">
        <v>54</v>
      </c>
      <c r="B801" s="236">
        <v>2055457</v>
      </c>
      <c r="C801" s="349" t="s">
        <v>50</v>
      </c>
    </row>
    <row r="802" spans="1:3">
      <c r="A802" s="361" t="s">
        <v>54</v>
      </c>
      <c r="B802" s="211">
        <v>2055458</v>
      </c>
      <c r="C802" s="350" t="s">
        <v>49</v>
      </c>
    </row>
    <row r="803" spans="1:3">
      <c r="A803" s="361" t="s">
        <v>54</v>
      </c>
      <c r="B803" s="211">
        <v>2057199</v>
      </c>
      <c r="C803" s="350" t="s">
        <v>50</v>
      </c>
    </row>
    <row r="804" spans="1:3">
      <c r="A804" s="358" t="s">
        <v>54</v>
      </c>
      <c r="B804" s="166">
        <v>2059144</v>
      </c>
      <c r="C804" s="166" t="s">
        <v>50</v>
      </c>
    </row>
    <row r="805" spans="1:3">
      <c r="A805" s="358" t="s">
        <v>54</v>
      </c>
      <c r="B805" s="166">
        <v>2059667</v>
      </c>
      <c r="C805" s="166" t="s">
        <v>50</v>
      </c>
    </row>
    <row r="806" spans="1:3">
      <c r="A806" s="358" t="s">
        <v>54</v>
      </c>
      <c r="B806" s="166">
        <v>2059806</v>
      </c>
      <c r="C806" s="166" t="s">
        <v>50</v>
      </c>
    </row>
    <row r="807" spans="1:3">
      <c r="A807" s="358" t="s">
        <v>54</v>
      </c>
      <c r="B807" s="166">
        <v>2060620</v>
      </c>
      <c r="C807" s="166" t="s">
        <v>50</v>
      </c>
    </row>
    <row r="808" spans="1:3">
      <c r="A808" s="358" t="s">
        <v>54</v>
      </c>
      <c r="B808" s="166">
        <v>2061232</v>
      </c>
      <c r="C808" s="166" t="s">
        <v>50</v>
      </c>
    </row>
    <row r="809" spans="1:3">
      <c r="A809" s="358" t="s">
        <v>54</v>
      </c>
      <c r="B809" s="166">
        <v>2061233</v>
      </c>
      <c r="C809" s="166" t="s">
        <v>50</v>
      </c>
    </row>
    <row r="810" spans="1:3">
      <c r="A810" s="358" t="s">
        <v>54</v>
      </c>
      <c r="B810" s="166">
        <v>2063000</v>
      </c>
      <c r="C810" s="166" t="s">
        <v>50</v>
      </c>
    </row>
    <row r="811" spans="1:3">
      <c r="A811" s="358" t="s">
        <v>54</v>
      </c>
      <c r="B811" s="166">
        <v>2066781</v>
      </c>
      <c r="C811" s="166" t="s">
        <v>50</v>
      </c>
    </row>
    <row r="812" spans="1:3">
      <c r="A812" s="358" t="s">
        <v>54</v>
      </c>
      <c r="B812" s="166">
        <v>2068609</v>
      </c>
      <c r="C812" s="166" t="s">
        <v>50</v>
      </c>
    </row>
    <row r="813" spans="1:3">
      <c r="A813" s="358" t="s">
        <v>54</v>
      </c>
      <c r="B813" s="166">
        <v>2071111</v>
      </c>
      <c r="C813" s="166" t="s">
        <v>50</v>
      </c>
    </row>
    <row r="814" spans="1:3">
      <c r="A814" s="361" t="s">
        <v>54</v>
      </c>
      <c r="B814" s="211">
        <v>2077557</v>
      </c>
      <c r="C814" s="350" t="s">
        <v>49</v>
      </c>
    </row>
    <row r="815" spans="1:3">
      <c r="A815" s="358" t="s">
        <v>54</v>
      </c>
      <c r="B815" s="166">
        <v>2079570</v>
      </c>
      <c r="C815" s="166" t="s">
        <v>50</v>
      </c>
    </row>
    <row r="816" spans="1:3">
      <c r="A816" s="357" t="s">
        <v>54</v>
      </c>
      <c r="B816" s="246">
        <v>2080223</v>
      </c>
      <c r="C816" s="246" t="s">
        <v>50</v>
      </c>
    </row>
    <row r="817" spans="1:3">
      <c r="A817" s="358" t="s">
        <v>54</v>
      </c>
      <c r="B817" s="166">
        <v>2080353</v>
      </c>
      <c r="C817" s="166" t="s">
        <v>50</v>
      </c>
    </row>
    <row r="818" spans="1:3">
      <c r="A818" s="358" t="s">
        <v>54</v>
      </c>
      <c r="B818" s="166">
        <v>2085334</v>
      </c>
      <c r="C818" s="166" t="s">
        <v>50</v>
      </c>
    </row>
    <row r="819" spans="1:3">
      <c r="A819" s="361" t="s">
        <v>54</v>
      </c>
      <c r="B819" s="211">
        <v>2087572</v>
      </c>
      <c r="C819" s="350" t="s">
        <v>49</v>
      </c>
    </row>
    <row r="820" spans="1:3">
      <c r="A820" s="358" t="s">
        <v>54</v>
      </c>
      <c r="B820" s="166">
        <v>2090599</v>
      </c>
      <c r="C820" s="166" t="s">
        <v>50</v>
      </c>
    </row>
    <row r="821" spans="1:3">
      <c r="A821" s="358" t="s">
        <v>54</v>
      </c>
      <c r="B821" s="166">
        <v>2090883</v>
      </c>
      <c r="C821" s="166" t="s">
        <v>50</v>
      </c>
    </row>
    <row r="822" spans="1:3">
      <c r="A822" s="361" t="s">
        <v>54</v>
      </c>
      <c r="B822" s="211">
        <v>2091169</v>
      </c>
      <c r="C822" s="350" t="s">
        <v>50</v>
      </c>
    </row>
    <row r="823" spans="1:3">
      <c r="A823" s="358" t="s">
        <v>54</v>
      </c>
      <c r="B823" s="166">
        <v>2092619</v>
      </c>
      <c r="C823" s="166" t="s">
        <v>50</v>
      </c>
    </row>
    <row r="824" spans="1:3">
      <c r="A824" s="358" t="s">
        <v>54</v>
      </c>
      <c r="B824" s="166">
        <v>2092806</v>
      </c>
      <c r="C824" s="166" t="s">
        <v>50</v>
      </c>
    </row>
    <row r="825" spans="1:3">
      <c r="A825" s="358" t="s">
        <v>54</v>
      </c>
      <c r="B825" s="166">
        <v>2093154</v>
      </c>
      <c r="C825" s="166" t="s">
        <v>50</v>
      </c>
    </row>
    <row r="826" spans="1:3">
      <c r="A826" s="358" t="s">
        <v>54</v>
      </c>
      <c r="B826" s="166">
        <v>2093914</v>
      </c>
      <c r="C826" s="166" t="s">
        <v>50</v>
      </c>
    </row>
    <row r="827" spans="1:3">
      <c r="A827" s="361" t="s">
        <v>54</v>
      </c>
      <c r="B827" s="211">
        <v>2097763</v>
      </c>
      <c r="C827" s="350" t="s">
        <v>50</v>
      </c>
    </row>
    <row r="828" spans="1:3">
      <c r="A828" s="358" t="s">
        <v>54</v>
      </c>
      <c r="B828" s="166">
        <v>2099652</v>
      </c>
      <c r="C828" s="166" t="s">
        <v>50</v>
      </c>
    </row>
    <row r="829" spans="1:3">
      <c r="A829" s="358" t="s">
        <v>54</v>
      </c>
      <c r="B829" s="166">
        <v>2099933</v>
      </c>
      <c r="C829" s="166" t="s">
        <v>50</v>
      </c>
    </row>
    <row r="830" spans="1:3">
      <c r="A830" s="358" t="s">
        <v>54</v>
      </c>
      <c r="B830" s="166">
        <v>2101048</v>
      </c>
      <c r="C830" s="166" t="s">
        <v>50</v>
      </c>
    </row>
    <row r="831" spans="1:3">
      <c r="A831" s="358" t="s">
        <v>54</v>
      </c>
      <c r="B831" s="166">
        <v>2102562</v>
      </c>
      <c r="C831" s="166" t="s">
        <v>50</v>
      </c>
    </row>
    <row r="832" spans="1:3">
      <c r="A832" s="358" t="s">
        <v>54</v>
      </c>
      <c r="B832" s="166">
        <v>2105444</v>
      </c>
      <c r="C832" s="166" t="s">
        <v>50</v>
      </c>
    </row>
    <row r="833" spans="1:3">
      <c r="A833" s="358" t="s">
        <v>54</v>
      </c>
      <c r="B833" s="166">
        <v>2107253</v>
      </c>
      <c r="C833" s="166" t="s">
        <v>50</v>
      </c>
    </row>
    <row r="834" spans="1:3">
      <c r="A834" s="358" t="s">
        <v>54</v>
      </c>
      <c r="B834" s="166">
        <v>2108404</v>
      </c>
      <c r="C834" s="166" t="s">
        <v>50</v>
      </c>
    </row>
    <row r="835" spans="1:3">
      <c r="A835" s="358" t="s">
        <v>54</v>
      </c>
      <c r="B835" s="166">
        <v>2109140</v>
      </c>
      <c r="C835" s="166" t="s">
        <v>50</v>
      </c>
    </row>
    <row r="836" spans="1:3">
      <c r="A836" s="358" t="s">
        <v>54</v>
      </c>
      <c r="B836" s="166">
        <v>2110668</v>
      </c>
      <c r="C836" s="166" t="s">
        <v>50</v>
      </c>
    </row>
    <row r="837" spans="1:3">
      <c r="A837" s="358" t="s">
        <v>54</v>
      </c>
      <c r="B837" s="166">
        <v>2111495</v>
      </c>
      <c r="C837" s="166" t="s">
        <v>50</v>
      </c>
    </row>
    <row r="838" spans="1:3">
      <c r="A838" s="358" t="s">
        <v>54</v>
      </c>
      <c r="B838" s="166">
        <v>2112610</v>
      </c>
      <c r="C838" s="166" t="s">
        <v>50</v>
      </c>
    </row>
    <row r="839" spans="1:3">
      <c r="A839" s="361" t="s">
        <v>54</v>
      </c>
      <c r="B839" s="211">
        <v>2113805</v>
      </c>
      <c r="C839" s="350" t="s">
        <v>50</v>
      </c>
    </row>
    <row r="840" spans="1:3">
      <c r="A840" s="358" t="s">
        <v>54</v>
      </c>
      <c r="B840" s="166">
        <v>2116478</v>
      </c>
      <c r="C840" s="166" t="s">
        <v>50</v>
      </c>
    </row>
    <row r="841" spans="1:3">
      <c r="A841" s="361" t="s">
        <v>54</v>
      </c>
      <c r="B841" s="211">
        <v>2119575</v>
      </c>
      <c r="C841" s="350" t="s">
        <v>49</v>
      </c>
    </row>
    <row r="842" spans="1:3">
      <c r="A842" s="358" t="s">
        <v>54</v>
      </c>
      <c r="B842" s="166">
        <v>2121739</v>
      </c>
      <c r="C842" s="166" t="s">
        <v>50</v>
      </c>
    </row>
    <row r="843" spans="1:3">
      <c r="A843" s="358" t="s">
        <v>54</v>
      </c>
      <c r="B843" s="166">
        <v>2122098</v>
      </c>
      <c r="C843" s="166" t="s">
        <v>50</v>
      </c>
    </row>
    <row r="844" spans="1:3">
      <c r="A844" s="358" t="s">
        <v>54</v>
      </c>
      <c r="B844" s="166">
        <v>2122144</v>
      </c>
      <c r="C844" s="166" t="s">
        <v>50</v>
      </c>
    </row>
    <row r="845" spans="1:3">
      <c r="A845" s="358" t="s">
        <v>54</v>
      </c>
      <c r="B845" s="166">
        <v>2125831</v>
      </c>
      <c r="C845" s="166" t="s">
        <v>50</v>
      </c>
    </row>
    <row r="846" spans="1:3">
      <c r="A846" s="358" t="s">
        <v>54</v>
      </c>
      <c r="B846" s="166">
        <v>2127449</v>
      </c>
      <c r="C846" s="166" t="s">
        <v>50</v>
      </c>
    </row>
    <row r="847" spans="1:3">
      <c r="A847" s="358" t="s">
        <v>54</v>
      </c>
      <c r="B847" s="166">
        <v>2132200</v>
      </c>
      <c r="C847" s="166" t="s">
        <v>50</v>
      </c>
    </row>
    <row r="848" spans="1:3">
      <c r="A848" s="358" t="s">
        <v>54</v>
      </c>
      <c r="B848" s="166">
        <v>2135329</v>
      </c>
      <c r="C848" s="166" t="s">
        <v>50</v>
      </c>
    </row>
    <row r="849" spans="1:3">
      <c r="A849" s="358" t="s">
        <v>54</v>
      </c>
      <c r="B849" s="166">
        <v>2140472</v>
      </c>
      <c r="C849" s="166" t="s">
        <v>50</v>
      </c>
    </row>
    <row r="850" spans="1:3">
      <c r="A850" s="358" t="s">
        <v>54</v>
      </c>
      <c r="B850" s="166">
        <v>2142168</v>
      </c>
      <c r="C850" s="166" t="s">
        <v>50</v>
      </c>
    </row>
    <row r="851" spans="1:3">
      <c r="A851" s="358" t="s">
        <v>54</v>
      </c>
      <c r="B851" s="166">
        <v>2143341</v>
      </c>
      <c r="C851" s="166" t="s">
        <v>50</v>
      </c>
    </row>
    <row r="852" spans="1:3">
      <c r="A852" s="358" t="s">
        <v>54</v>
      </c>
      <c r="B852" s="166">
        <v>2143485</v>
      </c>
      <c r="C852" s="166" t="s">
        <v>50</v>
      </c>
    </row>
    <row r="853" spans="1:3">
      <c r="A853" s="358" t="s">
        <v>54</v>
      </c>
      <c r="B853" s="166">
        <v>2145023</v>
      </c>
      <c r="C853" s="166" t="s">
        <v>50</v>
      </c>
    </row>
    <row r="854" spans="1:3">
      <c r="A854" s="358" t="s">
        <v>54</v>
      </c>
      <c r="B854" s="166">
        <v>2161240</v>
      </c>
      <c r="C854" s="166" t="s">
        <v>50</v>
      </c>
    </row>
    <row r="855" spans="1:3">
      <c r="A855" s="358" t="s">
        <v>54</v>
      </c>
      <c r="B855" s="166">
        <v>2161742</v>
      </c>
      <c r="C855" s="166" t="s">
        <v>50</v>
      </c>
    </row>
    <row r="856" spans="1:3">
      <c r="A856" s="358" t="s">
        <v>54</v>
      </c>
      <c r="B856" s="166">
        <v>2162107</v>
      </c>
      <c r="C856" s="166" t="s">
        <v>50</v>
      </c>
    </row>
    <row r="857" spans="1:3">
      <c r="A857" s="358" t="s">
        <v>54</v>
      </c>
      <c r="B857" s="166">
        <v>2165527</v>
      </c>
      <c r="C857" s="166" t="s">
        <v>50</v>
      </c>
    </row>
    <row r="858" spans="1:3">
      <c r="A858" s="358" t="s">
        <v>54</v>
      </c>
      <c r="B858" s="166">
        <v>2166548</v>
      </c>
      <c r="C858" s="166" t="s">
        <v>50</v>
      </c>
    </row>
    <row r="859" spans="1:3">
      <c r="A859" s="361" t="s">
        <v>54</v>
      </c>
      <c r="B859" s="211">
        <v>2167248</v>
      </c>
      <c r="C859" s="350" t="s">
        <v>49</v>
      </c>
    </row>
    <row r="860" spans="1:3">
      <c r="A860" s="358" t="s">
        <v>54</v>
      </c>
      <c r="B860" s="166">
        <v>2167930</v>
      </c>
      <c r="C860" s="166" t="s">
        <v>50</v>
      </c>
    </row>
    <row r="861" spans="1:3">
      <c r="A861" s="358" t="s">
        <v>54</v>
      </c>
      <c r="B861" s="166">
        <v>2168884</v>
      </c>
      <c r="C861" s="166" t="s">
        <v>50</v>
      </c>
    </row>
    <row r="862" spans="1:3">
      <c r="A862" s="358" t="s">
        <v>54</v>
      </c>
      <c r="B862" s="166">
        <v>2169836</v>
      </c>
      <c r="C862" s="166" t="s">
        <v>50</v>
      </c>
    </row>
    <row r="863" spans="1:3">
      <c r="A863" s="358" t="s">
        <v>54</v>
      </c>
      <c r="B863" s="166">
        <v>2169979</v>
      </c>
      <c r="C863" s="166" t="s">
        <v>50</v>
      </c>
    </row>
    <row r="864" spans="1:3">
      <c r="A864" s="357" t="s">
        <v>54</v>
      </c>
      <c r="B864" s="246">
        <v>2171967</v>
      </c>
      <c r="C864" s="246" t="s">
        <v>50</v>
      </c>
    </row>
    <row r="865" spans="1:3">
      <c r="A865" s="358" t="s">
        <v>54</v>
      </c>
      <c r="B865" s="166">
        <v>2175989</v>
      </c>
      <c r="C865" s="166" t="s">
        <v>50</v>
      </c>
    </row>
    <row r="866" spans="1:3">
      <c r="A866" s="358" t="s">
        <v>54</v>
      </c>
      <c r="B866" s="166">
        <v>2177615</v>
      </c>
      <c r="C866" s="166" t="s">
        <v>50</v>
      </c>
    </row>
    <row r="867" spans="1:3">
      <c r="A867" s="361" t="s">
        <v>54</v>
      </c>
      <c r="B867" s="211">
        <v>2178319</v>
      </c>
      <c r="C867" s="350" t="s">
        <v>49</v>
      </c>
    </row>
    <row r="868" spans="1:3">
      <c r="A868" s="361" t="s">
        <v>54</v>
      </c>
      <c r="B868" s="211">
        <v>2181836</v>
      </c>
      <c r="C868" s="350" t="s">
        <v>49</v>
      </c>
    </row>
    <row r="869" spans="1:3">
      <c r="A869" s="358" t="s">
        <v>54</v>
      </c>
      <c r="B869" s="166">
        <v>2182220</v>
      </c>
      <c r="C869" s="166" t="s">
        <v>50</v>
      </c>
    </row>
    <row r="870" spans="1:3">
      <c r="A870" s="358" t="s">
        <v>54</v>
      </c>
      <c r="B870" s="166">
        <v>2185844</v>
      </c>
      <c r="C870" s="166" t="s">
        <v>50</v>
      </c>
    </row>
    <row r="871" spans="1:3">
      <c r="A871" s="358" t="s">
        <v>54</v>
      </c>
      <c r="B871" s="166">
        <v>2189650</v>
      </c>
      <c r="C871" s="166" t="s">
        <v>50</v>
      </c>
    </row>
    <row r="872" spans="1:3">
      <c r="A872" s="358" t="s">
        <v>54</v>
      </c>
      <c r="B872" s="166">
        <v>2198081</v>
      </c>
      <c r="C872" s="166" t="s">
        <v>50</v>
      </c>
    </row>
    <row r="873" spans="1:3">
      <c r="A873" s="358" t="s">
        <v>54</v>
      </c>
      <c r="B873" s="166">
        <v>2198559</v>
      </c>
      <c r="C873" s="166" t="s">
        <v>50</v>
      </c>
    </row>
    <row r="874" spans="1:3">
      <c r="A874" s="358" t="s">
        <v>54</v>
      </c>
      <c r="B874" s="166">
        <v>2201092</v>
      </c>
      <c r="C874" s="166" t="s">
        <v>50</v>
      </c>
    </row>
    <row r="875" spans="1:3">
      <c r="A875" s="358" t="s">
        <v>54</v>
      </c>
      <c r="B875" s="166">
        <v>2202521</v>
      </c>
      <c r="C875" s="166" t="s">
        <v>50</v>
      </c>
    </row>
    <row r="876" spans="1:3">
      <c r="A876" s="357" t="s">
        <v>54</v>
      </c>
      <c r="B876" s="246">
        <v>2202528</v>
      </c>
      <c r="C876" s="246" t="s">
        <v>50</v>
      </c>
    </row>
    <row r="877" spans="1:3">
      <c r="A877" s="358" t="s">
        <v>54</v>
      </c>
      <c r="B877" s="166">
        <v>2204322</v>
      </c>
      <c r="C877" s="166" t="s">
        <v>50</v>
      </c>
    </row>
    <row r="878" spans="1:3">
      <c r="A878" s="358" t="s">
        <v>54</v>
      </c>
      <c r="B878" s="166">
        <v>2207998</v>
      </c>
      <c r="C878" s="166" t="s">
        <v>50</v>
      </c>
    </row>
    <row r="879" spans="1:3">
      <c r="A879" s="358" t="s">
        <v>54</v>
      </c>
      <c r="B879" s="166">
        <v>2210238</v>
      </c>
      <c r="C879" s="166" t="s">
        <v>50</v>
      </c>
    </row>
    <row r="880" spans="1:3">
      <c r="A880" s="358" t="s">
        <v>54</v>
      </c>
      <c r="B880" s="166">
        <v>2214372</v>
      </c>
      <c r="C880" s="166" t="s">
        <v>50</v>
      </c>
    </row>
    <row r="881" spans="1:3">
      <c r="A881" s="358" t="s">
        <v>54</v>
      </c>
      <c r="B881" s="166">
        <v>2214383</v>
      </c>
      <c r="C881" s="166" t="s">
        <v>50</v>
      </c>
    </row>
    <row r="882" spans="1:3">
      <c r="A882" s="358" t="s">
        <v>54</v>
      </c>
      <c r="B882" s="166">
        <v>2214936</v>
      </c>
      <c r="C882" s="166" t="s">
        <v>50</v>
      </c>
    </row>
    <row r="883" spans="1:3">
      <c r="A883" s="358" t="s">
        <v>54</v>
      </c>
      <c r="B883" s="166">
        <v>2219733</v>
      </c>
      <c r="C883" s="166" t="s">
        <v>50</v>
      </c>
    </row>
    <row r="884" spans="1:3">
      <c r="A884" s="358" t="s">
        <v>54</v>
      </c>
      <c r="B884" s="166">
        <v>2220039</v>
      </c>
      <c r="C884" s="166" t="s">
        <v>50</v>
      </c>
    </row>
    <row r="885" spans="1:3">
      <c r="A885" s="361" t="s">
        <v>54</v>
      </c>
      <c r="B885" s="211">
        <v>2223252</v>
      </c>
      <c r="C885" s="350" t="s">
        <v>49</v>
      </c>
    </row>
    <row r="886" spans="1:3">
      <c r="A886" s="361" t="s">
        <v>54</v>
      </c>
      <c r="B886" s="211">
        <v>2233112</v>
      </c>
      <c r="C886" s="350" t="s">
        <v>50</v>
      </c>
    </row>
    <row r="887" spans="1:3">
      <c r="A887" s="358" t="s">
        <v>54</v>
      </c>
      <c r="B887" s="166">
        <v>2242070</v>
      </c>
      <c r="C887" s="166" t="s">
        <v>50</v>
      </c>
    </row>
    <row r="888" spans="1:3">
      <c r="A888" s="358" t="s">
        <v>54</v>
      </c>
      <c r="B888" s="166">
        <v>2243813</v>
      </c>
      <c r="C888" s="166" t="s">
        <v>50</v>
      </c>
    </row>
    <row r="889" spans="1:3">
      <c r="A889" s="361" t="s">
        <v>54</v>
      </c>
      <c r="B889" s="211">
        <v>2246246</v>
      </c>
      <c r="C889" s="350" t="s">
        <v>49</v>
      </c>
    </row>
    <row r="890" spans="1:3">
      <c r="A890" s="358" t="s">
        <v>54</v>
      </c>
      <c r="B890" s="166">
        <v>2258421</v>
      </c>
      <c r="C890" s="166" t="s">
        <v>50</v>
      </c>
    </row>
    <row r="891" spans="1:3">
      <c r="A891" s="361" t="s">
        <v>54</v>
      </c>
      <c r="B891" s="211">
        <v>2259974</v>
      </c>
      <c r="C891" s="350" t="s">
        <v>49</v>
      </c>
    </row>
    <row r="892" spans="1:3">
      <c r="A892" s="358" t="s">
        <v>54</v>
      </c>
      <c r="B892" s="166">
        <v>2265769</v>
      </c>
      <c r="C892" s="166" t="s">
        <v>50</v>
      </c>
    </row>
    <row r="893" spans="1:3">
      <c r="A893" s="358" t="s">
        <v>54</v>
      </c>
      <c r="B893" s="166">
        <v>2266395</v>
      </c>
      <c r="C893" s="166" t="s">
        <v>50</v>
      </c>
    </row>
    <row r="894" spans="1:3">
      <c r="A894" s="358" t="s">
        <v>54</v>
      </c>
      <c r="B894" s="166">
        <v>2266513</v>
      </c>
      <c r="C894" s="166" t="s">
        <v>50</v>
      </c>
    </row>
    <row r="895" spans="1:3">
      <c r="A895" s="361" t="s">
        <v>54</v>
      </c>
      <c r="B895" s="211">
        <v>2270853</v>
      </c>
      <c r="C895" s="350" t="s">
        <v>50</v>
      </c>
    </row>
    <row r="896" spans="1:3">
      <c r="A896" s="358" t="s">
        <v>54</v>
      </c>
      <c r="B896" s="166">
        <v>2271852</v>
      </c>
      <c r="C896" s="166" t="s">
        <v>50</v>
      </c>
    </row>
    <row r="897" spans="1:3">
      <c r="A897" s="358" t="s">
        <v>54</v>
      </c>
      <c r="B897" s="166">
        <v>2273372</v>
      </c>
      <c r="C897" s="166" t="s">
        <v>50</v>
      </c>
    </row>
    <row r="898" spans="1:3">
      <c r="A898" s="361" t="s">
        <v>54</v>
      </c>
      <c r="B898" s="211">
        <v>2279346</v>
      </c>
      <c r="C898" s="350" t="s">
        <v>50</v>
      </c>
    </row>
    <row r="899" spans="1:3">
      <c r="A899" s="358" t="s">
        <v>54</v>
      </c>
      <c r="B899" s="166">
        <v>2295512</v>
      </c>
      <c r="C899" s="166" t="s">
        <v>50</v>
      </c>
    </row>
    <row r="900" spans="1:3">
      <c r="A900" s="358" t="s">
        <v>54</v>
      </c>
      <c r="B900" s="166">
        <v>2295782</v>
      </c>
      <c r="C900" s="166" t="s">
        <v>50</v>
      </c>
    </row>
    <row r="901" spans="1:3">
      <c r="A901" s="361" t="s">
        <v>54</v>
      </c>
      <c r="B901" s="211">
        <v>2297028</v>
      </c>
      <c r="C901" s="350" t="s">
        <v>50</v>
      </c>
    </row>
    <row r="902" spans="1:3">
      <c r="A902" s="361" t="s">
        <v>54</v>
      </c>
      <c r="B902" s="211">
        <v>2305218</v>
      </c>
      <c r="C902" s="350" t="s">
        <v>50</v>
      </c>
    </row>
    <row r="903" spans="1:3">
      <c r="A903" s="358" t="s">
        <v>54</v>
      </c>
      <c r="B903" s="166">
        <v>2333074</v>
      </c>
      <c r="C903" s="166" t="s">
        <v>50</v>
      </c>
    </row>
    <row r="904" spans="1:3">
      <c r="A904" s="361" t="s">
        <v>54</v>
      </c>
      <c r="B904" s="211">
        <v>2334008</v>
      </c>
      <c r="C904" s="350" t="s">
        <v>50</v>
      </c>
    </row>
    <row r="905" spans="1:3">
      <c r="A905" s="361" t="s">
        <v>54</v>
      </c>
      <c r="B905" s="211">
        <v>2338075</v>
      </c>
      <c r="C905" s="350" t="s">
        <v>50</v>
      </c>
    </row>
    <row r="906" spans="1:3">
      <c r="A906" s="358" t="s">
        <v>54</v>
      </c>
      <c r="B906" s="166">
        <v>2340244</v>
      </c>
      <c r="C906" s="166" t="s">
        <v>50</v>
      </c>
    </row>
    <row r="907" spans="1:3">
      <c r="A907" s="358" t="s">
        <v>54</v>
      </c>
      <c r="B907" s="166">
        <v>2345914</v>
      </c>
      <c r="C907" s="166" t="s">
        <v>50</v>
      </c>
    </row>
    <row r="908" spans="1:3">
      <c r="A908" s="358" t="s">
        <v>54</v>
      </c>
      <c r="B908" s="166">
        <v>2346105</v>
      </c>
      <c r="C908" s="166" t="s">
        <v>50</v>
      </c>
    </row>
    <row r="909" spans="1:3">
      <c r="A909" s="358" t="s">
        <v>54</v>
      </c>
      <c r="B909" s="166">
        <v>2354188</v>
      </c>
      <c r="C909" s="166" t="s">
        <v>50</v>
      </c>
    </row>
    <row r="910" spans="1:3">
      <c r="A910" s="358" t="s">
        <v>54</v>
      </c>
      <c r="B910" s="166">
        <v>2357361</v>
      </c>
      <c r="C910" s="166" t="s">
        <v>50</v>
      </c>
    </row>
    <row r="911" spans="1:3">
      <c r="A911" s="358" t="s">
        <v>54</v>
      </c>
      <c r="B911" s="166">
        <v>2358344</v>
      </c>
      <c r="C911" s="166" t="s">
        <v>50</v>
      </c>
    </row>
    <row r="912" spans="1:3">
      <c r="A912" s="358" t="s">
        <v>54</v>
      </c>
      <c r="B912" s="166">
        <v>2366227</v>
      </c>
      <c r="C912" s="166" t="s">
        <v>50</v>
      </c>
    </row>
    <row r="913" spans="1:3">
      <c r="A913" s="358" t="s">
        <v>54</v>
      </c>
      <c r="B913" s="166">
        <v>2370111</v>
      </c>
      <c r="C913" s="166" t="s">
        <v>50</v>
      </c>
    </row>
    <row r="914" spans="1:3">
      <c r="A914" s="358" t="s">
        <v>54</v>
      </c>
      <c r="B914" s="166">
        <v>2384451</v>
      </c>
      <c r="C914" s="166" t="s">
        <v>50</v>
      </c>
    </row>
    <row r="915" spans="1:3">
      <c r="A915" s="358" t="s">
        <v>54</v>
      </c>
      <c r="B915" s="166">
        <v>2403310</v>
      </c>
      <c r="C915" s="166" t="s">
        <v>50</v>
      </c>
    </row>
    <row r="916" spans="1:3">
      <c r="A916" s="358" t="s">
        <v>54</v>
      </c>
      <c r="B916" s="166">
        <v>2413601</v>
      </c>
      <c r="C916" s="166" t="s">
        <v>50</v>
      </c>
    </row>
    <row r="917" spans="1:3">
      <c r="A917" s="358" t="s">
        <v>54</v>
      </c>
      <c r="B917" s="166">
        <v>2421738</v>
      </c>
      <c r="C917" s="166" t="s">
        <v>50</v>
      </c>
    </row>
    <row r="918" spans="1:3">
      <c r="A918" s="358" t="s">
        <v>54</v>
      </c>
      <c r="B918" s="166">
        <v>2424957</v>
      </c>
      <c r="C918" s="166" t="s">
        <v>50</v>
      </c>
    </row>
    <row r="919" spans="1:3">
      <c r="A919" s="358" t="s">
        <v>54</v>
      </c>
      <c r="B919" s="166">
        <v>2427163</v>
      </c>
      <c r="C919" s="166" t="s">
        <v>50</v>
      </c>
    </row>
    <row r="920" spans="1:3">
      <c r="A920" s="358" t="s">
        <v>54</v>
      </c>
      <c r="B920" s="166">
        <v>2431160</v>
      </c>
      <c r="C920" s="166" t="s">
        <v>50</v>
      </c>
    </row>
    <row r="921" spans="1:3">
      <c r="A921" s="358" t="s">
        <v>54</v>
      </c>
      <c r="B921" s="166">
        <v>2432413</v>
      </c>
      <c r="C921" s="166" t="s">
        <v>50</v>
      </c>
    </row>
    <row r="922" spans="1:3">
      <c r="A922" s="358" t="s">
        <v>54</v>
      </c>
      <c r="B922" s="166">
        <v>2446875</v>
      </c>
      <c r="C922" s="166" t="s">
        <v>50</v>
      </c>
    </row>
    <row r="923" spans="1:3">
      <c r="A923" s="358" t="s">
        <v>54</v>
      </c>
      <c r="B923" s="166">
        <v>2449477</v>
      </c>
      <c r="C923" s="166" t="s">
        <v>50</v>
      </c>
    </row>
    <row r="924" spans="1:3">
      <c r="A924" s="358" t="s">
        <v>54</v>
      </c>
      <c r="B924" s="166">
        <v>2489141</v>
      </c>
      <c r="C924" s="166" t="s">
        <v>50</v>
      </c>
    </row>
    <row r="925" spans="1:3">
      <c r="A925" s="358" t="s">
        <v>54</v>
      </c>
      <c r="B925" s="166">
        <v>2516514</v>
      </c>
      <c r="C925" s="166" t="s">
        <v>50</v>
      </c>
    </row>
    <row r="926" spans="1:3">
      <c r="A926" s="358" t="s">
        <v>54</v>
      </c>
      <c r="B926" s="166">
        <v>2522211</v>
      </c>
      <c r="C926" s="166" t="s">
        <v>50</v>
      </c>
    </row>
    <row r="927" spans="1:3">
      <c r="A927" s="358" t="s">
        <v>54</v>
      </c>
      <c r="B927" s="166">
        <v>2570387</v>
      </c>
      <c r="C927" s="166" t="s">
        <v>50</v>
      </c>
    </row>
    <row r="928" spans="1:3">
      <c r="A928" s="358" t="s">
        <v>54</v>
      </c>
      <c r="B928" s="166">
        <v>2570388</v>
      </c>
      <c r="C928" s="166" t="s">
        <v>50</v>
      </c>
    </row>
    <row r="929" spans="1:3">
      <c r="A929" s="358" t="s">
        <v>54</v>
      </c>
      <c r="B929" s="166">
        <v>2578164</v>
      </c>
      <c r="C929" s="166" t="s">
        <v>50</v>
      </c>
    </row>
    <row r="930" spans="1:3">
      <c r="A930" s="358" t="s">
        <v>54</v>
      </c>
      <c r="B930" s="166">
        <v>2580186</v>
      </c>
      <c r="C930" s="166" t="s">
        <v>50</v>
      </c>
    </row>
    <row r="931" spans="1:3">
      <c r="A931" s="358" t="s">
        <v>54</v>
      </c>
      <c r="B931" s="166">
        <v>2591659</v>
      </c>
      <c r="C931" s="166" t="s">
        <v>50</v>
      </c>
    </row>
    <row r="932" spans="1:3">
      <c r="A932" s="358" t="s">
        <v>54</v>
      </c>
      <c r="B932" s="166">
        <v>2601768</v>
      </c>
      <c r="C932" s="166" t="s">
        <v>50</v>
      </c>
    </row>
    <row r="933" spans="1:3">
      <c r="A933" s="358" t="s">
        <v>54</v>
      </c>
      <c r="B933" s="166">
        <v>2605626</v>
      </c>
      <c r="C933" s="166" t="s">
        <v>50</v>
      </c>
    </row>
    <row r="934" spans="1:3">
      <c r="A934" s="358" t="s">
        <v>54</v>
      </c>
      <c r="B934" s="166">
        <v>2627737</v>
      </c>
      <c r="C934" s="166" t="s">
        <v>50</v>
      </c>
    </row>
    <row r="935" spans="1:3">
      <c r="A935" s="358" t="s">
        <v>54</v>
      </c>
      <c r="B935" s="166">
        <v>2653906</v>
      </c>
      <c r="C935" s="166" t="s">
        <v>50</v>
      </c>
    </row>
    <row r="936" spans="1:3">
      <c r="A936" s="358" t="s">
        <v>54</v>
      </c>
      <c r="B936" s="166">
        <v>2655018</v>
      </c>
      <c r="C936" s="166" t="s">
        <v>50</v>
      </c>
    </row>
    <row r="937" spans="1:3">
      <c r="A937" s="358" t="s">
        <v>54</v>
      </c>
      <c r="B937" s="166">
        <v>2679358</v>
      </c>
      <c r="C937" s="166" t="s">
        <v>50</v>
      </c>
    </row>
    <row r="938" spans="1:3">
      <c r="A938" s="361" t="s">
        <v>55</v>
      </c>
      <c r="B938" s="63">
        <v>2081223</v>
      </c>
    </row>
    <row r="939" spans="1:3">
      <c r="A939" s="361" t="s">
        <v>55</v>
      </c>
      <c r="B939" s="63">
        <v>2473864</v>
      </c>
    </row>
    <row r="940" spans="1:3">
      <c r="A940" s="361" t="s">
        <v>55</v>
      </c>
      <c r="B940" s="211">
        <v>1235112</v>
      </c>
    </row>
    <row r="941" spans="1:3">
      <c r="A941" s="361" t="s">
        <v>55</v>
      </c>
      <c r="B941" s="211">
        <v>1560129</v>
      </c>
    </row>
    <row r="942" spans="1:3">
      <c r="A942" s="361" t="s">
        <v>55</v>
      </c>
      <c r="B942" s="211">
        <v>1562688</v>
      </c>
    </row>
    <row r="943" spans="1:3">
      <c r="A943" s="361" t="s">
        <v>55</v>
      </c>
      <c r="B943" s="211">
        <v>1577971</v>
      </c>
    </row>
    <row r="944" spans="1:3">
      <c r="A944" s="361" t="s">
        <v>55</v>
      </c>
      <c r="B944" s="211">
        <v>1579903</v>
      </c>
    </row>
    <row r="945" spans="1:2">
      <c r="A945" s="361" t="s">
        <v>55</v>
      </c>
      <c r="B945" s="211">
        <v>1585893</v>
      </c>
    </row>
    <row r="946" spans="1:2">
      <c r="A946" s="361" t="s">
        <v>55</v>
      </c>
      <c r="B946" s="211">
        <v>1596959</v>
      </c>
    </row>
    <row r="947" spans="1:2">
      <c r="A947" s="361" t="s">
        <v>55</v>
      </c>
      <c r="B947" s="211">
        <v>1603874</v>
      </c>
    </row>
    <row r="948" spans="1:2">
      <c r="A948" s="361" t="s">
        <v>55</v>
      </c>
      <c r="B948" s="211">
        <v>1629018</v>
      </c>
    </row>
    <row r="949" spans="1:2">
      <c r="A949" s="361" t="s">
        <v>55</v>
      </c>
      <c r="B949" s="211">
        <v>1662984</v>
      </c>
    </row>
    <row r="950" spans="1:2">
      <c r="A950" s="361" t="s">
        <v>55</v>
      </c>
      <c r="B950" s="211">
        <v>1740003</v>
      </c>
    </row>
    <row r="951" spans="1:2">
      <c r="A951" s="361" t="s">
        <v>55</v>
      </c>
      <c r="B951" s="211">
        <v>1764473</v>
      </c>
    </row>
    <row r="952" spans="1:2">
      <c r="A952" s="361" t="s">
        <v>55</v>
      </c>
      <c r="B952" s="211">
        <v>1801673</v>
      </c>
    </row>
    <row r="953" spans="1:2">
      <c r="A953" s="361" t="s">
        <v>55</v>
      </c>
      <c r="B953" s="211">
        <v>1828857</v>
      </c>
    </row>
    <row r="954" spans="1:2">
      <c r="A954" s="361" t="s">
        <v>55</v>
      </c>
      <c r="B954" s="211">
        <v>1887736</v>
      </c>
    </row>
    <row r="955" spans="1:2">
      <c r="A955" s="361" t="s">
        <v>55</v>
      </c>
      <c r="B955" s="211">
        <v>1900588</v>
      </c>
    </row>
    <row r="956" spans="1:2">
      <c r="A956" s="361" t="s">
        <v>55</v>
      </c>
      <c r="B956" s="272">
        <v>1907947</v>
      </c>
    </row>
    <row r="957" spans="1:2">
      <c r="A957" s="361" t="s">
        <v>55</v>
      </c>
      <c r="B957" s="236">
        <v>1907951</v>
      </c>
    </row>
    <row r="958" spans="1:2">
      <c r="A958" s="361" t="s">
        <v>55</v>
      </c>
      <c r="B958" s="211">
        <v>1909493</v>
      </c>
    </row>
    <row r="959" spans="1:2">
      <c r="A959" s="361" t="s">
        <v>55</v>
      </c>
      <c r="B959" s="211">
        <v>1946454</v>
      </c>
    </row>
    <row r="960" spans="1:2">
      <c r="A960" s="361" t="s">
        <v>55</v>
      </c>
      <c r="B960" s="211">
        <v>1957320</v>
      </c>
    </row>
    <row r="961" spans="1:2">
      <c r="A961" s="361" t="s">
        <v>55</v>
      </c>
      <c r="B961" s="211">
        <v>1959344</v>
      </c>
    </row>
    <row r="962" spans="1:2">
      <c r="A962" s="361" t="s">
        <v>55</v>
      </c>
      <c r="B962" s="211">
        <v>1970596</v>
      </c>
    </row>
    <row r="963" spans="1:2">
      <c r="A963" s="361" t="s">
        <v>55</v>
      </c>
      <c r="B963" s="211">
        <v>2030050</v>
      </c>
    </row>
    <row r="964" spans="1:2">
      <c r="A964" s="361" t="s">
        <v>55</v>
      </c>
      <c r="B964" s="211">
        <v>2046769</v>
      </c>
    </row>
    <row r="965" spans="1:2">
      <c r="A965" s="361" t="s">
        <v>55</v>
      </c>
      <c r="B965" s="211">
        <v>2046770</v>
      </c>
    </row>
    <row r="966" spans="1:2">
      <c r="A966" s="361" t="s">
        <v>55</v>
      </c>
      <c r="B966" s="236">
        <v>2081220</v>
      </c>
    </row>
    <row r="967" spans="1:2">
      <c r="A967" s="361" t="s">
        <v>55</v>
      </c>
      <c r="B967" s="211">
        <v>2081221</v>
      </c>
    </row>
    <row r="968" spans="1:2">
      <c r="A968" s="361" t="s">
        <v>55</v>
      </c>
      <c r="B968" s="211">
        <v>2081222</v>
      </c>
    </row>
    <row r="969" spans="1:2">
      <c r="A969" s="361" t="s">
        <v>55</v>
      </c>
      <c r="B969" s="211">
        <v>2081224</v>
      </c>
    </row>
    <row r="970" spans="1:2">
      <c r="A970" s="361" t="s">
        <v>55</v>
      </c>
      <c r="B970" s="211">
        <v>2081225</v>
      </c>
    </row>
    <row r="971" spans="1:2">
      <c r="A971" s="361" t="s">
        <v>55</v>
      </c>
      <c r="B971" s="211">
        <v>2119736</v>
      </c>
    </row>
    <row r="972" spans="1:2">
      <c r="A972" s="361" t="s">
        <v>55</v>
      </c>
      <c r="B972" s="211">
        <v>2119737</v>
      </c>
    </row>
    <row r="973" spans="1:2">
      <c r="A973" s="361" t="s">
        <v>55</v>
      </c>
      <c r="B973" s="211">
        <v>2134174</v>
      </c>
    </row>
    <row r="974" spans="1:2">
      <c r="A974" s="361" t="s">
        <v>55</v>
      </c>
      <c r="B974" s="211">
        <v>2179480</v>
      </c>
    </row>
    <row r="975" spans="1:2">
      <c r="A975" s="361" t="s">
        <v>55</v>
      </c>
      <c r="B975" s="211">
        <v>2179482</v>
      </c>
    </row>
    <row r="976" spans="1:2">
      <c r="A976" s="361" t="s">
        <v>55</v>
      </c>
      <c r="B976" s="211">
        <v>2180400</v>
      </c>
    </row>
    <row r="977" spans="1:2">
      <c r="A977" s="361" t="s">
        <v>55</v>
      </c>
      <c r="B977" s="211">
        <v>2204120</v>
      </c>
    </row>
    <row r="978" spans="1:2">
      <c r="A978" s="361" t="s">
        <v>55</v>
      </c>
      <c r="B978" s="211">
        <v>2224216</v>
      </c>
    </row>
    <row r="979" spans="1:2">
      <c r="A979" s="361" t="s">
        <v>55</v>
      </c>
      <c r="B979" s="211">
        <v>2242777</v>
      </c>
    </row>
    <row r="980" spans="1:2">
      <c r="A980" s="361" t="s">
        <v>55</v>
      </c>
      <c r="B980" s="211">
        <v>2257107</v>
      </c>
    </row>
    <row r="981" spans="1:2">
      <c r="A981" s="361" t="s">
        <v>55</v>
      </c>
      <c r="B981" s="211">
        <v>2266356</v>
      </c>
    </row>
    <row r="982" spans="1:2">
      <c r="A982" s="361" t="s">
        <v>55</v>
      </c>
      <c r="B982" s="211">
        <v>2307451</v>
      </c>
    </row>
    <row r="983" spans="1:2">
      <c r="A983" s="361" t="s">
        <v>55</v>
      </c>
      <c r="B983" s="211">
        <v>2311157</v>
      </c>
    </row>
    <row r="984" spans="1:2">
      <c r="A984" s="361" t="s">
        <v>56</v>
      </c>
      <c r="B984" s="211">
        <v>1962979</v>
      </c>
    </row>
    <row r="985" spans="1:2">
      <c r="A985" s="359" t="s">
        <v>56</v>
      </c>
      <c r="B985" s="236">
        <v>1981224</v>
      </c>
    </row>
    <row r="986" spans="1:2">
      <c r="A986" s="359" t="s">
        <v>56</v>
      </c>
      <c r="B986" s="236">
        <v>2002991</v>
      </c>
    </row>
    <row r="987" spans="1:2">
      <c r="A987" s="361" t="s">
        <v>56</v>
      </c>
      <c r="B987" s="211">
        <v>2025634</v>
      </c>
    </row>
    <row r="988" spans="1:2">
      <c r="A988" s="359" t="s">
        <v>1691</v>
      </c>
      <c r="B988" s="236">
        <v>2029094</v>
      </c>
    </row>
    <row r="989" spans="1:2">
      <c r="A989" s="361" t="s">
        <v>1691</v>
      </c>
      <c r="B989" s="211">
        <v>2059091</v>
      </c>
    </row>
    <row r="990" spans="1:2">
      <c r="A990" s="361" t="s">
        <v>56</v>
      </c>
      <c r="B990" s="211">
        <v>2119705</v>
      </c>
    </row>
    <row r="991" spans="1:2">
      <c r="A991" s="361" t="s">
        <v>1691</v>
      </c>
      <c r="B991" s="211">
        <v>2123825</v>
      </c>
    </row>
    <row r="992" spans="1:2">
      <c r="A992" s="361" t="s">
        <v>56</v>
      </c>
      <c r="B992" s="211">
        <v>2124852</v>
      </c>
    </row>
    <row r="993" spans="1:3">
      <c r="A993" s="359" t="s">
        <v>57</v>
      </c>
      <c r="B993" s="236">
        <v>1908080</v>
      </c>
      <c r="C993" s="236" t="s">
        <v>50</v>
      </c>
    </row>
    <row r="994" spans="1:3">
      <c r="A994" s="359" t="s">
        <v>57</v>
      </c>
      <c r="B994" s="236">
        <v>1908081</v>
      </c>
      <c r="C994" s="236" t="s">
        <v>50</v>
      </c>
    </row>
    <row r="995" spans="1:3">
      <c r="A995" s="361" t="s">
        <v>57</v>
      </c>
      <c r="B995" s="211">
        <v>2022573</v>
      </c>
      <c r="C995" s="211" t="s">
        <v>50</v>
      </c>
    </row>
    <row r="996" spans="1:3">
      <c r="A996" s="361" t="s">
        <v>57</v>
      </c>
      <c r="B996" s="211">
        <v>2029944</v>
      </c>
      <c r="C996" s="211" t="s">
        <v>50</v>
      </c>
    </row>
    <row r="997" spans="1:3">
      <c r="A997" s="361" t="s">
        <v>57</v>
      </c>
      <c r="B997" s="211">
        <v>2046343</v>
      </c>
      <c r="C997" s="211" t="s">
        <v>50</v>
      </c>
    </row>
    <row r="998" spans="1:3">
      <c r="A998" s="361" t="s">
        <v>57</v>
      </c>
      <c r="B998" s="211">
        <v>2046837</v>
      </c>
      <c r="C998" s="211" t="s">
        <v>50</v>
      </c>
    </row>
    <row r="999" spans="1:3">
      <c r="A999" s="361" t="s">
        <v>57</v>
      </c>
      <c r="B999" s="211">
        <v>2046838</v>
      </c>
      <c r="C999" s="211" t="s">
        <v>50</v>
      </c>
    </row>
    <row r="1000" spans="1:3">
      <c r="A1000" s="361" t="s">
        <v>57</v>
      </c>
      <c r="B1000" s="211">
        <v>2046839</v>
      </c>
      <c r="C1000" s="211" t="s">
        <v>50</v>
      </c>
    </row>
    <row r="1001" spans="1:3">
      <c r="A1001" s="361" t="s">
        <v>57</v>
      </c>
      <c r="B1001" s="211">
        <v>2046840</v>
      </c>
      <c r="C1001" s="211" t="s">
        <v>50</v>
      </c>
    </row>
    <row r="1002" spans="1:3">
      <c r="A1002" s="361" t="s">
        <v>57</v>
      </c>
      <c r="B1002" s="211">
        <v>2066372</v>
      </c>
      <c r="C1002" s="211" t="s">
        <v>50</v>
      </c>
    </row>
    <row r="1003" spans="1:3">
      <c r="A1003" s="361" t="s">
        <v>57</v>
      </c>
      <c r="B1003" s="211">
        <v>2066484</v>
      </c>
      <c r="C1003" s="211" t="s">
        <v>50</v>
      </c>
    </row>
    <row r="1004" spans="1:3">
      <c r="A1004" s="361" t="s">
        <v>57</v>
      </c>
      <c r="B1004" s="211">
        <v>2082085</v>
      </c>
      <c r="C1004" s="211" t="s">
        <v>50</v>
      </c>
    </row>
    <row r="1005" spans="1:3">
      <c r="A1005" s="361" t="s">
        <v>57</v>
      </c>
      <c r="B1005" s="211">
        <v>2084078</v>
      </c>
      <c r="C1005" s="211" t="s">
        <v>50</v>
      </c>
    </row>
    <row r="1006" spans="1:3">
      <c r="A1006" s="361" t="s">
        <v>57</v>
      </c>
      <c r="B1006" s="211">
        <v>2084079</v>
      </c>
      <c r="C1006" s="211" t="s">
        <v>50</v>
      </c>
    </row>
    <row r="1007" spans="1:3">
      <c r="A1007" s="361" t="s">
        <v>57</v>
      </c>
      <c r="B1007" s="211">
        <v>2090338</v>
      </c>
      <c r="C1007" s="211" t="s">
        <v>50</v>
      </c>
    </row>
    <row r="1008" spans="1:3">
      <c r="A1008" s="361" t="s">
        <v>57</v>
      </c>
      <c r="B1008" s="211">
        <v>2165424</v>
      </c>
      <c r="C1008" s="211" t="s">
        <v>50</v>
      </c>
    </row>
    <row r="1009" spans="1:3">
      <c r="A1009" s="361" t="s">
        <v>57</v>
      </c>
      <c r="B1009" s="211">
        <v>2165425</v>
      </c>
      <c r="C1009" s="211" t="s">
        <v>50</v>
      </c>
    </row>
    <row r="1010" spans="1:3">
      <c r="A1010" s="361" t="s">
        <v>57</v>
      </c>
      <c r="B1010" s="211">
        <v>2322262</v>
      </c>
      <c r="C1010" s="211" t="s">
        <v>50</v>
      </c>
    </row>
    <row r="1011" spans="1:3">
      <c r="A1011" s="361" t="s">
        <v>57</v>
      </c>
      <c r="B1011" s="211">
        <v>2359898</v>
      </c>
      <c r="C1011" s="211" t="s">
        <v>50</v>
      </c>
    </row>
    <row r="1012" spans="1:3">
      <c r="A1012" s="361" t="s">
        <v>57</v>
      </c>
      <c r="B1012" s="211">
        <v>2400684</v>
      </c>
      <c r="C1012" s="211" t="s">
        <v>50</v>
      </c>
    </row>
    <row r="1013" spans="1:3">
      <c r="A1013" s="361" t="s">
        <v>57</v>
      </c>
      <c r="B1013" s="211">
        <v>2402342</v>
      </c>
      <c r="C1013" s="211" t="s">
        <v>50</v>
      </c>
    </row>
    <row r="1014" spans="1:3">
      <c r="A1014" s="361" t="s">
        <v>57</v>
      </c>
      <c r="B1014" s="211">
        <v>2474994</v>
      </c>
      <c r="C1014" s="211" t="s">
        <v>50</v>
      </c>
    </row>
    <row r="1015" spans="1:3">
      <c r="A1015" s="361" t="s">
        <v>57</v>
      </c>
      <c r="B1015" s="211">
        <v>2507231</v>
      </c>
      <c r="C1015" s="211" t="s">
        <v>50</v>
      </c>
    </row>
    <row r="1016" spans="1:3">
      <c r="A1016" s="361" t="s">
        <v>57</v>
      </c>
      <c r="B1016" s="211">
        <v>2537029</v>
      </c>
      <c r="C1016" s="211" t="s">
        <v>50</v>
      </c>
    </row>
    <row r="1017" spans="1:3">
      <c r="A1017" s="361" t="s">
        <v>57</v>
      </c>
      <c r="B1017" s="211">
        <v>2565948</v>
      </c>
      <c r="C1017" s="211" t="s">
        <v>50</v>
      </c>
    </row>
    <row r="1018" spans="1:3">
      <c r="A1018" s="361" t="s">
        <v>57</v>
      </c>
      <c r="B1018" s="211">
        <v>2588404</v>
      </c>
      <c r="C1018" s="211" t="s">
        <v>50</v>
      </c>
    </row>
    <row r="1019" spans="1:3">
      <c r="A1019" s="359" t="s">
        <v>58</v>
      </c>
      <c r="B1019" s="236">
        <v>1897866</v>
      </c>
      <c r="C1019" s="236" t="s">
        <v>49</v>
      </c>
    </row>
    <row r="1020" spans="1:3">
      <c r="A1020" s="359" t="s">
        <v>58</v>
      </c>
      <c r="B1020" s="246">
        <v>1900034</v>
      </c>
      <c r="C1020" s="246" t="s">
        <v>49</v>
      </c>
    </row>
    <row r="1021" spans="1:3">
      <c r="A1021" s="359" t="s">
        <v>58</v>
      </c>
      <c r="B1021" s="246">
        <v>1900140</v>
      </c>
      <c r="C1021" s="246" t="s">
        <v>49</v>
      </c>
    </row>
    <row r="1022" spans="1:3">
      <c r="A1022" s="359" t="s">
        <v>58</v>
      </c>
      <c r="B1022" s="236">
        <v>1900869</v>
      </c>
      <c r="C1022" s="236" t="s">
        <v>49</v>
      </c>
    </row>
    <row r="1023" spans="1:3">
      <c r="A1023" s="359" t="s">
        <v>58</v>
      </c>
      <c r="B1023" s="246">
        <v>1910492</v>
      </c>
      <c r="C1023" s="246" t="s">
        <v>49</v>
      </c>
    </row>
    <row r="1024" spans="1:3">
      <c r="A1024" s="359" t="s">
        <v>58</v>
      </c>
      <c r="B1024" s="236">
        <v>1912661</v>
      </c>
      <c r="C1024" s="236" t="s">
        <v>50</v>
      </c>
    </row>
    <row r="1025" spans="1:3">
      <c r="A1025" s="359" t="s">
        <v>58</v>
      </c>
      <c r="B1025" s="246">
        <v>1919673</v>
      </c>
      <c r="C1025" s="246" t="s">
        <v>49</v>
      </c>
    </row>
    <row r="1026" spans="1:3">
      <c r="A1026" s="359" t="s">
        <v>58</v>
      </c>
      <c r="B1026" s="246">
        <v>1923043</v>
      </c>
      <c r="C1026" s="246" t="s">
        <v>49</v>
      </c>
    </row>
    <row r="1027" spans="1:3">
      <c r="A1027" s="359" t="s">
        <v>58</v>
      </c>
      <c r="B1027" s="246">
        <v>1923764</v>
      </c>
      <c r="C1027" s="246" t="s">
        <v>49</v>
      </c>
    </row>
    <row r="1028" spans="1:3">
      <c r="A1028" s="359" t="s">
        <v>58</v>
      </c>
      <c r="B1028" s="246">
        <v>1924890</v>
      </c>
      <c r="C1028" s="246" t="s">
        <v>49</v>
      </c>
    </row>
    <row r="1029" spans="1:3">
      <c r="A1029" s="359" t="s">
        <v>58</v>
      </c>
      <c r="B1029" s="246">
        <v>1924892</v>
      </c>
      <c r="C1029" s="246" t="s">
        <v>49</v>
      </c>
    </row>
    <row r="1030" spans="1:3">
      <c r="A1030" s="359" t="s">
        <v>58</v>
      </c>
      <c r="B1030" s="246">
        <v>1924901</v>
      </c>
      <c r="C1030" s="246" t="s">
        <v>49</v>
      </c>
    </row>
    <row r="1031" spans="1:3">
      <c r="A1031" s="359" t="s">
        <v>58</v>
      </c>
      <c r="B1031" s="246">
        <v>1926255</v>
      </c>
      <c r="C1031" s="246" t="s">
        <v>49</v>
      </c>
    </row>
    <row r="1032" spans="1:3">
      <c r="A1032" s="359" t="s">
        <v>58</v>
      </c>
      <c r="B1032" s="246">
        <v>1928709</v>
      </c>
      <c r="C1032" s="246" t="s">
        <v>49</v>
      </c>
    </row>
    <row r="1033" spans="1:3">
      <c r="A1033" s="359" t="s">
        <v>58</v>
      </c>
      <c r="B1033" s="246">
        <v>1928714</v>
      </c>
      <c r="C1033" s="246" t="s">
        <v>49</v>
      </c>
    </row>
    <row r="1034" spans="1:3">
      <c r="A1034" s="359" t="s">
        <v>58</v>
      </c>
      <c r="B1034" s="246">
        <v>1939738</v>
      </c>
      <c r="C1034" s="246" t="s">
        <v>49</v>
      </c>
    </row>
    <row r="1035" spans="1:3">
      <c r="A1035" s="359" t="s">
        <v>58</v>
      </c>
      <c r="B1035" s="246">
        <v>1951043</v>
      </c>
      <c r="C1035" s="246" t="s">
        <v>49</v>
      </c>
    </row>
    <row r="1036" spans="1:3">
      <c r="A1036" s="359" t="s">
        <v>58</v>
      </c>
      <c r="B1036" s="236">
        <v>1954346</v>
      </c>
      <c r="C1036" s="236" t="s">
        <v>49</v>
      </c>
    </row>
    <row r="1037" spans="1:3">
      <c r="A1037" s="359" t="s">
        <v>58</v>
      </c>
      <c r="B1037" s="236">
        <v>1954452</v>
      </c>
      <c r="C1037" s="236" t="s">
        <v>50</v>
      </c>
    </row>
    <row r="1038" spans="1:3">
      <c r="A1038" s="359" t="s">
        <v>58</v>
      </c>
      <c r="B1038" s="246">
        <v>1954512</v>
      </c>
      <c r="C1038" s="246" t="s">
        <v>49</v>
      </c>
    </row>
    <row r="1039" spans="1:3">
      <c r="A1039" s="359" t="s">
        <v>58</v>
      </c>
      <c r="B1039" s="246">
        <v>1957128</v>
      </c>
      <c r="C1039" s="246" t="s">
        <v>49</v>
      </c>
    </row>
    <row r="1040" spans="1:3">
      <c r="A1040" s="359" t="s">
        <v>58</v>
      </c>
      <c r="B1040" s="246">
        <v>1963510</v>
      </c>
      <c r="C1040" s="246" t="s">
        <v>49</v>
      </c>
    </row>
    <row r="1041" spans="1:3">
      <c r="A1041" s="359" t="s">
        <v>58</v>
      </c>
      <c r="B1041" s="246">
        <v>1968112</v>
      </c>
      <c r="C1041" s="246" t="s">
        <v>49</v>
      </c>
    </row>
    <row r="1042" spans="1:3">
      <c r="A1042" s="359" t="s">
        <v>58</v>
      </c>
      <c r="B1042" s="236">
        <v>1969469</v>
      </c>
      <c r="C1042" s="236" t="s">
        <v>49</v>
      </c>
    </row>
    <row r="1043" spans="1:3">
      <c r="A1043" s="359" t="s">
        <v>58</v>
      </c>
      <c r="B1043" s="236">
        <v>1969479</v>
      </c>
      <c r="C1043" s="236" t="s">
        <v>49</v>
      </c>
    </row>
    <row r="1044" spans="1:3">
      <c r="A1044" s="359" t="s">
        <v>58</v>
      </c>
      <c r="B1044" s="246">
        <v>1971737</v>
      </c>
      <c r="C1044" s="246" t="s">
        <v>49</v>
      </c>
    </row>
    <row r="1045" spans="1:3">
      <c r="A1045" s="359" t="s">
        <v>58</v>
      </c>
      <c r="B1045" s="246">
        <v>1974935</v>
      </c>
      <c r="C1045" s="246" t="s">
        <v>49</v>
      </c>
    </row>
    <row r="1046" spans="1:3">
      <c r="A1046" s="359" t="s">
        <v>58</v>
      </c>
      <c r="B1046" s="236">
        <v>1976300</v>
      </c>
      <c r="C1046" s="236" t="s">
        <v>50</v>
      </c>
    </row>
    <row r="1047" spans="1:3">
      <c r="A1047" s="359" t="s">
        <v>58</v>
      </c>
      <c r="B1047" s="246">
        <v>1978979</v>
      </c>
      <c r="C1047" s="246" t="s">
        <v>49</v>
      </c>
    </row>
    <row r="1048" spans="1:3">
      <c r="A1048" s="359" t="s">
        <v>58</v>
      </c>
      <c r="B1048" s="236">
        <v>1980941</v>
      </c>
      <c r="C1048" s="236" t="s">
        <v>50</v>
      </c>
    </row>
    <row r="1049" spans="1:3">
      <c r="A1049" s="359" t="s">
        <v>58</v>
      </c>
      <c r="B1049" s="246">
        <v>1993576</v>
      </c>
      <c r="C1049" s="246" t="s">
        <v>49</v>
      </c>
    </row>
    <row r="1050" spans="1:3">
      <c r="A1050" s="359" t="s">
        <v>58</v>
      </c>
      <c r="B1050" s="236">
        <v>1997325</v>
      </c>
      <c r="C1050" s="236" t="s">
        <v>50</v>
      </c>
    </row>
    <row r="1051" spans="1:3">
      <c r="A1051" s="359" t="s">
        <v>58</v>
      </c>
      <c r="B1051" s="236">
        <v>1997493</v>
      </c>
      <c r="C1051" s="236" t="s">
        <v>50</v>
      </c>
    </row>
    <row r="1052" spans="1:3">
      <c r="A1052" s="359" t="s">
        <v>58</v>
      </c>
      <c r="B1052" s="246">
        <v>2000058</v>
      </c>
      <c r="C1052" s="246" t="s">
        <v>49</v>
      </c>
    </row>
    <row r="1053" spans="1:3">
      <c r="A1053" s="359" t="s">
        <v>58</v>
      </c>
      <c r="B1053" s="236">
        <v>2008989</v>
      </c>
      <c r="C1053" s="236" t="s">
        <v>50</v>
      </c>
    </row>
    <row r="1054" spans="1:3">
      <c r="A1054" s="359" t="s">
        <v>58</v>
      </c>
      <c r="B1054" s="246">
        <v>2013116</v>
      </c>
      <c r="C1054" s="246" t="s">
        <v>49</v>
      </c>
    </row>
    <row r="1055" spans="1:3">
      <c r="A1055" s="359" t="s">
        <v>58</v>
      </c>
      <c r="B1055" s="236">
        <v>2019718</v>
      </c>
      <c r="C1055" s="236" t="s">
        <v>49</v>
      </c>
    </row>
    <row r="1056" spans="1:3">
      <c r="A1056" s="359" t="s">
        <v>58</v>
      </c>
      <c r="B1056" s="246">
        <v>2027411</v>
      </c>
      <c r="C1056" s="246" t="s">
        <v>49</v>
      </c>
    </row>
    <row r="1057" spans="1:3">
      <c r="A1057" s="359" t="s">
        <v>58</v>
      </c>
      <c r="B1057" s="246">
        <v>2032401</v>
      </c>
      <c r="C1057" s="246" t="s">
        <v>49</v>
      </c>
    </row>
    <row r="1058" spans="1:3">
      <c r="A1058" s="359" t="s">
        <v>58</v>
      </c>
      <c r="B1058" s="236">
        <v>2039691</v>
      </c>
      <c r="C1058" s="236" t="s">
        <v>50</v>
      </c>
    </row>
    <row r="1059" spans="1:3">
      <c r="A1059" s="359" t="s">
        <v>58</v>
      </c>
      <c r="B1059" s="246">
        <v>2044810</v>
      </c>
      <c r="C1059" s="246" t="s">
        <v>49</v>
      </c>
    </row>
    <row r="1060" spans="1:3">
      <c r="A1060" s="359" t="s">
        <v>58</v>
      </c>
      <c r="B1060" s="246">
        <v>2044864</v>
      </c>
      <c r="C1060" s="246" t="s">
        <v>49</v>
      </c>
    </row>
    <row r="1061" spans="1:3">
      <c r="A1061" s="359" t="s">
        <v>58</v>
      </c>
      <c r="B1061" s="246">
        <v>2046320</v>
      </c>
      <c r="C1061" s="246" t="s">
        <v>49</v>
      </c>
    </row>
    <row r="1062" spans="1:3">
      <c r="A1062" s="359" t="s">
        <v>58</v>
      </c>
      <c r="B1062" s="236">
        <v>2047282</v>
      </c>
      <c r="C1062" s="236" t="s">
        <v>50</v>
      </c>
    </row>
    <row r="1063" spans="1:3">
      <c r="A1063" s="359" t="s">
        <v>58</v>
      </c>
      <c r="B1063" s="246">
        <v>2047943</v>
      </c>
      <c r="C1063" s="246" t="s">
        <v>49</v>
      </c>
    </row>
    <row r="1064" spans="1:3">
      <c r="A1064" s="359" t="s">
        <v>58</v>
      </c>
      <c r="B1064" s="236">
        <v>2058409</v>
      </c>
      <c r="C1064" s="236" t="s">
        <v>50</v>
      </c>
    </row>
    <row r="1065" spans="1:3">
      <c r="A1065" s="359" t="s">
        <v>58</v>
      </c>
      <c r="B1065" s="246">
        <v>2059199</v>
      </c>
      <c r="C1065" s="246" t="s">
        <v>49</v>
      </c>
    </row>
    <row r="1066" spans="1:3">
      <c r="A1066" s="359" t="s">
        <v>58</v>
      </c>
      <c r="B1066" s="246">
        <v>2059426</v>
      </c>
      <c r="C1066" s="246" t="s">
        <v>49</v>
      </c>
    </row>
    <row r="1067" spans="1:3">
      <c r="A1067" s="359" t="s">
        <v>58</v>
      </c>
      <c r="B1067" s="236">
        <v>2059884</v>
      </c>
      <c r="C1067" s="236" t="s">
        <v>49</v>
      </c>
    </row>
    <row r="1068" spans="1:3">
      <c r="A1068" s="359" t="s">
        <v>58</v>
      </c>
      <c r="B1068" s="246">
        <v>2063016</v>
      </c>
      <c r="C1068" s="246" t="s">
        <v>49</v>
      </c>
    </row>
    <row r="1069" spans="1:3">
      <c r="A1069" s="359" t="s">
        <v>58</v>
      </c>
      <c r="B1069" s="246">
        <v>2068879</v>
      </c>
      <c r="C1069" s="246" t="s">
        <v>49</v>
      </c>
    </row>
    <row r="1070" spans="1:3">
      <c r="A1070" s="359" t="s">
        <v>58</v>
      </c>
      <c r="B1070" s="246">
        <v>2072091</v>
      </c>
      <c r="C1070" s="246" t="s">
        <v>49</v>
      </c>
    </row>
    <row r="1071" spans="1:3">
      <c r="A1071" s="359" t="s">
        <v>58</v>
      </c>
      <c r="B1071" s="246">
        <v>2075909</v>
      </c>
      <c r="C1071" s="246" t="s">
        <v>49</v>
      </c>
    </row>
    <row r="1072" spans="1:3">
      <c r="A1072" s="359" t="s">
        <v>58</v>
      </c>
      <c r="B1072" s="246">
        <v>2079470</v>
      </c>
      <c r="C1072" s="246" t="s">
        <v>49</v>
      </c>
    </row>
    <row r="1073" spans="1:3">
      <c r="A1073" s="359" t="s">
        <v>58</v>
      </c>
      <c r="B1073" s="246">
        <v>2085877</v>
      </c>
      <c r="C1073" s="246" t="s">
        <v>49</v>
      </c>
    </row>
    <row r="1074" spans="1:3">
      <c r="A1074" s="359" t="s">
        <v>58</v>
      </c>
      <c r="B1074" s="246">
        <v>2085878</v>
      </c>
      <c r="C1074" s="246" t="s">
        <v>49</v>
      </c>
    </row>
    <row r="1075" spans="1:3">
      <c r="A1075" s="361" t="s">
        <v>58</v>
      </c>
      <c r="B1075" s="211">
        <v>2095826</v>
      </c>
      <c r="C1075" s="211" t="s">
        <v>50</v>
      </c>
    </row>
    <row r="1076" spans="1:3">
      <c r="A1076" s="359" t="s">
        <v>58</v>
      </c>
      <c r="B1076" s="246">
        <v>2098441</v>
      </c>
      <c r="C1076" s="246" t="s">
        <v>49</v>
      </c>
    </row>
    <row r="1077" spans="1:3">
      <c r="A1077" s="359" t="s">
        <v>58</v>
      </c>
      <c r="B1077" s="246">
        <v>2098442</v>
      </c>
      <c r="C1077" s="246" t="s">
        <v>49</v>
      </c>
    </row>
    <row r="1078" spans="1:3">
      <c r="A1078" s="359" t="s">
        <v>58</v>
      </c>
      <c r="B1078" s="246">
        <v>2107623</v>
      </c>
      <c r="C1078" s="246" t="s">
        <v>49</v>
      </c>
    </row>
    <row r="1079" spans="1:3">
      <c r="A1079" s="361" t="s">
        <v>58</v>
      </c>
      <c r="B1079" s="211">
        <v>2108602</v>
      </c>
      <c r="C1079" s="211" t="s">
        <v>49</v>
      </c>
    </row>
    <row r="1080" spans="1:3">
      <c r="A1080" s="361" t="s">
        <v>58</v>
      </c>
      <c r="B1080" s="211">
        <v>2143762</v>
      </c>
      <c r="C1080" s="211" t="s">
        <v>50</v>
      </c>
    </row>
    <row r="1081" spans="1:3">
      <c r="A1081" s="361" t="s">
        <v>58</v>
      </c>
      <c r="B1081" s="166">
        <v>2152369</v>
      </c>
      <c r="C1081" s="166" t="s">
        <v>49</v>
      </c>
    </row>
    <row r="1082" spans="1:3">
      <c r="A1082" s="361" t="s">
        <v>58</v>
      </c>
      <c r="B1082" s="166">
        <v>2182142</v>
      </c>
      <c r="C1082" s="166" t="s">
        <v>49</v>
      </c>
    </row>
    <row r="1083" spans="1:3">
      <c r="A1083" s="361" t="s">
        <v>58</v>
      </c>
      <c r="B1083" s="166">
        <v>2189932</v>
      </c>
      <c r="C1083" s="166" t="s">
        <v>49</v>
      </c>
    </row>
    <row r="1084" spans="1:3">
      <c r="A1084" s="361" t="s">
        <v>58</v>
      </c>
      <c r="B1084" s="166">
        <v>2189933</v>
      </c>
      <c r="C1084" s="166" t="s">
        <v>49</v>
      </c>
    </row>
    <row r="1085" spans="1:3">
      <c r="A1085" s="361" t="s">
        <v>58</v>
      </c>
      <c r="B1085" s="211">
        <v>2191038</v>
      </c>
      <c r="C1085" s="211" t="s">
        <v>50</v>
      </c>
    </row>
    <row r="1086" spans="1:3">
      <c r="A1086" s="361" t="s">
        <v>58</v>
      </c>
      <c r="B1086" s="166">
        <v>2192251</v>
      </c>
      <c r="C1086" s="166" t="s">
        <v>49</v>
      </c>
    </row>
    <row r="1087" spans="1:3">
      <c r="A1087" s="361" t="s">
        <v>58</v>
      </c>
      <c r="B1087" s="166">
        <v>2211763</v>
      </c>
      <c r="C1087" s="166" t="s">
        <v>49</v>
      </c>
    </row>
    <row r="1088" spans="1:3">
      <c r="A1088" s="361" t="s">
        <v>58</v>
      </c>
      <c r="B1088" s="166">
        <v>2219314</v>
      </c>
      <c r="C1088" s="166" t="s">
        <v>49</v>
      </c>
    </row>
    <row r="1089" spans="1:3">
      <c r="A1089" s="361" t="s">
        <v>58</v>
      </c>
      <c r="B1089" s="166">
        <v>2220882</v>
      </c>
      <c r="C1089" s="166" t="s">
        <v>49</v>
      </c>
    </row>
    <row r="1090" spans="1:3">
      <c r="A1090" s="361" t="s">
        <v>58</v>
      </c>
      <c r="B1090" s="166">
        <v>2229157</v>
      </c>
      <c r="C1090" s="166" t="s">
        <v>49</v>
      </c>
    </row>
    <row r="1091" spans="1:3">
      <c r="A1091" s="361" t="s">
        <v>58</v>
      </c>
      <c r="B1091" s="166">
        <v>2231548</v>
      </c>
      <c r="C1091" s="166" t="s">
        <v>49</v>
      </c>
    </row>
    <row r="1092" spans="1:3">
      <c r="A1092" s="361" t="s">
        <v>58</v>
      </c>
      <c r="B1092" s="166">
        <v>2233441</v>
      </c>
      <c r="C1092" s="166" t="s">
        <v>49</v>
      </c>
    </row>
    <row r="1093" spans="1:3">
      <c r="A1093" s="361" t="s">
        <v>58</v>
      </c>
      <c r="B1093" s="166">
        <v>2233809</v>
      </c>
      <c r="C1093" s="166" t="s">
        <v>49</v>
      </c>
    </row>
    <row r="1094" spans="1:3">
      <c r="A1094" s="361" t="s">
        <v>58</v>
      </c>
      <c r="B1094" s="166">
        <v>2241689</v>
      </c>
      <c r="C1094" s="166" t="s">
        <v>49</v>
      </c>
    </row>
    <row r="1095" spans="1:3">
      <c r="A1095" s="361" t="s">
        <v>58</v>
      </c>
      <c r="B1095" s="166">
        <v>2244313</v>
      </c>
      <c r="C1095" s="166" t="s">
        <v>49</v>
      </c>
    </row>
    <row r="1096" spans="1:3">
      <c r="A1096" s="361" t="s">
        <v>58</v>
      </c>
      <c r="B1096" s="166">
        <v>2253874</v>
      </c>
      <c r="C1096" s="166" t="s">
        <v>49</v>
      </c>
    </row>
    <row r="1097" spans="1:3">
      <c r="A1097" s="361" t="s">
        <v>58</v>
      </c>
      <c r="B1097" s="166">
        <v>2257172</v>
      </c>
      <c r="C1097" s="166" t="s">
        <v>49</v>
      </c>
    </row>
    <row r="1098" spans="1:3">
      <c r="A1098" s="361" t="s">
        <v>58</v>
      </c>
      <c r="B1098" s="166">
        <v>2257254</v>
      </c>
      <c r="C1098" s="166" t="s">
        <v>49</v>
      </c>
    </row>
    <row r="1099" spans="1:3">
      <c r="A1099" s="361" t="s">
        <v>58</v>
      </c>
      <c r="B1099" s="211">
        <v>2258976</v>
      </c>
      <c r="C1099" s="211" t="s">
        <v>49</v>
      </c>
    </row>
    <row r="1100" spans="1:3">
      <c r="A1100" s="361" t="s">
        <v>58</v>
      </c>
      <c r="B1100" s="166">
        <v>2262524</v>
      </c>
      <c r="C1100" s="166" t="s">
        <v>49</v>
      </c>
    </row>
    <row r="1101" spans="1:3">
      <c r="A1101" s="361" t="s">
        <v>58</v>
      </c>
      <c r="B1101" s="166">
        <v>2262534</v>
      </c>
      <c r="C1101" s="166" t="s">
        <v>49</v>
      </c>
    </row>
    <row r="1102" spans="1:3">
      <c r="A1102" s="361" t="s">
        <v>58</v>
      </c>
      <c r="B1102" s="166">
        <v>2264350</v>
      </c>
      <c r="C1102" s="166" t="s">
        <v>49</v>
      </c>
    </row>
    <row r="1103" spans="1:3">
      <c r="A1103" s="361" t="s">
        <v>58</v>
      </c>
      <c r="B1103" s="166">
        <v>2270749</v>
      </c>
      <c r="C1103" s="166" t="s">
        <v>49</v>
      </c>
    </row>
    <row r="1104" spans="1:3">
      <c r="A1104" s="361" t="s">
        <v>58</v>
      </c>
      <c r="B1104" s="211">
        <v>2271238</v>
      </c>
      <c r="C1104" s="211" t="s">
        <v>49</v>
      </c>
    </row>
    <row r="1105" spans="1:3">
      <c r="A1105" s="361" t="s">
        <v>58</v>
      </c>
      <c r="B1105" s="166">
        <v>2271572</v>
      </c>
      <c r="C1105" s="166" t="s">
        <v>49</v>
      </c>
    </row>
    <row r="1106" spans="1:3">
      <c r="A1106" s="361" t="s">
        <v>58</v>
      </c>
      <c r="B1106" s="166">
        <v>2275270</v>
      </c>
      <c r="C1106" s="166" t="s">
        <v>49</v>
      </c>
    </row>
    <row r="1107" spans="1:3">
      <c r="A1107" s="361" t="s">
        <v>58</v>
      </c>
      <c r="B1107" s="166">
        <v>2277141</v>
      </c>
      <c r="C1107" s="166" t="s">
        <v>49</v>
      </c>
    </row>
    <row r="1108" spans="1:3">
      <c r="A1108" s="361" t="s">
        <v>58</v>
      </c>
      <c r="B1108" s="166">
        <v>2278423</v>
      </c>
      <c r="C1108" s="166" t="s">
        <v>49</v>
      </c>
    </row>
    <row r="1109" spans="1:3">
      <c r="A1109" s="361" t="s">
        <v>58</v>
      </c>
      <c r="B1109" s="166">
        <v>2286930</v>
      </c>
      <c r="C1109" s="166" t="s">
        <v>49</v>
      </c>
    </row>
    <row r="1110" spans="1:3">
      <c r="A1110" s="361" t="s">
        <v>58</v>
      </c>
      <c r="B1110" s="211">
        <v>2295013</v>
      </c>
      <c r="C1110" s="211" t="s">
        <v>49</v>
      </c>
    </row>
    <row r="1111" spans="1:3">
      <c r="A1111" s="361" t="s">
        <v>58</v>
      </c>
      <c r="B1111" s="166">
        <v>2297553</v>
      </c>
      <c r="C1111" s="166" t="s">
        <v>49</v>
      </c>
    </row>
    <row r="1112" spans="1:3">
      <c r="A1112" s="361" t="s">
        <v>58</v>
      </c>
      <c r="B1112" s="166">
        <v>2297582</v>
      </c>
      <c r="C1112" s="166" t="s">
        <v>49</v>
      </c>
    </row>
    <row r="1113" spans="1:3">
      <c r="A1113" s="361" t="s">
        <v>58</v>
      </c>
      <c r="B1113" s="166">
        <v>2297598</v>
      </c>
      <c r="C1113" s="166" t="s">
        <v>49</v>
      </c>
    </row>
    <row r="1114" spans="1:3">
      <c r="A1114" s="361" t="s">
        <v>58</v>
      </c>
      <c r="B1114" s="166">
        <v>2301013</v>
      </c>
      <c r="C1114" s="166" t="s">
        <v>49</v>
      </c>
    </row>
    <row r="1115" spans="1:3">
      <c r="A1115" s="361" t="s">
        <v>58</v>
      </c>
      <c r="B1115" s="166">
        <v>2305011</v>
      </c>
      <c r="C1115" s="166" t="s">
        <v>49</v>
      </c>
    </row>
    <row r="1116" spans="1:3">
      <c r="A1116" s="361" t="s">
        <v>58</v>
      </c>
      <c r="B1116" s="166">
        <v>2319660</v>
      </c>
      <c r="C1116" s="166" t="s">
        <v>49</v>
      </c>
    </row>
    <row r="1117" spans="1:3">
      <c r="A1117" s="361" t="s">
        <v>58</v>
      </c>
      <c r="B1117" s="166">
        <v>2323754</v>
      </c>
      <c r="C1117" s="166" t="s">
        <v>49</v>
      </c>
    </row>
    <row r="1118" spans="1:3">
      <c r="A1118" s="361" t="s">
        <v>58</v>
      </c>
      <c r="B1118" s="166">
        <v>2328492</v>
      </c>
      <c r="C1118" s="166" t="s">
        <v>49</v>
      </c>
    </row>
    <row r="1119" spans="1:3">
      <c r="A1119" s="361" t="s">
        <v>58</v>
      </c>
      <c r="B1119" s="166">
        <v>2330796</v>
      </c>
      <c r="C1119" s="166" t="s">
        <v>49</v>
      </c>
    </row>
    <row r="1120" spans="1:3">
      <c r="A1120" s="361" t="s">
        <v>58</v>
      </c>
      <c r="B1120" s="166">
        <v>2338298</v>
      </c>
      <c r="C1120" s="166" t="s">
        <v>49</v>
      </c>
    </row>
    <row r="1121" spans="1:3">
      <c r="A1121" s="361" t="s">
        <v>58</v>
      </c>
      <c r="B1121" s="166">
        <v>2340684</v>
      </c>
      <c r="C1121" s="166" t="s">
        <v>49</v>
      </c>
    </row>
    <row r="1122" spans="1:3">
      <c r="A1122" s="361" t="s">
        <v>58</v>
      </c>
      <c r="B1122" s="166">
        <v>2341402</v>
      </c>
      <c r="C1122" s="166" t="s">
        <v>49</v>
      </c>
    </row>
    <row r="1123" spans="1:3">
      <c r="A1123" s="361" t="s">
        <v>58</v>
      </c>
      <c r="B1123" s="166">
        <v>2341889</v>
      </c>
      <c r="C1123" s="166" t="s">
        <v>49</v>
      </c>
    </row>
    <row r="1124" spans="1:3">
      <c r="A1124" s="361" t="s">
        <v>58</v>
      </c>
      <c r="B1124" s="166">
        <v>2348496</v>
      </c>
      <c r="C1124" s="166" t="s">
        <v>49</v>
      </c>
    </row>
    <row r="1125" spans="1:3">
      <c r="A1125" s="361" t="s">
        <v>58</v>
      </c>
      <c r="B1125" s="166">
        <v>2352914</v>
      </c>
      <c r="C1125" s="166" t="s">
        <v>49</v>
      </c>
    </row>
    <row r="1126" spans="1:3">
      <c r="A1126" s="361" t="s">
        <v>58</v>
      </c>
      <c r="B1126" s="166">
        <v>2356291</v>
      </c>
      <c r="C1126" s="166" t="s">
        <v>49</v>
      </c>
    </row>
    <row r="1127" spans="1:3">
      <c r="A1127" s="361" t="s">
        <v>58</v>
      </c>
      <c r="B1127" s="166">
        <v>2357924</v>
      </c>
      <c r="C1127" s="166" t="s">
        <v>49</v>
      </c>
    </row>
    <row r="1128" spans="1:3">
      <c r="A1128" s="361" t="s">
        <v>58</v>
      </c>
      <c r="B1128" s="211">
        <v>2362598</v>
      </c>
      <c r="C1128" s="211" t="s">
        <v>49</v>
      </c>
    </row>
    <row r="1129" spans="1:3">
      <c r="A1129" s="361" t="s">
        <v>58</v>
      </c>
      <c r="B1129" s="166">
        <v>2363689</v>
      </c>
      <c r="C1129" s="166" t="s">
        <v>49</v>
      </c>
    </row>
    <row r="1130" spans="1:3">
      <c r="A1130" s="361" t="s">
        <v>58</v>
      </c>
      <c r="B1130" s="166">
        <v>2366267</v>
      </c>
      <c r="C1130" s="166" t="s">
        <v>49</v>
      </c>
    </row>
    <row r="1131" spans="1:3">
      <c r="A1131" s="361" t="s">
        <v>58</v>
      </c>
      <c r="B1131" s="166">
        <v>2369176</v>
      </c>
      <c r="C1131" s="166" t="s">
        <v>49</v>
      </c>
    </row>
    <row r="1132" spans="1:3">
      <c r="A1132" s="361" t="s">
        <v>58</v>
      </c>
      <c r="B1132" s="166">
        <v>2382580</v>
      </c>
      <c r="C1132" s="166" t="s">
        <v>49</v>
      </c>
    </row>
    <row r="1133" spans="1:3">
      <c r="A1133" s="361" t="s">
        <v>58</v>
      </c>
      <c r="B1133" s="211">
        <v>2382604</v>
      </c>
      <c r="C1133" s="211" t="s">
        <v>50</v>
      </c>
    </row>
    <row r="1134" spans="1:3">
      <c r="A1134" s="361" t="s">
        <v>58</v>
      </c>
      <c r="B1134" s="166">
        <v>2387881</v>
      </c>
      <c r="C1134" s="166" t="s">
        <v>49</v>
      </c>
    </row>
    <row r="1135" spans="1:3">
      <c r="A1135" s="361" t="s">
        <v>58</v>
      </c>
      <c r="B1135" s="166">
        <v>2387914</v>
      </c>
      <c r="C1135" s="166" t="s">
        <v>49</v>
      </c>
    </row>
    <row r="1136" spans="1:3">
      <c r="A1136" s="361" t="s">
        <v>58</v>
      </c>
      <c r="B1136" s="166">
        <v>2388591</v>
      </c>
      <c r="C1136" s="166" t="s">
        <v>49</v>
      </c>
    </row>
    <row r="1137" spans="1:3">
      <c r="A1137" s="361" t="s">
        <v>58</v>
      </c>
      <c r="B1137" s="166">
        <v>2413468</v>
      </c>
      <c r="C1137" s="166" t="s">
        <v>49</v>
      </c>
    </row>
    <row r="1138" spans="1:3">
      <c r="A1138" s="361" t="s">
        <v>58</v>
      </c>
      <c r="B1138" s="166">
        <v>2415442</v>
      </c>
      <c r="C1138" s="166" t="s">
        <v>49</v>
      </c>
    </row>
    <row r="1139" spans="1:3">
      <c r="A1139" s="361" t="s">
        <v>58</v>
      </c>
      <c r="B1139" s="211">
        <v>2417060</v>
      </c>
      <c r="C1139" s="211" t="s">
        <v>49</v>
      </c>
    </row>
    <row r="1140" spans="1:3">
      <c r="A1140" s="361" t="s">
        <v>58</v>
      </c>
      <c r="B1140" s="166">
        <v>2437361</v>
      </c>
      <c r="C1140" s="166" t="s">
        <v>49</v>
      </c>
    </row>
    <row r="1141" spans="1:3">
      <c r="A1141" s="361" t="s">
        <v>58</v>
      </c>
      <c r="B1141" s="166">
        <v>2444785</v>
      </c>
      <c r="C1141" s="166" t="s">
        <v>49</v>
      </c>
    </row>
    <row r="1142" spans="1:3">
      <c r="A1142" s="361" t="s">
        <v>58</v>
      </c>
      <c r="B1142" s="166">
        <v>2444786</v>
      </c>
      <c r="C1142" s="166" t="s">
        <v>49</v>
      </c>
    </row>
    <row r="1143" spans="1:3">
      <c r="A1143" s="361" t="s">
        <v>58</v>
      </c>
      <c r="B1143" s="166">
        <v>2448691</v>
      </c>
      <c r="C1143" s="166" t="s">
        <v>49</v>
      </c>
    </row>
    <row r="1144" spans="1:3">
      <c r="A1144" s="361" t="s">
        <v>58</v>
      </c>
      <c r="B1144" s="166">
        <v>2453031</v>
      </c>
      <c r="C1144" s="166" t="s">
        <v>49</v>
      </c>
    </row>
    <row r="1145" spans="1:3">
      <c r="A1145" s="361" t="s">
        <v>58</v>
      </c>
      <c r="B1145" s="166">
        <v>2457319</v>
      </c>
      <c r="C1145" s="166" t="s">
        <v>49</v>
      </c>
    </row>
    <row r="1146" spans="1:3">
      <c r="A1146" s="361" t="s">
        <v>58</v>
      </c>
      <c r="B1146" s="166">
        <v>2479221</v>
      </c>
      <c r="C1146" s="166" t="s">
        <v>49</v>
      </c>
    </row>
    <row r="1147" spans="1:3">
      <c r="A1147" s="361" t="s">
        <v>58</v>
      </c>
      <c r="B1147" s="166">
        <v>2484871</v>
      </c>
      <c r="C1147" s="166" t="s">
        <v>49</v>
      </c>
    </row>
    <row r="1148" spans="1:3">
      <c r="A1148" s="361" t="s">
        <v>58</v>
      </c>
      <c r="B1148" s="166">
        <v>2491229</v>
      </c>
      <c r="C1148" s="166" t="s">
        <v>49</v>
      </c>
    </row>
    <row r="1149" spans="1:3">
      <c r="A1149" s="361" t="s">
        <v>58</v>
      </c>
      <c r="B1149" s="166">
        <v>2495821</v>
      </c>
      <c r="C1149" s="166" t="s">
        <v>49</v>
      </c>
    </row>
    <row r="1150" spans="1:3">
      <c r="A1150" s="361" t="s">
        <v>58</v>
      </c>
      <c r="B1150" s="166">
        <v>2506622</v>
      </c>
      <c r="C1150" s="166" t="s">
        <v>50</v>
      </c>
    </row>
    <row r="1151" spans="1:3">
      <c r="A1151" s="361" t="s">
        <v>58</v>
      </c>
      <c r="B1151" s="166">
        <v>2511462</v>
      </c>
      <c r="C1151" s="166" t="s">
        <v>50</v>
      </c>
    </row>
    <row r="1152" spans="1:3">
      <c r="A1152" s="361" t="s">
        <v>58</v>
      </c>
      <c r="B1152" s="166">
        <v>2523843</v>
      </c>
      <c r="C1152" s="166" t="s">
        <v>50</v>
      </c>
    </row>
    <row r="1153" spans="1:3">
      <c r="A1153" s="361" t="s">
        <v>58</v>
      </c>
      <c r="B1153" s="166">
        <v>2526995</v>
      </c>
      <c r="C1153" s="166" t="s">
        <v>50</v>
      </c>
    </row>
    <row r="1154" spans="1:3">
      <c r="A1154" s="361" t="s">
        <v>58</v>
      </c>
      <c r="B1154" s="166">
        <v>2535370</v>
      </c>
      <c r="C1154" s="166" t="s">
        <v>50</v>
      </c>
    </row>
    <row r="1155" spans="1:3">
      <c r="A1155" s="361" t="s">
        <v>58</v>
      </c>
      <c r="B1155" s="166">
        <v>2543706</v>
      </c>
      <c r="C1155" s="166" t="s">
        <v>50</v>
      </c>
    </row>
    <row r="1156" spans="1:3">
      <c r="A1156" s="361" t="s">
        <v>58</v>
      </c>
      <c r="B1156" s="166">
        <v>2544257</v>
      </c>
      <c r="C1156" s="166" t="s">
        <v>50</v>
      </c>
    </row>
    <row r="1157" spans="1:3">
      <c r="A1157" s="361" t="s">
        <v>58</v>
      </c>
      <c r="B1157" s="166">
        <v>2544258</v>
      </c>
      <c r="C1157" s="166" t="s">
        <v>50</v>
      </c>
    </row>
    <row r="1158" spans="1:3">
      <c r="A1158" s="361" t="s">
        <v>58</v>
      </c>
      <c r="B1158" s="166">
        <v>2553841</v>
      </c>
      <c r="C1158" s="166" t="s">
        <v>50</v>
      </c>
    </row>
    <row r="1159" spans="1:3">
      <c r="A1159" s="361" t="s">
        <v>58</v>
      </c>
      <c r="B1159" s="166">
        <v>2561497</v>
      </c>
      <c r="C1159" s="166" t="s">
        <v>50</v>
      </c>
    </row>
    <row r="1160" spans="1:3">
      <c r="A1160" s="361" t="s">
        <v>58</v>
      </c>
      <c r="B1160" s="166">
        <v>2567005</v>
      </c>
      <c r="C1160" s="166" t="s">
        <v>50</v>
      </c>
    </row>
    <row r="1161" spans="1:3">
      <c r="A1161" s="361" t="s">
        <v>58</v>
      </c>
      <c r="B1161" s="166">
        <v>2569228</v>
      </c>
      <c r="C1161" s="166" t="s">
        <v>50</v>
      </c>
    </row>
    <row r="1162" spans="1:3">
      <c r="A1162" s="361" t="s">
        <v>58</v>
      </c>
      <c r="B1162" s="166">
        <v>2569755</v>
      </c>
      <c r="C1162" s="166" t="s">
        <v>50</v>
      </c>
    </row>
    <row r="1163" spans="1:3">
      <c r="A1163" s="361" t="s">
        <v>58</v>
      </c>
      <c r="B1163" s="166">
        <v>2572001</v>
      </c>
      <c r="C1163" s="166" t="s">
        <v>50</v>
      </c>
    </row>
    <row r="1164" spans="1:3">
      <c r="A1164" s="361" t="s">
        <v>58</v>
      </c>
      <c r="B1164" s="166">
        <v>2573405</v>
      </c>
      <c r="C1164" s="166" t="s">
        <v>50</v>
      </c>
    </row>
    <row r="1165" spans="1:3">
      <c r="A1165" s="361" t="s">
        <v>58</v>
      </c>
      <c r="B1165" s="166">
        <v>2577332</v>
      </c>
      <c r="C1165" s="166" t="s">
        <v>50</v>
      </c>
    </row>
    <row r="1166" spans="1:3">
      <c r="A1166" s="361" t="s">
        <v>58</v>
      </c>
      <c r="B1166" s="166">
        <v>2580422</v>
      </c>
      <c r="C1166" s="166" t="s">
        <v>50</v>
      </c>
    </row>
    <row r="1167" spans="1:3">
      <c r="A1167" s="361" t="s">
        <v>58</v>
      </c>
      <c r="B1167" s="166">
        <v>2582964</v>
      </c>
      <c r="C1167" s="166" t="s">
        <v>50</v>
      </c>
    </row>
    <row r="1168" spans="1:3">
      <c r="A1168" s="361" t="s">
        <v>58</v>
      </c>
      <c r="B1168" s="166">
        <v>2583076</v>
      </c>
      <c r="C1168" s="166" t="s">
        <v>50</v>
      </c>
    </row>
    <row r="1169" spans="1:3">
      <c r="A1169" s="361" t="s">
        <v>58</v>
      </c>
      <c r="B1169" s="166">
        <v>2586286</v>
      </c>
      <c r="C1169" s="166" t="s">
        <v>50</v>
      </c>
    </row>
    <row r="1170" spans="1:3">
      <c r="A1170" s="361" t="s">
        <v>58</v>
      </c>
      <c r="B1170" s="166">
        <v>2586378</v>
      </c>
      <c r="C1170" s="166" t="s">
        <v>50</v>
      </c>
    </row>
    <row r="1171" spans="1:3">
      <c r="A1171" s="361" t="s">
        <v>58</v>
      </c>
      <c r="B1171" s="166">
        <v>2595136</v>
      </c>
      <c r="C1171" s="166" t="s">
        <v>50</v>
      </c>
    </row>
    <row r="1172" spans="1:3">
      <c r="A1172" s="361" t="s">
        <v>58</v>
      </c>
      <c r="B1172" s="166">
        <v>2602387</v>
      </c>
      <c r="C1172" s="166" t="s">
        <v>50</v>
      </c>
    </row>
    <row r="1173" spans="1:3">
      <c r="A1173" s="361" t="s">
        <v>58</v>
      </c>
      <c r="B1173" s="166">
        <v>2607845</v>
      </c>
      <c r="C1173" s="166" t="s">
        <v>50</v>
      </c>
    </row>
    <row r="1174" spans="1:3">
      <c r="A1174" s="361" t="s">
        <v>58</v>
      </c>
      <c r="B1174" s="166">
        <v>2609294</v>
      </c>
      <c r="C1174" s="166" t="s">
        <v>50</v>
      </c>
    </row>
    <row r="1175" spans="1:3">
      <c r="A1175" s="361" t="s">
        <v>58</v>
      </c>
      <c r="B1175" s="166">
        <v>2618338</v>
      </c>
      <c r="C1175" s="166" t="s">
        <v>50</v>
      </c>
    </row>
    <row r="1176" spans="1:3">
      <c r="A1176" s="361" t="s">
        <v>58</v>
      </c>
      <c r="B1176" s="166">
        <v>2625072</v>
      </c>
      <c r="C1176" s="166" t="s">
        <v>50</v>
      </c>
    </row>
    <row r="1177" spans="1:3">
      <c r="A1177" s="361" t="s">
        <v>58</v>
      </c>
      <c r="B1177" s="166">
        <v>2648280</v>
      </c>
      <c r="C1177" s="166" t="s">
        <v>50</v>
      </c>
    </row>
    <row r="1178" spans="1:3">
      <c r="A1178" s="361" t="s">
        <v>58</v>
      </c>
      <c r="B1178" s="211">
        <v>2673150</v>
      </c>
      <c r="C1178" s="211" t="s">
        <v>50</v>
      </c>
    </row>
    <row r="1179" spans="1:3">
      <c r="A1179" s="361" t="s">
        <v>58</v>
      </c>
      <c r="B1179" s="166">
        <v>2740712</v>
      </c>
      <c r="C1179" s="166" t="s">
        <v>50</v>
      </c>
    </row>
    <row r="1180" spans="1:3">
      <c r="A1180" s="361" t="s">
        <v>58</v>
      </c>
      <c r="B1180" s="166">
        <v>2749792</v>
      </c>
      <c r="C1180" s="166" t="s">
        <v>50</v>
      </c>
    </row>
    <row r="1181" spans="1:3">
      <c r="A1181" s="359" t="s">
        <v>64</v>
      </c>
      <c r="B1181" s="236">
        <v>1806240</v>
      </c>
      <c r="C1181" s="236" t="s">
        <v>50</v>
      </c>
    </row>
    <row r="1182" spans="1:3">
      <c r="A1182" s="359" t="s">
        <v>64</v>
      </c>
      <c r="B1182" s="236">
        <v>1992486</v>
      </c>
      <c r="C1182" s="236" t="s">
        <v>50</v>
      </c>
    </row>
    <row r="1183" spans="1:3">
      <c r="A1183" s="359" t="s">
        <v>64</v>
      </c>
      <c r="B1183" s="236">
        <v>1992889</v>
      </c>
      <c r="C1183" s="236" t="s">
        <v>50</v>
      </c>
    </row>
    <row r="1184" spans="1:3">
      <c r="A1184" s="359" t="s">
        <v>64</v>
      </c>
      <c r="B1184" s="236">
        <v>1993345</v>
      </c>
      <c r="C1184" s="236" t="s">
        <v>50</v>
      </c>
    </row>
    <row r="1185" spans="1:3">
      <c r="A1185" s="359" t="s">
        <v>64</v>
      </c>
      <c r="B1185" s="236">
        <v>2005650</v>
      </c>
      <c r="C1185" s="236" t="s">
        <v>50</v>
      </c>
    </row>
    <row r="1186" spans="1:3">
      <c r="A1186" s="359" t="s">
        <v>64</v>
      </c>
      <c r="B1186" s="236">
        <v>2010200</v>
      </c>
      <c r="C1186" s="236" t="s">
        <v>50</v>
      </c>
    </row>
    <row r="1187" spans="1:3">
      <c r="A1187" s="359" t="s">
        <v>64</v>
      </c>
      <c r="B1187" s="236">
        <v>2012587</v>
      </c>
      <c r="C1187" s="236" t="s">
        <v>50</v>
      </c>
    </row>
    <row r="1188" spans="1:3">
      <c r="A1188" s="359" t="s">
        <v>64</v>
      </c>
      <c r="B1188" s="236">
        <v>2012892</v>
      </c>
      <c r="C1188" s="236" t="s">
        <v>50</v>
      </c>
    </row>
    <row r="1189" spans="1:3">
      <c r="A1189" s="359" t="s">
        <v>64</v>
      </c>
      <c r="B1189" s="236">
        <v>2017779</v>
      </c>
      <c r="C1189" s="236" t="s">
        <v>50</v>
      </c>
    </row>
    <row r="1190" spans="1:3">
      <c r="A1190" s="359" t="s">
        <v>64</v>
      </c>
      <c r="B1190" s="236">
        <v>2018608</v>
      </c>
      <c r="C1190" s="236" t="s">
        <v>50</v>
      </c>
    </row>
    <row r="1191" spans="1:3">
      <c r="A1191" s="359" t="s">
        <v>64</v>
      </c>
      <c r="B1191" s="236">
        <v>2020189</v>
      </c>
      <c r="C1191" s="236" t="s">
        <v>50</v>
      </c>
    </row>
    <row r="1192" spans="1:3">
      <c r="A1192" s="361" t="s">
        <v>64</v>
      </c>
      <c r="B1192" s="211">
        <v>2020329</v>
      </c>
      <c r="C1192" s="211" t="s">
        <v>50</v>
      </c>
    </row>
    <row r="1193" spans="1:3">
      <c r="A1193" s="359" t="s">
        <v>64</v>
      </c>
      <c r="B1193" s="236">
        <v>2025698</v>
      </c>
      <c r="C1193" s="236" t="s">
        <v>50</v>
      </c>
    </row>
    <row r="1194" spans="1:3">
      <c r="A1194" s="359" t="s">
        <v>64</v>
      </c>
      <c r="B1194" s="236">
        <v>2026353</v>
      </c>
      <c r="C1194" s="236" t="s">
        <v>50</v>
      </c>
    </row>
    <row r="1195" spans="1:3">
      <c r="A1195" s="361" t="s">
        <v>64</v>
      </c>
      <c r="B1195" s="211">
        <v>2026799</v>
      </c>
      <c r="C1195" s="211" t="s">
        <v>50</v>
      </c>
    </row>
    <row r="1196" spans="1:3">
      <c r="A1196" s="359" t="s">
        <v>64</v>
      </c>
      <c r="B1196" s="236">
        <v>2037592</v>
      </c>
      <c r="C1196" s="236" t="s">
        <v>50</v>
      </c>
    </row>
    <row r="1197" spans="1:3">
      <c r="A1197" s="359" t="s">
        <v>64</v>
      </c>
      <c r="B1197" s="236">
        <v>2041516</v>
      </c>
      <c r="C1197" s="236" t="s">
        <v>50</v>
      </c>
    </row>
    <row r="1198" spans="1:3">
      <c r="A1198" s="359" t="s">
        <v>64</v>
      </c>
      <c r="B1198" s="236">
        <v>2041659</v>
      </c>
      <c r="C1198" s="236" t="s">
        <v>50</v>
      </c>
    </row>
    <row r="1199" spans="1:3">
      <c r="A1199" s="359" t="s">
        <v>64</v>
      </c>
      <c r="B1199" s="236">
        <v>2043163</v>
      </c>
      <c r="C1199" s="236" t="s">
        <v>50</v>
      </c>
    </row>
    <row r="1200" spans="1:3">
      <c r="A1200" s="359" t="s">
        <v>64</v>
      </c>
      <c r="B1200" s="236">
        <v>2046260</v>
      </c>
      <c r="C1200" s="236" t="s">
        <v>50</v>
      </c>
    </row>
    <row r="1201" spans="1:3">
      <c r="A1201" s="359" t="s">
        <v>64</v>
      </c>
      <c r="B1201" s="236">
        <v>2047099</v>
      </c>
      <c r="C1201" s="236" t="s">
        <v>50</v>
      </c>
    </row>
    <row r="1202" spans="1:3">
      <c r="A1202" s="359" t="s">
        <v>64</v>
      </c>
      <c r="B1202" s="236">
        <v>2048656</v>
      </c>
      <c r="C1202" s="236" t="s">
        <v>50</v>
      </c>
    </row>
    <row r="1203" spans="1:3">
      <c r="A1203" s="359" t="s">
        <v>64</v>
      </c>
      <c r="B1203" s="236">
        <v>2055158</v>
      </c>
      <c r="C1203" s="236" t="s">
        <v>50</v>
      </c>
    </row>
    <row r="1204" spans="1:3">
      <c r="A1204" s="359" t="s">
        <v>64</v>
      </c>
      <c r="B1204" s="236">
        <v>2057058</v>
      </c>
      <c r="C1204" s="236" t="s">
        <v>50</v>
      </c>
    </row>
    <row r="1205" spans="1:3">
      <c r="A1205" s="359" t="s">
        <v>64</v>
      </c>
      <c r="B1205" s="236">
        <v>2058973</v>
      </c>
      <c r="C1205" s="236" t="s">
        <v>50</v>
      </c>
    </row>
    <row r="1206" spans="1:3">
      <c r="A1206" s="359" t="s">
        <v>64</v>
      </c>
      <c r="B1206" s="236">
        <v>2060694</v>
      </c>
      <c r="C1206" s="236" t="s">
        <v>50</v>
      </c>
    </row>
    <row r="1207" spans="1:3">
      <c r="A1207" s="359" t="s">
        <v>64</v>
      </c>
      <c r="B1207" s="236">
        <v>2061776</v>
      </c>
      <c r="C1207" s="236" t="s">
        <v>50</v>
      </c>
    </row>
    <row r="1208" spans="1:3">
      <c r="A1208" s="359" t="s">
        <v>64</v>
      </c>
      <c r="B1208" s="236">
        <v>2062971</v>
      </c>
      <c r="C1208" s="236" t="s">
        <v>50</v>
      </c>
    </row>
    <row r="1209" spans="1:3">
      <c r="A1209" s="359" t="s">
        <v>64</v>
      </c>
      <c r="B1209" s="236">
        <v>2065984</v>
      </c>
      <c r="C1209" s="236" t="s">
        <v>50</v>
      </c>
    </row>
    <row r="1210" spans="1:3">
      <c r="A1210" s="361" t="s">
        <v>64</v>
      </c>
      <c r="B1210" s="211">
        <v>2065985</v>
      </c>
      <c r="C1210" s="211" t="s">
        <v>50</v>
      </c>
    </row>
    <row r="1211" spans="1:3">
      <c r="A1211" s="361" t="s">
        <v>64</v>
      </c>
      <c r="B1211" s="211">
        <v>2065986</v>
      </c>
      <c r="C1211" s="211" t="s">
        <v>50</v>
      </c>
    </row>
    <row r="1212" spans="1:3">
      <c r="A1212" s="359" t="s">
        <v>64</v>
      </c>
      <c r="B1212" s="236">
        <v>2065987</v>
      </c>
      <c r="C1212" s="236" t="s">
        <v>50</v>
      </c>
    </row>
    <row r="1213" spans="1:3">
      <c r="A1213" s="359" t="s">
        <v>64</v>
      </c>
      <c r="B1213" s="236">
        <v>2067324</v>
      </c>
      <c r="C1213" s="236" t="s">
        <v>50</v>
      </c>
    </row>
    <row r="1214" spans="1:3">
      <c r="A1214" s="359" t="s">
        <v>64</v>
      </c>
      <c r="B1214" s="236">
        <v>2067325</v>
      </c>
      <c r="C1214" s="236" t="s">
        <v>50</v>
      </c>
    </row>
    <row r="1215" spans="1:3">
      <c r="A1215" s="359" t="s">
        <v>64</v>
      </c>
      <c r="B1215" s="236">
        <v>2074256</v>
      </c>
      <c r="C1215" s="236" t="s">
        <v>50</v>
      </c>
    </row>
    <row r="1216" spans="1:3">
      <c r="A1216" s="359" t="s">
        <v>64</v>
      </c>
      <c r="B1216" s="236">
        <v>2078129</v>
      </c>
      <c r="C1216" s="236" t="s">
        <v>50</v>
      </c>
    </row>
    <row r="1217" spans="1:3">
      <c r="A1217" s="359" t="s">
        <v>64</v>
      </c>
      <c r="B1217" s="236">
        <v>2090454</v>
      </c>
      <c r="C1217" s="236" t="s">
        <v>50</v>
      </c>
    </row>
    <row r="1218" spans="1:3">
      <c r="A1218" s="359" t="s">
        <v>64</v>
      </c>
      <c r="B1218" s="236">
        <v>2117025</v>
      </c>
      <c r="C1218" s="236" t="s">
        <v>50</v>
      </c>
    </row>
    <row r="1219" spans="1:3">
      <c r="A1219" s="359" t="s">
        <v>64</v>
      </c>
      <c r="B1219" s="236">
        <v>2120943</v>
      </c>
      <c r="C1219" s="236" t="s">
        <v>50</v>
      </c>
    </row>
    <row r="1220" spans="1:3">
      <c r="A1220" s="361" t="s">
        <v>64</v>
      </c>
      <c r="B1220" s="211">
        <v>2145096</v>
      </c>
      <c r="C1220" s="211" t="s">
        <v>50</v>
      </c>
    </row>
    <row r="1221" spans="1:3">
      <c r="A1221" s="359" t="s">
        <v>64</v>
      </c>
      <c r="B1221" s="236">
        <v>2157019</v>
      </c>
      <c r="C1221" s="236" t="s">
        <v>50</v>
      </c>
    </row>
    <row r="1222" spans="1:3">
      <c r="A1222" s="361" t="s">
        <v>64</v>
      </c>
      <c r="B1222" s="211">
        <v>2205793</v>
      </c>
      <c r="C1222" s="211" t="s">
        <v>50</v>
      </c>
    </row>
    <row r="1223" spans="1:3">
      <c r="A1223" s="361" t="s">
        <v>64</v>
      </c>
      <c r="B1223" s="211">
        <v>2221077</v>
      </c>
      <c r="C1223" s="211" t="s">
        <v>50</v>
      </c>
    </row>
    <row r="1224" spans="1:3">
      <c r="A1224" s="361" t="s">
        <v>64</v>
      </c>
      <c r="B1224" s="211">
        <v>2224004</v>
      </c>
      <c r="C1224" s="211" t="s">
        <v>50</v>
      </c>
    </row>
    <row r="1225" spans="1:3">
      <c r="A1225" s="361" t="s">
        <v>64</v>
      </c>
      <c r="B1225" s="211">
        <v>2253880</v>
      </c>
      <c r="C1225" s="211" t="s">
        <v>50</v>
      </c>
    </row>
    <row r="1226" spans="1:3">
      <c r="A1226" s="361" t="s">
        <v>64</v>
      </c>
      <c r="B1226" s="211">
        <v>2291287</v>
      </c>
      <c r="C1226" s="211" t="s">
        <v>50</v>
      </c>
    </row>
    <row r="1227" spans="1:3">
      <c r="A1227" s="361" t="s">
        <v>64</v>
      </c>
      <c r="B1227" s="211">
        <v>2291288</v>
      </c>
      <c r="C1227" s="211" t="s">
        <v>50</v>
      </c>
    </row>
    <row r="1228" spans="1:3">
      <c r="A1228" s="361" t="s">
        <v>64</v>
      </c>
      <c r="B1228" s="211">
        <v>2296349</v>
      </c>
      <c r="C1228" s="211" t="s">
        <v>50</v>
      </c>
    </row>
    <row r="1229" spans="1:3">
      <c r="A1229" s="361" t="s">
        <v>64</v>
      </c>
      <c r="B1229" s="211">
        <v>2325045</v>
      </c>
      <c r="C1229" s="211" t="s">
        <v>50</v>
      </c>
    </row>
    <row r="1230" spans="1:3">
      <c r="A1230" s="361" t="s">
        <v>64</v>
      </c>
      <c r="B1230" s="211">
        <v>2341697</v>
      </c>
      <c r="C1230" s="211" t="s">
        <v>50</v>
      </c>
    </row>
    <row r="1231" spans="1:3">
      <c r="A1231" s="361" t="s">
        <v>64</v>
      </c>
      <c r="B1231" s="211">
        <v>2341698</v>
      </c>
      <c r="C1231" s="211" t="s">
        <v>50</v>
      </c>
    </row>
    <row r="1232" spans="1:3">
      <c r="A1232" s="361" t="s">
        <v>64</v>
      </c>
      <c r="B1232" s="211">
        <v>2464089</v>
      </c>
      <c r="C1232" s="211" t="s">
        <v>50</v>
      </c>
    </row>
    <row r="1233" spans="1:3">
      <c r="A1233" s="361" t="s">
        <v>64</v>
      </c>
      <c r="B1233" s="211">
        <v>2507996</v>
      </c>
      <c r="C1233" s="211" t="s">
        <v>50</v>
      </c>
    </row>
    <row r="1234" spans="1:3">
      <c r="A1234" s="361" t="s">
        <v>64</v>
      </c>
      <c r="B1234" s="211">
        <v>2534597</v>
      </c>
      <c r="C1234" s="211" t="s">
        <v>50</v>
      </c>
    </row>
    <row r="1235" spans="1:3">
      <c r="A1235" s="361" t="s">
        <v>64</v>
      </c>
      <c r="B1235" s="211">
        <v>2550196</v>
      </c>
      <c r="C1235" s="211" t="s">
        <v>50</v>
      </c>
    </row>
    <row r="1236" spans="1:3">
      <c r="A1236" s="361" t="s">
        <v>64</v>
      </c>
      <c r="B1236" s="211">
        <v>2585288</v>
      </c>
      <c r="C1236" s="211" t="s">
        <v>50</v>
      </c>
    </row>
    <row r="1237" spans="1:3">
      <c r="A1237" s="361" t="s">
        <v>64</v>
      </c>
      <c r="B1237" s="211">
        <v>2590542</v>
      </c>
      <c r="C1237" s="211" t="s">
        <v>50</v>
      </c>
    </row>
    <row r="1238" spans="1:3">
      <c r="A1238" s="361" t="s">
        <v>64</v>
      </c>
      <c r="B1238" s="211">
        <v>2593530</v>
      </c>
      <c r="C1238" s="211" t="s">
        <v>50</v>
      </c>
    </row>
    <row r="1239" spans="1:3">
      <c r="A1239" s="359" t="s">
        <v>65</v>
      </c>
      <c r="B1239" s="236">
        <v>2027235</v>
      </c>
      <c r="C1239" s="236" t="s">
        <v>53</v>
      </c>
    </row>
    <row r="1240" spans="1:3">
      <c r="A1240" s="359" t="s">
        <v>65</v>
      </c>
      <c r="B1240" s="236">
        <v>2030127</v>
      </c>
      <c r="C1240" s="236" t="s">
        <v>53</v>
      </c>
    </row>
    <row r="1241" spans="1:3">
      <c r="A1241" s="359" t="s">
        <v>65</v>
      </c>
      <c r="B1241" s="236">
        <v>2032137</v>
      </c>
      <c r="C1241" s="236" t="s">
        <v>53</v>
      </c>
    </row>
    <row r="1242" spans="1:3">
      <c r="A1242" s="359" t="s">
        <v>65</v>
      </c>
      <c r="B1242" s="236">
        <v>2036223</v>
      </c>
      <c r="C1242" s="236" t="s">
        <v>53</v>
      </c>
    </row>
    <row r="1243" spans="1:3">
      <c r="A1243" s="359" t="s">
        <v>65</v>
      </c>
      <c r="B1243" s="236">
        <v>2036307</v>
      </c>
      <c r="C1243" s="236" t="s">
        <v>53</v>
      </c>
    </row>
    <row r="1244" spans="1:3">
      <c r="A1244" s="359" t="s">
        <v>65</v>
      </c>
      <c r="B1244" s="236">
        <v>2039071</v>
      </c>
      <c r="C1244" s="236" t="s">
        <v>53</v>
      </c>
    </row>
    <row r="1245" spans="1:3">
      <c r="A1245" s="359" t="s">
        <v>65</v>
      </c>
      <c r="B1245" s="236">
        <v>2042183</v>
      </c>
      <c r="C1245" s="236" t="s">
        <v>53</v>
      </c>
    </row>
    <row r="1246" spans="1:3">
      <c r="A1246" s="359" t="s">
        <v>65</v>
      </c>
      <c r="B1246" s="236">
        <v>2044133</v>
      </c>
      <c r="C1246" s="236" t="s">
        <v>53</v>
      </c>
    </row>
    <row r="1247" spans="1:3">
      <c r="A1247" s="359" t="s">
        <v>65</v>
      </c>
      <c r="B1247" s="236">
        <v>2044142</v>
      </c>
      <c r="C1247" s="236" t="s">
        <v>53</v>
      </c>
    </row>
    <row r="1248" spans="1:3">
      <c r="A1248" s="359" t="s">
        <v>65</v>
      </c>
      <c r="B1248" s="236">
        <v>2055991</v>
      </c>
      <c r="C1248" s="236" t="s">
        <v>53</v>
      </c>
    </row>
    <row r="1249" spans="1:3">
      <c r="A1249" s="359" t="s">
        <v>65</v>
      </c>
      <c r="B1249" s="236">
        <v>2061301</v>
      </c>
      <c r="C1249" s="236" t="s">
        <v>53</v>
      </c>
    </row>
    <row r="1250" spans="1:3">
      <c r="A1250" s="359" t="s">
        <v>65</v>
      </c>
      <c r="B1250" s="236">
        <v>2061945</v>
      </c>
      <c r="C1250" s="236" t="s">
        <v>53</v>
      </c>
    </row>
    <row r="1251" spans="1:3">
      <c r="A1251" s="359" t="s">
        <v>65</v>
      </c>
      <c r="B1251" s="236">
        <v>2066938</v>
      </c>
      <c r="C1251" s="236" t="s">
        <v>53</v>
      </c>
    </row>
    <row r="1252" spans="1:3">
      <c r="A1252" s="359" t="s">
        <v>65</v>
      </c>
      <c r="B1252" s="236">
        <v>2067648</v>
      </c>
      <c r="C1252" s="236" t="s">
        <v>53</v>
      </c>
    </row>
    <row r="1253" spans="1:3">
      <c r="A1253" s="359" t="s">
        <v>65</v>
      </c>
      <c r="B1253" s="236">
        <v>2067673</v>
      </c>
      <c r="C1253" s="236" t="s">
        <v>53</v>
      </c>
    </row>
    <row r="1254" spans="1:3">
      <c r="A1254" s="359" t="s">
        <v>65</v>
      </c>
      <c r="B1254" s="236">
        <v>2068402</v>
      </c>
      <c r="C1254" s="236" t="s">
        <v>53</v>
      </c>
    </row>
    <row r="1255" spans="1:3">
      <c r="A1255" s="359" t="s">
        <v>65</v>
      </c>
      <c r="B1255" s="236">
        <v>2068422</v>
      </c>
      <c r="C1255" s="236" t="s">
        <v>53</v>
      </c>
    </row>
    <row r="1256" spans="1:3">
      <c r="A1256" s="361" t="s">
        <v>65</v>
      </c>
      <c r="B1256" s="211">
        <v>2071805</v>
      </c>
      <c r="C1256" s="211" t="s">
        <v>53</v>
      </c>
    </row>
    <row r="1257" spans="1:3">
      <c r="A1257" s="359" t="s">
        <v>65</v>
      </c>
      <c r="B1257" s="236">
        <v>2078642</v>
      </c>
      <c r="C1257" s="236" t="s">
        <v>53</v>
      </c>
    </row>
    <row r="1258" spans="1:3">
      <c r="A1258" s="359" t="s">
        <v>65</v>
      </c>
      <c r="B1258" s="236">
        <v>2078691</v>
      </c>
      <c r="C1258" s="236" t="s">
        <v>53</v>
      </c>
    </row>
    <row r="1259" spans="1:3">
      <c r="A1259" s="359" t="s">
        <v>65</v>
      </c>
      <c r="B1259" s="236">
        <v>2080612</v>
      </c>
      <c r="C1259" s="236" t="s">
        <v>53</v>
      </c>
    </row>
    <row r="1260" spans="1:3">
      <c r="A1260" s="361" t="s">
        <v>65</v>
      </c>
      <c r="B1260" s="211">
        <v>2081993</v>
      </c>
      <c r="C1260" s="211" t="s">
        <v>53</v>
      </c>
    </row>
    <row r="1261" spans="1:3">
      <c r="A1261" s="359" t="s">
        <v>65</v>
      </c>
      <c r="B1261" s="236">
        <v>2092095</v>
      </c>
      <c r="C1261" s="236" t="s">
        <v>53</v>
      </c>
    </row>
    <row r="1262" spans="1:3">
      <c r="A1262" s="359" t="s">
        <v>65</v>
      </c>
      <c r="B1262" s="236">
        <v>2094379</v>
      </c>
      <c r="C1262" s="236" t="s">
        <v>53</v>
      </c>
    </row>
    <row r="1263" spans="1:3">
      <c r="A1263" s="361" t="s">
        <v>65</v>
      </c>
      <c r="B1263" s="211">
        <v>2095729</v>
      </c>
      <c r="C1263" s="211" t="s">
        <v>53</v>
      </c>
    </row>
    <row r="1264" spans="1:3">
      <c r="A1264" s="359" t="s">
        <v>65</v>
      </c>
      <c r="B1264" s="236">
        <v>2095772</v>
      </c>
      <c r="C1264" s="236" t="s">
        <v>53</v>
      </c>
    </row>
    <row r="1265" spans="1:3">
      <c r="A1265" s="361" t="s">
        <v>65</v>
      </c>
      <c r="B1265" s="211">
        <v>2103774</v>
      </c>
      <c r="C1265" s="211" t="s">
        <v>53</v>
      </c>
    </row>
    <row r="1266" spans="1:3">
      <c r="A1266" s="361" t="s">
        <v>65</v>
      </c>
      <c r="B1266" s="211">
        <v>2103786</v>
      </c>
      <c r="C1266" s="211" t="s">
        <v>53</v>
      </c>
    </row>
    <row r="1267" spans="1:3">
      <c r="A1267" s="359" t="s">
        <v>65</v>
      </c>
      <c r="B1267" s="236">
        <v>2103794</v>
      </c>
      <c r="C1267" s="236" t="s">
        <v>53</v>
      </c>
    </row>
    <row r="1268" spans="1:3">
      <c r="A1268" s="361" t="s">
        <v>65</v>
      </c>
      <c r="B1268" s="211">
        <v>2103950</v>
      </c>
      <c r="C1268" s="211" t="s">
        <v>53</v>
      </c>
    </row>
    <row r="1269" spans="1:3">
      <c r="A1269" s="361" t="s">
        <v>65</v>
      </c>
      <c r="B1269" s="211">
        <v>2106826</v>
      </c>
      <c r="C1269" s="211" t="s">
        <v>53</v>
      </c>
    </row>
    <row r="1270" spans="1:3">
      <c r="A1270" s="361" t="s">
        <v>65</v>
      </c>
      <c r="B1270" s="211">
        <v>2106832</v>
      </c>
      <c r="C1270" s="211" t="s">
        <v>53</v>
      </c>
    </row>
    <row r="1271" spans="1:3">
      <c r="A1271" s="359" t="s">
        <v>65</v>
      </c>
      <c r="B1271" s="236">
        <v>2108560</v>
      </c>
      <c r="C1271" s="236" t="s">
        <v>53</v>
      </c>
    </row>
    <row r="1272" spans="1:3">
      <c r="A1272" s="361" t="s">
        <v>65</v>
      </c>
      <c r="B1272" s="211">
        <v>2112046</v>
      </c>
      <c r="C1272" s="211" t="s">
        <v>53</v>
      </c>
    </row>
    <row r="1273" spans="1:3">
      <c r="A1273" s="361" t="s">
        <v>65</v>
      </c>
      <c r="B1273" s="211">
        <v>2112083</v>
      </c>
      <c r="C1273" s="211" t="s">
        <v>53</v>
      </c>
    </row>
    <row r="1274" spans="1:3">
      <c r="A1274" s="361" t="s">
        <v>65</v>
      </c>
      <c r="B1274" s="211">
        <v>2114835</v>
      </c>
      <c r="C1274" s="211" t="s">
        <v>53</v>
      </c>
    </row>
    <row r="1275" spans="1:3">
      <c r="A1275" s="361" t="s">
        <v>65</v>
      </c>
      <c r="B1275" s="211">
        <v>2117900</v>
      </c>
      <c r="C1275" s="211" t="s">
        <v>53</v>
      </c>
    </row>
    <row r="1276" spans="1:3">
      <c r="A1276" s="361" t="s">
        <v>65</v>
      </c>
      <c r="B1276" s="211">
        <v>2121589</v>
      </c>
      <c r="C1276" s="211" t="s">
        <v>53</v>
      </c>
    </row>
    <row r="1277" spans="1:3">
      <c r="A1277" s="361" t="s">
        <v>65</v>
      </c>
      <c r="B1277" s="211">
        <v>2121598</v>
      </c>
      <c r="C1277" s="211" t="s">
        <v>53</v>
      </c>
    </row>
    <row r="1278" spans="1:3">
      <c r="A1278" s="361" t="s">
        <v>65</v>
      </c>
      <c r="B1278" s="211">
        <v>2121603</v>
      </c>
      <c r="C1278" s="211" t="s">
        <v>53</v>
      </c>
    </row>
    <row r="1279" spans="1:3">
      <c r="A1279" s="361" t="s">
        <v>65</v>
      </c>
      <c r="B1279" s="211">
        <v>2128044</v>
      </c>
      <c r="C1279" s="211" t="s">
        <v>53</v>
      </c>
    </row>
    <row r="1280" spans="1:3">
      <c r="A1280" s="361" t="s">
        <v>65</v>
      </c>
      <c r="B1280" s="211">
        <v>2130866</v>
      </c>
      <c r="C1280" s="211" t="s">
        <v>53</v>
      </c>
    </row>
    <row r="1281" spans="1:3">
      <c r="A1281" s="359" t="s">
        <v>65</v>
      </c>
      <c r="B1281" s="236">
        <v>2130896</v>
      </c>
      <c r="C1281" s="236" t="s">
        <v>53</v>
      </c>
    </row>
    <row r="1282" spans="1:3">
      <c r="A1282" s="361" t="s">
        <v>65</v>
      </c>
      <c r="B1282" s="211">
        <v>2130903</v>
      </c>
      <c r="C1282" s="211" t="s">
        <v>53</v>
      </c>
    </row>
    <row r="1283" spans="1:3">
      <c r="A1283" s="359" t="s">
        <v>65</v>
      </c>
      <c r="B1283" s="236">
        <v>2134593</v>
      </c>
      <c r="C1283" s="236" t="s">
        <v>53</v>
      </c>
    </row>
    <row r="1284" spans="1:3">
      <c r="A1284" s="361" t="s">
        <v>65</v>
      </c>
      <c r="B1284" s="211">
        <v>2137046</v>
      </c>
      <c r="C1284" s="211" t="s">
        <v>53</v>
      </c>
    </row>
    <row r="1285" spans="1:3">
      <c r="A1285" s="361" t="s">
        <v>65</v>
      </c>
      <c r="B1285" s="211">
        <v>2137052</v>
      </c>
      <c r="C1285" s="211" t="s">
        <v>53</v>
      </c>
    </row>
    <row r="1286" spans="1:3">
      <c r="A1286" s="361" t="s">
        <v>65</v>
      </c>
      <c r="B1286" s="211">
        <v>2140356</v>
      </c>
      <c r="C1286" s="211" t="s">
        <v>53</v>
      </c>
    </row>
    <row r="1287" spans="1:3">
      <c r="A1287" s="361" t="s">
        <v>65</v>
      </c>
      <c r="B1287" s="211">
        <v>2144475</v>
      </c>
      <c r="C1287" s="211" t="s">
        <v>53</v>
      </c>
    </row>
    <row r="1288" spans="1:3">
      <c r="A1288" s="361" t="s">
        <v>65</v>
      </c>
      <c r="B1288" s="211">
        <v>2147461</v>
      </c>
      <c r="C1288" s="211" t="s">
        <v>53</v>
      </c>
    </row>
    <row r="1289" spans="1:3">
      <c r="A1289" s="361" t="s">
        <v>65</v>
      </c>
      <c r="B1289" s="211">
        <v>2150307</v>
      </c>
      <c r="C1289" s="211" t="s">
        <v>53</v>
      </c>
    </row>
    <row r="1290" spans="1:3">
      <c r="A1290" s="361" t="s">
        <v>65</v>
      </c>
      <c r="B1290" s="211">
        <v>2151743</v>
      </c>
      <c r="C1290" s="211" t="s">
        <v>53</v>
      </c>
    </row>
    <row r="1291" spans="1:3">
      <c r="A1291" s="361" t="s">
        <v>65</v>
      </c>
      <c r="B1291" s="211">
        <v>2151753</v>
      </c>
      <c r="C1291" s="211" t="s">
        <v>53</v>
      </c>
    </row>
    <row r="1292" spans="1:3">
      <c r="A1292" s="361" t="s">
        <v>65</v>
      </c>
      <c r="B1292" s="211">
        <v>2154260</v>
      </c>
      <c r="C1292" s="211" t="s">
        <v>53</v>
      </c>
    </row>
    <row r="1293" spans="1:3">
      <c r="A1293" s="361" t="s">
        <v>65</v>
      </c>
      <c r="B1293" s="211">
        <v>2154274</v>
      </c>
      <c r="C1293" s="211" t="s">
        <v>53</v>
      </c>
    </row>
    <row r="1294" spans="1:3">
      <c r="A1294" s="361" t="s">
        <v>65</v>
      </c>
      <c r="B1294" s="211">
        <v>2154279</v>
      </c>
      <c r="C1294" s="211" t="s">
        <v>53</v>
      </c>
    </row>
    <row r="1295" spans="1:3">
      <c r="A1295" s="361" t="s">
        <v>65</v>
      </c>
      <c r="B1295" s="211">
        <v>2154287</v>
      </c>
      <c r="C1295" s="211" t="s">
        <v>53</v>
      </c>
    </row>
    <row r="1296" spans="1:3">
      <c r="A1296" s="361" t="s">
        <v>65</v>
      </c>
      <c r="B1296" s="211">
        <v>2155090</v>
      </c>
      <c r="C1296" s="211" t="s">
        <v>53</v>
      </c>
    </row>
    <row r="1297" spans="1:3">
      <c r="A1297" s="361" t="s">
        <v>65</v>
      </c>
      <c r="B1297" s="211">
        <v>2157922</v>
      </c>
      <c r="C1297" s="211" t="s">
        <v>53</v>
      </c>
    </row>
    <row r="1298" spans="1:3">
      <c r="A1298" s="361" t="s">
        <v>65</v>
      </c>
      <c r="B1298" s="211">
        <v>2162487</v>
      </c>
      <c r="C1298" s="211" t="s">
        <v>53</v>
      </c>
    </row>
    <row r="1299" spans="1:3">
      <c r="A1299" s="361" t="s">
        <v>65</v>
      </c>
      <c r="B1299" s="211">
        <v>2162493</v>
      </c>
      <c r="C1299" s="211" t="s">
        <v>53</v>
      </c>
    </row>
    <row r="1300" spans="1:3">
      <c r="A1300" s="361" t="s">
        <v>65</v>
      </c>
      <c r="B1300" s="211">
        <v>2162509</v>
      </c>
      <c r="C1300" s="211" t="s">
        <v>53</v>
      </c>
    </row>
    <row r="1301" spans="1:3">
      <c r="A1301" s="359" t="s">
        <v>65</v>
      </c>
      <c r="B1301" s="236">
        <v>2162533</v>
      </c>
      <c r="C1301" s="236" t="s">
        <v>53</v>
      </c>
    </row>
    <row r="1302" spans="1:3">
      <c r="A1302" s="359" t="s">
        <v>65</v>
      </c>
      <c r="B1302" s="236">
        <v>2162534</v>
      </c>
      <c r="C1302" s="236" t="s">
        <v>53</v>
      </c>
    </row>
    <row r="1303" spans="1:3">
      <c r="A1303" s="361" t="s">
        <v>65</v>
      </c>
      <c r="B1303" s="211">
        <v>2162539</v>
      </c>
      <c r="C1303" s="211" t="s">
        <v>53</v>
      </c>
    </row>
    <row r="1304" spans="1:3">
      <c r="A1304" s="361" t="s">
        <v>65</v>
      </c>
      <c r="B1304" s="211">
        <v>2165041</v>
      </c>
      <c r="C1304" s="211" t="s">
        <v>53</v>
      </c>
    </row>
    <row r="1305" spans="1:3">
      <c r="A1305" s="361" t="s">
        <v>65</v>
      </c>
      <c r="B1305" s="211">
        <v>2165055</v>
      </c>
      <c r="C1305" s="211" t="s">
        <v>53</v>
      </c>
    </row>
    <row r="1306" spans="1:3">
      <c r="A1306" s="361" t="s">
        <v>65</v>
      </c>
      <c r="B1306" s="211">
        <v>2172197</v>
      </c>
      <c r="C1306" s="211" t="s">
        <v>53</v>
      </c>
    </row>
    <row r="1307" spans="1:3">
      <c r="A1307" s="361" t="s">
        <v>65</v>
      </c>
      <c r="B1307" s="211">
        <v>2172204</v>
      </c>
      <c r="C1307" s="211" t="s">
        <v>53</v>
      </c>
    </row>
    <row r="1308" spans="1:3">
      <c r="A1308" s="361" t="s">
        <v>65</v>
      </c>
      <c r="B1308" s="211">
        <v>2173489</v>
      </c>
      <c r="C1308" s="211" t="s">
        <v>53</v>
      </c>
    </row>
    <row r="1309" spans="1:3">
      <c r="A1309" s="361" t="s">
        <v>65</v>
      </c>
      <c r="B1309" s="211">
        <v>2175824</v>
      </c>
      <c r="C1309" s="211" t="s">
        <v>53</v>
      </c>
    </row>
    <row r="1310" spans="1:3">
      <c r="A1310" s="361" t="s">
        <v>65</v>
      </c>
      <c r="B1310" s="211">
        <v>2175841</v>
      </c>
      <c r="C1310" s="211" t="s">
        <v>53</v>
      </c>
    </row>
    <row r="1311" spans="1:3">
      <c r="A1311" s="361" t="s">
        <v>65</v>
      </c>
      <c r="B1311" s="211">
        <v>2175860</v>
      </c>
      <c r="C1311" s="211" t="s">
        <v>53</v>
      </c>
    </row>
    <row r="1312" spans="1:3">
      <c r="A1312" s="361" t="s">
        <v>65</v>
      </c>
      <c r="B1312" s="211">
        <v>2175920</v>
      </c>
      <c r="C1312" s="211" t="s">
        <v>53</v>
      </c>
    </row>
    <row r="1313" spans="1:3">
      <c r="A1313" s="361" t="s">
        <v>65</v>
      </c>
      <c r="B1313" s="211">
        <v>2175921</v>
      </c>
      <c r="C1313" s="211" t="s">
        <v>53</v>
      </c>
    </row>
    <row r="1314" spans="1:3">
      <c r="A1314" s="361" t="s">
        <v>65</v>
      </c>
      <c r="B1314" s="211">
        <v>2179283</v>
      </c>
      <c r="C1314" s="211" t="s">
        <v>53</v>
      </c>
    </row>
    <row r="1315" spans="1:3">
      <c r="A1315" s="361" t="s">
        <v>65</v>
      </c>
      <c r="B1315" s="211">
        <v>2179337</v>
      </c>
      <c r="C1315" s="211" t="s">
        <v>53</v>
      </c>
    </row>
    <row r="1316" spans="1:3">
      <c r="A1316" s="361" t="s">
        <v>65</v>
      </c>
      <c r="B1316" s="211">
        <v>2179353</v>
      </c>
      <c r="C1316" s="211" t="s">
        <v>53</v>
      </c>
    </row>
    <row r="1317" spans="1:3">
      <c r="A1317" s="361" t="s">
        <v>65</v>
      </c>
      <c r="B1317" s="211">
        <v>2179358</v>
      </c>
      <c r="C1317" s="211" t="s">
        <v>53</v>
      </c>
    </row>
    <row r="1318" spans="1:3">
      <c r="A1318" s="361" t="s">
        <v>65</v>
      </c>
      <c r="B1318" s="211">
        <v>2181321</v>
      </c>
      <c r="C1318" s="211" t="s">
        <v>53</v>
      </c>
    </row>
    <row r="1319" spans="1:3">
      <c r="A1319" s="361" t="s">
        <v>65</v>
      </c>
      <c r="B1319" s="211">
        <v>2182628</v>
      </c>
      <c r="C1319" s="211" t="s">
        <v>53</v>
      </c>
    </row>
    <row r="1320" spans="1:3">
      <c r="A1320" s="361" t="s">
        <v>65</v>
      </c>
      <c r="B1320" s="211">
        <v>2182640</v>
      </c>
      <c r="C1320" s="211" t="s">
        <v>53</v>
      </c>
    </row>
    <row r="1321" spans="1:3">
      <c r="A1321" s="361" t="s">
        <v>65</v>
      </c>
      <c r="B1321" s="211">
        <v>2183079</v>
      </c>
      <c r="C1321" s="211" t="s">
        <v>53</v>
      </c>
    </row>
    <row r="1322" spans="1:3">
      <c r="A1322" s="361" t="s">
        <v>65</v>
      </c>
      <c r="B1322" s="211">
        <v>2184764</v>
      </c>
      <c r="C1322" s="211" t="s">
        <v>53</v>
      </c>
    </row>
    <row r="1323" spans="1:3">
      <c r="A1323" s="361" t="s">
        <v>65</v>
      </c>
      <c r="B1323" s="211">
        <v>2185280</v>
      </c>
      <c r="C1323" s="211" t="s">
        <v>53</v>
      </c>
    </row>
    <row r="1324" spans="1:3">
      <c r="A1324" s="361" t="s">
        <v>65</v>
      </c>
      <c r="B1324" s="211">
        <v>2186207</v>
      </c>
      <c r="C1324" s="211" t="s">
        <v>53</v>
      </c>
    </row>
    <row r="1325" spans="1:3">
      <c r="A1325" s="361" t="s">
        <v>65</v>
      </c>
      <c r="B1325" s="211">
        <v>2186211</v>
      </c>
      <c r="C1325" s="211" t="s">
        <v>53</v>
      </c>
    </row>
    <row r="1326" spans="1:3">
      <c r="A1326" s="361" t="s">
        <v>65</v>
      </c>
      <c r="B1326" s="211">
        <v>2186218</v>
      </c>
      <c r="C1326" s="211" t="s">
        <v>53</v>
      </c>
    </row>
    <row r="1327" spans="1:3">
      <c r="A1327" s="361" t="s">
        <v>65</v>
      </c>
      <c r="B1327" s="211">
        <v>2186244</v>
      </c>
      <c r="C1327" s="211" t="s">
        <v>53</v>
      </c>
    </row>
    <row r="1328" spans="1:3">
      <c r="A1328" s="361" t="s">
        <v>65</v>
      </c>
      <c r="B1328" s="211">
        <v>2187418</v>
      </c>
      <c r="C1328" s="211" t="s">
        <v>53</v>
      </c>
    </row>
    <row r="1329" spans="1:3">
      <c r="A1329" s="361" t="s">
        <v>65</v>
      </c>
      <c r="B1329" s="211">
        <v>2187426</v>
      </c>
      <c r="C1329" s="211" t="s">
        <v>53</v>
      </c>
    </row>
    <row r="1330" spans="1:3">
      <c r="A1330" s="361" t="s">
        <v>65</v>
      </c>
      <c r="B1330" s="211">
        <v>2189353</v>
      </c>
      <c r="C1330" s="211" t="s">
        <v>53</v>
      </c>
    </row>
    <row r="1331" spans="1:3">
      <c r="A1331" s="361" t="s">
        <v>65</v>
      </c>
      <c r="B1331" s="211">
        <v>2189615</v>
      </c>
      <c r="C1331" s="211" t="s">
        <v>53</v>
      </c>
    </row>
    <row r="1332" spans="1:3">
      <c r="A1332" s="361" t="s">
        <v>65</v>
      </c>
      <c r="B1332" s="211">
        <v>2189617</v>
      </c>
      <c r="C1332" s="211" t="s">
        <v>53</v>
      </c>
    </row>
    <row r="1333" spans="1:3">
      <c r="A1333" s="361" t="s">
        <v>65</v>
      </c>
      <c r="B1333" s="211">
        <v>2192059</v>
      </c>
      <c r="C1333" s="211" t="s">
        <v>53</v>
      </c>
    </row>
    <row r="1334" spans="1:3">
      <c r="A1334" s="361" t="s">
        <v>65</v>
      </c>
      <c r="B1334" s="211">
        <v>2193598</v>
      </c>
      <c r="C1334" s="211" t="s">
        <v>53</v>
      </c>
    </row>
    <row r="1335" spans="1:3">
      <c r="A1335" s="361" t="s">
        <v>65</v>
      </c>
      <c r="B1335" s="211">
        <v>2196409</v>
      </c>
      <c r="C1335" s="211" t="s">
        <v>53</v>
      </c>
    </row>
    <row r="1336" spans="1:3">
      <c r="A1336" s="361" t="s">
        <v>65</v>
      </c>
      <c r="B1336" s="211">
        <v>2196411</v>
      </c>
      <c r="C1336" s="211" t="s">
        <v>53</v>
      </c>
    </row>
    <row r="1337" spans="1:3">
      <c r="A1337" s="361" t="s">
        <v>65</v>
      </c>
      <c r="B1337" s="211">
        <v>2198491</v>
      </c>
      <c r="C1337" s="211" t="s">
        <v>53</v>
      </c>
    </row>
    <row r="1338" spans="1:3">
      <c r="A1338" s="361" t="s">
        <v>65</v>
      </c>
      <c r="B1338" s="211">
        <v>2205208</v>
      </c>
      <c r="C1338" s="211" t="s">
        <v>53</v>
      </c>
    </row>
    <row r="1339" spans="1:3">
      <c r="A1339" s="361" t="s">
        <v>65</v>
      </c>
      <c r="B1339" s="211">
        <v>2205214</v>
      </c>
      <c r="C1339" s="211" t="s">
        <v>53</v>
      </c>
    </row>
    <row r="1340" spans="1:3">
      <c r="A1340" s="361" t="s">
        <v>65</v>
      </c>
      <c r="B1340" s="211">
        <v>2205221</v>
      </c>
      <c r="C1340" s="211" t="s">
        <v>53</v>
      </c>
    </row>
    <row r="1341" spans="1:3">
      <c r="A1341" s="361" t="s">
        <v>65</v>
      </c>
      <c r="B1341" s="211">
        <v>2205231</v>
      </c>
      <c r="C1341" s="211" t="s">
        <v>53</v>
      </c>
    </row>
    <row r="1342" spans="1:3">
      <c r="A1342" s="361" t="s">
        <v>65</v>
      </c>
      <c r="B1342" s="211">
        <v>2208342</v>
      </c>
      <c r="C1342" s="211" t="s">
        <v>53</v>
      </c>
    </row>
    <row r="1343" spans="1:3">
      <c r="A1343" s="361" t="s">
        <v>65</v>
      </c>
      <c r="B1343" s="211">
        <v>2208415</v>
      </c>
      <c r="C1343" s="211" t="s">
        <v>53</v>
      </c>
    </row>
    <row r="1344" spans="1:3">
      <c r="A1344" s="361" t="s">
        <v>65</v>
      </c>
      <c r="B1344" s="211">
        <v>2208416</v>
      </c>
      <c r="C1344" s="211" t="s">
        <v>53</v>
      </c>
    </row>
    <row r="1345" spans="1:3">
      <c r="A1345" s="361" t="s">
        <v>65</v>
      </c>
      <c r="B1345" s="211">
        <v>2210675</v>
      </c>
      <c r="C1345" s="211" t="s">
        <v>53</v>
      </c>
    </row>
    <row r="1346" spans="1:3">
      <c r="A1346" s="361" t="s">
        <v>65</v>
      </c>
      <c r="B1346" s="211">
        <v>2210688</v>
      </c>
      <c r="C1346" s="211" t="s">
        <v>53</v>
      </c>
    </row>
    <row r="1347" spans="1:3">
      <c r="A1347" s="361" t="s">
        <v>65</v>
      </c>
      <c r="B1347" s="211">
        <v>2210694</v>
      </c>
      <c r="C1347" s="211" t="s">
        <v>53</v>
      </c>
    </row>
    <row r="1348" spans="1:3">
      <c r="A1348" s="361" t="s">
        <v>65</v>
      </c>
      <c r="B1348" s="211">
        <v>2214610</v>
      </c>
      <c r="C1348" s="211" t="s">
        <v>53</v>
      </c>
    </row>
    <row r="1349" spans="1:3">
      <c r="A1349" s="361" t="s">
        <v>65</v>
      </c>
      <c r="B1349" s="211">
        <v>2217268</v>
      </c>
      <c r="C1349" s="211" t="s">
        <v>53</v>
      </c>
    </row>
    <row r="1350" spans="1:3">
      <c r="A1350" s="361" t="s">
        <v>65</v>
      </c>
      <c r="B1350" s="211">
        <v>2217435</v>
      </c>
      <c r="C1350" s="211" t="s">
        <v>53</v>
      </c>
    </row>
    <row r="1351" spans="1:3">
      <c r="A1351" s="361" t="s">
        <v>65</v>
      </c>
      <c r="B1351" s="211">
        <v>2217457</v>
      </c>
      <c r="C1351" s="211" t="s">
        <v>53</v>
      </c>
    </row>
    <row r="1352" spans="1:3">
      <c r="A1352" s="361" t="s">
        <v>65</v>
      </c>
      <c r="B1352" s="211">
        <v>2217460</v>
      </c>
      <c r="C1352" s="211" t="s">
        <v>53</v>
      </c>
    </row>
    <row r="1353" spans="1:3">
      <c r="A1353" s="361" t="s">
        <v>65</v>
      </c>
      <c r="B1353" s="211">
        <v>2217462</v>
      </c>
      <c r="C1353" s="211" t="s">
        <v>53</v>
      </c>
    </row>
    <row r="1354" spans="1:3">
      <c r="A1354" s="361" t="s">
        <v>65</v>
      </c>
      <c r="B1354" s="211">
        <v>2217487</v>
      </c>
      <c r="C1354" s="211" t="s">
        <v>53</v>
      </c>
    </row>
    <row r="1355" spans="1:3">
      <c r="A1355" s="361" t="s">
        <v>65</v>
      </c>
      <c r="B1355" s="211">
        <v>2221573</v>
      </c>
      <c r="C1355" s="211" t="s">
        <v>53</v>
      </c>
    </row>
    <row r="1356" spans="1:3">
      <c r="A1356" s="361" t="s">
        <v>65</v>
      </c>
      <c r="B1356" s="211">
        <v>2221574</v>
      </c>
      <c r="C1356" s="211" t="s">
        <v>53</v>
      </c>
    </row>
    <row r="1357" spans="1:3">
      <c r="A1357" s="361" t="s">
        <v>65</v>
      </c>
      <c r="B1357" s="211">
        <v>2221614</v>
      </c>
      <c r="C1357" s="211" t="s">
        <v>53</v>
      </c>
    </row>
    <row r="1358" spans="1:3">
      <c r="A1358" s="361" t="s">
        <v>65</v>
      </c>
      <c r="B1358" s="211">
        <v>2223729</v>
      </c>
      <c r="C1358" s="211" t="s">
        <v>53</v>
      </c>
    </row>
    <row r="1359" spans="1:3">
      <c r="A1359" s="361" t="s">
        <v>65</v>
      </c>
      <c r="B1359" s="211">
        <v>2224664</v>
      </c>
      <c r="C1359" s="211" t="s">
        <v>53</v>
      </c>
    </row>
    <row r="1360" spans="1:3">
      <c r="A1360" s="361" t="s">
        <v>65</v>
      </c>
      <c r="B1360" s="211">
        <v>2224733</v>
      </c>
      <c r="C1360" s="211" t="s">
        <v>53</v>
      </c>
    </row>
    <row r="1361" spans="1:3">
      <c r="A1361" s="361" t="s">
        <v>65</v>
      </c>
      <c r="B1361" s="211">
        <v>2224755</v>
      </c>
      <c r="C1361" s="211" t="s">
        <v>53</v>
      </c>
    </row>
    <row r="1362" spans="1:3">
      <c r="A1362" s="361" t="s">
        <v>65</v>
      </c>
      <c r="B1362" s="211">
        <v>2225763</v>
      </c>
      <c r="C1362" s="211" t="s">
        <v>53</v>
      </c>
    </row>
    <row r="1363" spans="1:3">
      <c r="A1363" s="361" t="s">
        <v>65</v>
      </c>
      <c r="B1363" s="211">
        <v>2228077</v>
      </c>
      <c r="C1363" s="211" t="s">
        <v>53</v>
      </c>
    </row>
    <row r="1364" spans="1:3">
      <c r="A1364" s="361" t="s">
        <v>65</v>
      </c>
      <c r="B1364" s="211">
        <v>2228101</v>
      </c>
      <c r="C1364" s="211" t="s">
        <v>53</v>
      </c>
    </row>
    <row r="1365" spans="1:3">
      <c r="A1365" s="361" t="s">
        <v>65</v>
      </c>
      <c r="B1365" s="211">
        <v>2229460</v>
      </c>
      <c r="C1365" s="211" t="s">
        <v>53</v>
      </c>
    </row>
    <row r="1366" spans="1:3">
      <c r="A1366" s="361" t="s">
        <v>65</v>
      </c>
      <c r="B1366" s="211">
        <v>2229950</v>
      </c>
      <c r="C1366" s="211" t="s">
        <v>53</v>
      </c>
    </row>
    <row r="1367" spans="1:3">
      <c r="A1367" s="361" t="s">
        <v>65</v>
      </c>
      <c r="B1367" s="211">
        <v>2230869</v>
      </c>
      <c r="C1367" s="211" t="s">
        <v>53</v>
      </c>
    </row>
    <row r="1368" spans="1:3">
      <c r="A1368" s="361" t="s">
        <v>65</v>
      </c>
      <c r="B1368" s="211">
        <v>2231683</v>
      </c>
      <c r="C1368" s="211" t="s">
        <v>53</v>
      </c>
    </row>
    <row r="1369" spans="1:3">
      <c r="A1369" s="361" t="s">
        <v>65</v>
      </c>
      <c r="B1369" s="211">
        <v>2231708</v>
      </c>
      <c r="C1369" s="211" t="s">
        <v>53</v>
      </c>
    </row>
    <row r="1370" spans="1:3">
      <c r="A1370" s="361" t="s">
        <v>65</v>
      </c>
      <c r="B1370" s="211">
        <v>2231723</v>
      </c>
      <c r="C1370" s="211" t="s">
        <v>53</v>
      </c>
    </row>
    <row r="1371" spans="1:3">
      <c r="A1371" s="361" t="s">
        <v>65</v>
      </c>
      <c r="B1371" s="211">
        <v>2233605</v>
      </c>
      <c r="C1371" s="211" t="s">
        <v>53</v>
      </c>
    </row>
    <row r="1372" spans="1:3">
      <c r="A1372" s="361" t="s">
        <v>65</v>
      </c>
      <c r="B1372" s="211">
        <v>2234275</v>
      </c>
      <c r="C1372" s="211" t="s">
        <v>53</v>
      </c>
    </row>
    <row r="1373" spans="1:3">
      <c r="A1373" s="361" t="s">
        <v>65</v>
      </c>
      <c r="B1373" s="211">
        <v>2234361</v>
      </c>
      <c r="C1373" s="211" t="s">
        <v>53</v>
      </c>
    </row>
    <row r="1374" spans="1:3">
      <c r="A1374" s="361" t="s">
        <v>65</v>
      </c>
      <c r="B1374" s="211">
        <v>2235074</v>
      </c>
      <c r="C1374" s="211" t="s">
        <v>53</v>
      </c>
    </row>
    <row r="1375" spans="1:3">
      <c r="A1375" s="361" t="s">
        <v>65</v>
      </c>
      <c r="B1375" s="211">
        <v>2235388</v>
      </c>
      <c r="C1375" s="211" t="s">
        <v>53</v>
      </c>
    </row>
    <row r="1376" spans="1:3">
      <c r="A1376" s="361" t="s">
        <v>65</v>
      </c>
      <c r="B1376" s="211">
        <v>2235474</v>
      </c>
      <c r="C1376" s="211" t="s">
        <v>53</v>
      </c>
    </row>
    <row r="1377" spans="1:3">
      <c r="A1377" s="361" t="s">
        <v>65</v>
      </c>
      <c r="B1377" s="211">
        <v>2235903</v>
      </c>
      <c r="C1377" s="211" t="s">
        <v>53</v>
      </c>
    </row>
    <row r="1378" spans="1:3">
      <c r="A1378" s="361" t="s">
        <v>65</v>
      </c>
      <c r="B1378" s="211">
        <v>2238608</v>
      </c>
      <c r="C1378" s="211" t="s">
        <v>53</v>
      </c>
    </row>
    <row r="1379" spans="1:3">
      <c r="A1379" s="361" t="s">
        <v>65</v>
      </c>
      <c r="B1379" s="211">
        <v>2238611</v>
      </c>
      <c r="C1379" s="211" t="s">
        <v>53</v>
      </c>
    </row>
    <row r="1380" spans="1:3">
      <c r="A1380" s="361" t="s">
        <v>65</v>
      </c>
      <c r="B1380" s="211">
        <v>2239554</v>
      </c>
      <c r="C1380" s="211" t="s">
        <v>53</v>
      </c>
    </row>
    <row r="1381" spans="1:3">
      <c r="A1381" s="361" t="s">
        <v>65</v>
      </c>
      <c r="B1381" s="211">
        <v>2239641</v>
      </c>
      <c r="C1381" s="211" t="s">
        <v>53</v>
      </c>
    </row>
    <row r="1382" spans="1:3">
      <c r="A1382" s="361" t="s">
        <v>65</v>
      </c>
      <c r="B1382" s="211">
        <v>2240598</v>
      </c>
      <c r="C1382" s="211" t="s">
        <v>53</v>
      </c>
    </row>
    <row r="1383" spans="1:3">
      <c r="A1383" s="361" t="s">
        <v>65</v>
      </c>
      <c r="B1383" s="211">
        <v>2242946</v>
      </c>
      <c r="C1383" s="211" t="s">
        <v>53</v>
      </c>
    </row>
    <row r="1384" spans="1:3">
      <c r="A1384" s="361" t="s">
        <v>65</v>
      </c>
      <c r="B1384" s="211">
        <v>2246289</v>
      </c>
      <c r="C1384" s="211" t="s">
        <v>53</v>
      </c>
    </row>
    <row r="1385" spans="1:3">
      <c r="A1385" s="361" t="s">
        <v>65</v>
      </c>
      <c r="B1385" s="211">
        <v>2246308</v>
      </c>
      <c r="C1385" s="211" t="s">
        <v>53</v>
      </c>
    </row>
    <row r="1386" spans="1:3">
      <c r="A1386" s="361" t="s">
        <v>65</v>
      </c>
      <c r="B1386" s="211">
        <v>2246324</v>
      </c>
      <c r="C1386" s="211" t="s">
        <v>53</v>
      </c>
    </row>
    <row r="1387" spans="1:3">
      <c r="A1387" s="361" t="s">
        <v>65</v>
      </c>
      <c r="B1387" s="211">
        <v>2246904</v>
      </c>
      <c r="C1387" s="211" t="s">
        <v>53</v>
      </c>
    </row>
    <row r="1388" spans="1:3">
      <c r="A1388" s="361" t="s">
        <v>65</v>
      </c>
      <c r="B1388" s="211">
        <v>2247201</v>
      </c>
      <c r="C1388" s="211" t="s">
        <v>53</v>
      </c>
    </row>
    <row r="1389" spans="1:3">
      <c r="A1389" s="361" t="s">
        <v>65</v>
      </c>
      <c r="B1389" s="211">
        <v>2248929</v>
      </c>
      <c r="C1389" s="211" t="s">
        <v>53</v>
      </c>
    </row>
    <row r="1390" spans="1:3">
      <c r="A1390" s="361" t="s">
        <v>65</v>
      </c>
      <c r="B1390" s="211">
        <v>2249006</v>
      </c>
      <c r="C1390" s="211" t="s">
        <v>53</v>
      </c>
    </row>
    <row r="1391" spans="1:3">
      <c r="A1391" s="361" t="s">
        <v>65</v>
      </c>
      <c r="B1391" s="211">
        <v>2252488</v>
      </c>
      <c r="C1391" s="211" t="s">
        <v>53</v>
      </c>
    </row>
    <row r="1392" spans="1:3">
      <c r="A1392" s="361" t="s">
        <v>65</v>
      </c>
      <c r="B1392" s="211">
        <v>2253370</v>
      </c>
      <c r="C1392" s="211" t="s">
        <v>53</v>
      </c>
    </row>
    <row r="1393" spans="1:3">
      <c r="A1393" s="361" t="s">
        <v>65</v>
      </c>
      <c r="B1393" s="211">
        <v>2253390</v>
      </c>
      <c r="C1393" s="211" t="s">
        <v>53</v>
      </c>
    </row>
    <row r="1394" spans="1:3">
      <c r="A1394" s="361" t="s">
        <v>65</v>
      </c>
      <c r="B1394" s="211">
        <v>2254029</v>
      </c>
      <c r="C1394" s="211" t="s">
        <v>53</v>
      </c>
    </row>
    <row r="1395" spans="1:3">
      <c r="A1395" s="361" t="s">
        <v>65</v>
      </c>
      <c r="B1395" s="211">
        <v>2254896</v>
      </c>
      <c r="C1395" s="211" t="s">
        <v>53</v>
      </c>
    </row>
    <row r="1396" spans="1:3">
      <c r="A1396" s="361" t="s">
        <v>65</v>
      </c>
      <c r="B1396" s="211">
        <v>2254899</v>
      </c>
      <c r="C1396" s="211" t="s">
        <v>53</v>
      </c>
    </row>
    <row r="1397" spans="1:3">
      <c r="A1397" s="361" t="s">
        <v>65</v>
      </c>
      <c r="B1397" s="211">
        <v>2254903</v>
      </c>
      <c r="C1397" s="211" t="s">
        <v>53</v>
      </c>
    </row>
    <row r="1398" spans="1:3">
      <c r="A1398" s="361" t="s">
        <v>65</v>
      </c>
      <c r="B1398" s="211">
        <v>2254917</v>
      </c>
      <c r="C1398" s="211" t="s">
        <v>53</v>
      </c>
    </row>
    <row r="1399" spans="1:3">
      <c r="A1399" s="361" t="s">
        <v>65</v>
      </c>
      <c r="B1399" s="211">
        <v>2254918</v>
      </c>
      <c r="C1399" s="211" t="s">
        <v>53</v>
      </c>
    </row>
    <row r="1400" spans="1:3">
      <c r="A1400" s="361" t="s">
        <v>65</v>
      </c>
      <c r="B1400" s="211">
        <v>2254941</v>
      </c>
      <c r="C1400" s="211" t="s">
        <v>53</v>
      </c>
    </row>
    <row r="1401" spans="1:3">
      <c r="A1401" s="361" t="s">
        <v>65</v>
      </c>
      <c r="B1401" s="211">
        <v>2255926</v>
      </c>
      <c r="C1401" s="211" t="s">
        <v>53</v>
      </c>
    </row>
    <row r="1402" spans="1:3">
      <c r="A1402" s="361" t="s">
        <v>65</v>
      </c>
      <c r="B1402" s="211">
        <v>2255927</v>
      </c>
      <c r="C1402" s="211" t="s">
        <v>53</v>
      </c>
    </row>
    <row r="1403" spans="1:3">
      <c r="A1403" s="361" t="s">
        <v>65</v>
      </c>
      <c r="B1403" s="211">
        <v>2258136</v>
      </c>
      <c r="C1403" s="211" t="s">
        <v>53</v>
      </c>
    </row>
    <row r="1404" spans="1:3">
      <c r="A1404" s="361" t="s">
        <v>65</v>
      </c>
      <c r="B1404" s="211">
        <v>2259289</v>
      </c>
      <c r="C1404" s="211" t="s">
        <v>53</v>
      </c>
    </row>
    <row r="1405" spans="1:3">
      <c r="A1405" s="361" t="s">
        <v>65</v>
      </c>
      <c r="B1405" s="211">
        <v>2259313</v>
      </c>
      <c r="C1405" s="211" t="s">
        <v>53</v>
      </c>
    </row>
    <row r="1406" spans="1:3">
      <c r="A1406" s="361" t="s">
        <v>65</v>
      </c>
      <c r="B1406" s="211">
        <v>2259321</v>
      </c>
      <c r="C1406" s="211" t="s">
        <v>53</v>
      </c>
    </row>
    <row r="1407" spans="1:3">
      <c r="A1407" s="361" t="s">
        <v>65</v>
      </c>
      <c r="B1407" s="211">
        <v>2261661</v>
      </c>
      <c r="C1407" s="211" t="s">
        <v>53</v>
      </c>
    </row>
    <row r="1408" spans="1:3">
      <c r="A1408" s="361" t="s">
        <v>65</v>
      </c>
      <c r="B1408" s="211">
        <v>2261667</v>
      </c>
      <c r="C1408" s="211" t="s">
        <v>53</v>
      </c>
    </row>
    <row r="1409" spans="1:3">
      <c r="A1409" s="361" t="s">
        <v>65</v>
      </c>
      <c r="B1409" s="211">
        <v>2261675</v>
      </c>
      <c r="C1409" s="211" t="s">
        <v>53</v>
      </c>
    </row>
    <row r="1410" spans="1:3">
      <c r="A1410" s="361" t="s">
        <v>65</v>
      </c>
      <c r="B1410" s="211">
        <v>2261676</v>
      </c>
      <c r="C1410" s="211" t="s">
        <v>53</v>
      </c>
    </row>
    <row r="1411" spans="1:3">
      <c r="A1411" s="359" t="s">
        <v>65</v>
      </c>
      <c r="B1411" s="236">
        <v>2261678</v>
      </c>
      <c r="C1411" s="236" t="s">
        <v>53</v>
      </c>
    </row>
    <row r="1412" spans="1:3">
      <c r="A1412" s="361" t="s">
        <v>65</v>
      </c>
      <c r="B1412" s="211">
        <v>2261685</v>
      </c>
      <c r="C1412" s="211" t="s">
        <v>53</v>
      </c>
    </row>
    <row r="1413" spans="1:3">
      <c r="A1413" s="361" t="s">
        <v>65</v>
      </c>
      <c r="B1413" s="211">
        <v>2261686</v>
      </c>
      <c r="C1413" s="211" t="s">
        <v>53</v>
      </c>
    </row>
    <row r="1414" spans="1:3">
      <c r="A1414" s="361" t="s">
        <v>65</v>
      </c>
      <c r="B1414" s="211">
        <v>2261694</v>
      </c>
      <c r="C1414" s="211" t="s">
        <v>53</v>
      </c>
    </row>
    <row r="1415" spans="1:3">
      <c r="A1415" s="361" t="s">
        <v>65</v>
      </c>
      <c r="B1415" s="211">
        <v>2261695</v>
      </c>
      <c r="C1415" s="211" t="s">
        <v>53</v>
      </c>
    </row>
    <row r="1416" spans="1:3">
      <c r="A1416" s="361" t="s">
        <v>65</v>
      </c>
      <c r="B1416" s="211">
        <v>2261697</v>
      </c>
      <c r="C1416" s="211" t="s">
        <v>53</v>
      </c>
    </row>
    <row r="1417" spans="1:3">
      <c r="A1417" s="361" t="s">
        <v>65</v>
      </c>
      <c r="B1417" s="211">
        <v>2261699</v>
      </c>
      <c r="C1417" s="211" t="s">
        <v>53</v>
      </c>
    </row>
    <row r="1418" spans="1:3">
      <c r="A1418" s="361" t="s">
        <v>65</v>
      </c>
      <c r="B1418" s="211">
        <v>2261701</v>
      </c>
      <c r="C1418" s="211" t="s">
        <v>53</v>
      </c>
    </row>
    <row r="1419" spans="1:3">
      <c r="A1419" s="361" t="s">
        <v>65</v>
      </c>
      <c r="B1419" s="211">
        <v>2261702</v>
      </c>
      <c r="C1419" s="211" t="s">
        <v>53</v>
      </c>
    </row>
    <row r="1420" spans="1:3">
      <c r="A1420" s="361" t="s">
        <v>65</v>
      </c>
      <c r="B1420" s="211">
        <v>2261711</v>
      </c>
      <c r="C1420" s="211" t="s">
        <v>53</v>
      </c>
    </row>
    <row r="1421" spans="1:3">
      <c r="A1421" s="361" t="s">
        <v>65</v>
      </c>
      <c r="B1421" s="211">
        <v>2261712</v>
      </c>
      <c r="C1421" s="211" t="s">
        <v>53</v>
      </c>
    </row>
    <row r="1422" spans="1:3">
      <c r="A1422" s="361" t="s">
        <v>65</v>
      </c>
      <c r="B1422" s="211">
        <v>2261720</v>
      </c>
      <c r="C1422" s="211" t="s">
        <v>53</v>
      </c>
    </row>
    <row r="1423" spans="1:3">
      <c r="A1423" s="361" t="s">
        <v>65</v>
      </c>
      <c r="B1423" s="211">
        <v>2261721</v>
      </c>
      <c r="C1423" s="211" t="s">
        <v>53</v>
      </c>
    </row>
    <row r="1424" spans="1:3">
      <c r="A1424" s="361" t="s">
        <v>65</v>
      </c>
      <c r="B1424" s="211">
        <v>2261725</v>
      </c>
      <c r="C1424" s="211" t="s">
        <v>53</v>
      </c>
    </row>
    <row r="1425" spans="1:3">
      <c r="A1425" s="361" t="s">
        <v>65</v>
      </c>
      <c r="B1425" s="211">
        <v>2261727</v>
      </c>
      <c r="C1425" s="211" t="s">
        <v>53</v>
      </c>
    </row>
    <row r="1426" spans="1:3">
      <c r="A1426" s="361" t="s">
        <v>65</v>
      </c>
      <c r="B1426" s="211">
        <v>2261733</v>
      </c>
      <c r="C1426" s="211" t="s">
        <v>53</v>
      </c>
    </row>
    <row r="1427" spans="1:3">
      <c r="A1427" s="361" t="s">
        <v>65</v>
      </c>
      <c r="B1427" s="211">
        <v>2270404</v>
      </c>
      <c r="C1427" s="211" t="s">
        <v>53</v>
      </c>
    </row>
    <row r="1428" spans="1:3">
      <c r="A1428" s="361" t="s">
        <v>65</v>
      </c>
      <c r="B1428" s="211">
        <v>2271890</v>
      </c>
      <c r="C1428" s="211" t="s">
        <v>53</v>
      </c>
    </row>
    <row r="1429" spans="1:3">
      <c r="A1429" s="361" t="s">
        <v>65</v>
      </c>
      <c r="B1429" s="211">
        <v>2273712</v>
      </c>
      <c r="C1429" s="211" t="s">
        <v>53</v>
      </c>
    </row>
    <row r="1430" spans="1:3">
      <c r="A1430" s="361" t="s">
        <v>65</v>
      </c>
      <c r="B1430" s="211">
        <v>2280973</v>
      </c>
      <c r="C1430" s="211" t="s">
        <v>53</v>
      </c>
    </row>
    <row r="1431" spans="1:3">
      <c r="A1431" s="361" t="s">
        <v>65</v>
      </c>
      <c r="B1431" s="211">
        <v>2280977</v>
      </c>
      <c r="C1431" s="211" t="s">
        <v>53</v>
      </c>
    </row>
    <row r="1432" spans="1:3">
      <c r="A1432" s="361" t="s">
        <v>65</v>
      </c>
      <c r="B1432" s="211">
        <v>2280987</v>
      </c>
      <c r="C1432" s="211" t="s">
        <v>53</v>
      </c>
    </row>
    <row r="1433" spans="1:3">
      <c r="A1433" s="361" t="s">
        <v>65</v>
      </c>
      <c r="B1433" s="211">
        <v>2282219</v>
      </c>
      <c r="C1433" s="211" t="s">
        <v>53</v>
      </c>
    </row>
    <row r="1434" spans="1:3">
      <c r="A1434" s="361" t="s">
        <v>65</v>
      </c>
      <c r="B1434" s="211">
        <v>2285634</v>
      </c>
      <c r="C1434" s="211" t="s">
        <v>53</v>
      </c>
    </row>
    <row r="1435" spans="1:3">
      <c r="A1435" s="361" t="s">
        <v>65</v>
      </c>
      <c r="B1435" s="211">
        <v>2285643</v>
      </c>
      <c r="C1435" s="211" t="s">
        <v>53</v>
      </c>
    </row>
    <row r="1436" spans="1:3">
      <c r="A1436" s="361" t="s">
        <v>65</v>
      </c>
      <c r="B1436" s="211">
        <v>2285691</v>
      </c>
      <c r="C1436" s="211" t="s">
        <v>53</v>
      </c>
    </row>
    <row r="1437" spans="1:3">
      <c r="A1437" s="361" t="s">
        <v>65</v>
      </c>
      <c r="B1437" s="211">
        <v>2287875</v>
      </c>
      <c r="C1437" s="211" t="s">
        <v>53</v>
      </c>
    </row>
    <row r="1438" spans="1:3">
      <c r="A1438" s="361" t="s">
        <v>65</v>
      </c>
      <c r="B1438" s="211">
        <v>2288050</v>
      </c>
      <c r="C1438" s="211" t="s">
        <v>53</v>
      </c>
    </row>
    <row r="1439" spans="1:3">
      <c r="A1439" s="361" t="s">
        <v>65</v>
      </c>
      <c r="B1439" s="211">
        <v>2290320</v>
      </c>
      <c r="C1439" s="211" t="s">
        <v>53</v>
      </c>
    </row>
    <row r="1440" spans="1:3">
      <c r="A1440" s="361" t="s">
        <v>65</v>
      </c>
      <c r="B1440" s="211">
        <v>2290367</v>
      </c>
      <c r="C1440" s="211" t="s">
        <v>53</v>
      </c>
    </row>
    <row r="1441" spans="1:3">
      <c r="A1441" s="361" t="s">
        <v>65</v>
      </c>
      <c r="B1441" s="211">
        <v>2290516</v>
      </c>
      <c r="C1441" s="211" t="s">
        <v>53</v>
      </c>
    </row>
    <row r="1442" spans="1:3">
      <c r="A1442" s="361" t="s">
        <v>65</v>
      </c>
      <c r="B1442" s="211">
        <v>2290683</v>
      </c>
      <c r="C1442" s="211" t="s">
        <v>53</v>
      </c>
    </row>
    <row r="1443" spans="1:3">
      <c r="A1443" s="361" t="s">
        <v>65</v>
      </c>
      <c r="B1443" s="211">
        <v>2291781</v>
      </c>
      <c r="C1443" s="211" t="s">
        <v>53</v>
      </c>
    </row>
    <row r="1444" spans="1:3">
      <c r="A1444" s="361" t="s">
        <v>65</v>
      </c>
      <c r="B1444" s="211">
        <v>2292187</v>
      </c>
      <c r="C1444" s="211" t="s">
        <v>53</v>
      </c>
    </row>
    <row r="1445" spans="1:3">
      <c r="A1445" s="361" t="s">
        <v>65</v>
      </c>
      <c r="B1445" s="211">
        <v>2293407</v>
      </c>
      <c r="C1445" s="211" t="s">
        <v>53</v>
      </c>
    </row>
    <row r="1446" spans="1:3">
      <c r="A1446" s="361" t="s">
        <v>65</v>
      </c>
      <c r="B1446" s="211">
        <v>2295286</v>
      </c>
      <c r="C1446" s="211" t="s">
        <v>53</v>
      </c>
    </row>
    <row r="1447" spans="1:3">
      <c r="A1447" s="361" t="s">
        <v>65</v>
      </c>
      <c r="B1447" s="211">
        <v>2297472</v>
      </c>
      <c r="C1447" s="211" t="s">
        <v>53</v>
      </c>
    </row>
    <row r="1448" spans="1:3">
      <c r="A1448" s="361" t="s">
        <v>65</v>
      </c>
      <c r="B1448" s="211">
        <v>2298114</v>
      </c>
      <c r="C1448" s="211" t="s">
        <v>53</v>
      </c>
    </row>
    <row r="1449" spans="1:3">
      <c r="A1449" s="361" t="s">
        <v>65</v>
      </c>
      <c r="B1449" s="211">
        <v>2298130</v>
      </c>
      <c r="C1449" s="211" t="s">
        <v>53</v>
      </c>
    </row>
    <row r="1450" spans="1:3">
      <c r="A1450" s="361" t="s">
        <v>65</v>
      </c>
      <c r="B1450" s="211">
        <v>2300515</v>
      </c>
      <c r="C1450" s="211" t="s">
        <v>53</v>
      </c>
    </row>
    <row r="1451" spans="1:3">
      <c r="A1451" s="361" t="s">
        <v>65</v>
      </c>
      <c r="B1451" s="211">
        <v>2300868</v>
      </c>
      <c r="C1451" s="211" t="s">
        <v>53</v>
      </c>
    </row>
    <row r="1452" spans="1:3">
      <c r="A1452" s="361" t="s">
        <v>65</v>
      </c>
      <c r="B1452" s="211">
        <v>2301698</v>
      </c>
      <c r="C1452" s="211" t="s">
        <v>53</v>
      </c>
    </row>
    <row r="1453" spans="1:3">
      <c r="A1453" s="361" t="s">
        <v>65</v>
      </c>
      <c r="B1453" s="211">
        <v>2301752</v>
      </c>
      <c r="C1453" s="211" t="s">
        <v>53</v>
      </c>
    </row>
    <row r="1454" spans="1:3">
      <c r="A1454" s="361" t="s">
        <v>65</v>
      </c>
      <c r="B1454" s="211">
        <v>2303443</v>
      </c>
      <c r="C1454" s="211" t="s">
        <v>53</v>
      </c>
    </row>
    <row r="1455" spans="1:3">
      <c r="A1455" s="361" t="s">
        <v>65</v>
      </c>
      <c r="B1455" s="211">
        <v>2303505</v>
      </c>
      <c r="C1455" s="211" t="s">
        <v>53</v>
      </c>
    </row>
    <row r="1456" spans="1:3">
      <c r="A1456" s="361" t="s">
        <v>65</v>
      </c>
      <c r="B1456" s="211">
        <v>2306263</v>
      </c>
      <c r="C1456" s="211" t="s">
        <v>53</v>
      </c>
    </row>
    <row r="1457" spans="1:3">
      <c r="A1457" s="361" t="s">
        <v>65</v>
      </c>
      <c r="B1457" s="211">
        <v>2307205</v>
      </c>
      <c r="C1457" s="211" t="s">
        <v>53</v>
      </c>
    </row>
    <row r="1458" spans="1:3">
      <c r="A1458" s="361" t="s">
        <v>65</v>
      </c>
      <c r="B1458" s="211">
        <v>2307500</v>
      </c>
      <c r="C1458" s="211" t="s">
        <v>53</v>
      </c>
    </row>
    <row r="1459" spans="1:3">
      <c r="A1459" s="361" t="s">
        <v>65</v>
      </c>
      <c r="B1459" s="211">
        <v>2310131</v>
      </c>
      <c r="C1459" s="211" t="s">
        <v>53</v>
      </c>
    </row>
    <row r="1460" spans="1:3">
      <c r="A1460" s="361" t="s">
        <v>65</v>
      </c>
      <c r="B1460" s="211">
        <v>2310145</v>
      </c>
      <c r="C1460" s="211" t="s">
        <v>53</v>
      </c>
    </row>
    <row r="1461" spans="1:3">
      <c r="A1461" s="359" t="s">
        <v>1380</v>
      </c>
      <c r="B1461" s="236">
        <v>1762077</v>
      </c>
      <c r="C1461" s="236" t="s">
        <v>49</v>
      </c>
    </row>
    <row r="1462" spans="1:3">
      <c r="A1462" s="359" t="s">
        <v>1380</v>
      </c>
      <c r="B1462" s="236">
        <v>1776720</v>
      </c>
      <c r="C1462" s="236" t="s">
        <v>50</v>
      </c>
    </row>
    <row r="1463" spans="1:3">
      <c r="A1463" s="359" t="s">
        <v>1380</v>
      </c>
      <c r="B1463" s="236">
        <v>1776721</v>
      </c>
      <c r="C1463" s="236" t="s">
        <v>49</v>
      </c>
    </row>
    <row r="1464" spans="1:3">
      <c r="A1464" s="359" t="s">
        <v>1380</v>
      </c>
      <c r="B1464" s="236">
        <v>1779012</v>
      </c>
      <c r="C1464" s="236" t="s">
        <v>49</v>
      </c>
    </row>
    <row r="1465" spans="1:3">
      <c r="A1465" s="359" t="s">
        <v>1380</v>
      </c>
      <c r="B1465" s="236">
        <v>1831728</v>
      </c>
      <c r="C1465" s="236" t="s">
        <v>49</v>
      </c>
    </row>
    <row r="1466" spans="1:3">
      <c r="A1466" s="359" t="s">
        <v>1380</v>
      </c>
      <c r="B1466" s="236">
        <v>1843051</v>
      </c>
      <c r="C1466" s="236" t="s">
        <v>49</v>
      </c>
    </row>
    <row r="1467" spans="1:3">
      <c r="A1467" s="359" t="s">
        <v>1380</v>
      </c>
      <c r="B1467" s="236">
        <v>1859240</v>
      </c>
      <c r="C1467" s="236" t="s">
        <v>49</v>
      </c>
    </row>
    <row r="1468" spans="1:3">
      <c r="A1468" s="359" t="s">
        <v>1380</v>
      </c>
      <c r="B1468" s="236">
        <v>1884899</v>
      </c>
      <c r="C1468" s="236" t="s">
        <v>50</v>
      </c>
    </row>
    <row r="1469" spans="1:3">
      <c r="A1469" s="359" t="s">
        <v>1380</v>
      </c>
      <c r="B1469" s="236">
        <v>1892588</v>
      </c>
      <c r="C1469" s="236" t="s">
        <v>50</v>
      </c>
    </row>
    <row r="1470" spans="1:3">
      <c r="A1470" s="359" t="s">
        <v>1380</v>
      </c>
      <c r="B1470" s="236">
        <v>1893393</v>
      </c>
      <c r="C1470" s="236" t="s">
        <v>50</v>
      </c>
    </row>
    <row r="1471" spans="1:3">
      <c r="A1471" s="359" t="s">
        <v>1380</v>
      </c>
      <c r="B1471" s="236">
        <v>1895424</v>
      </c>
      <c r="C1471" s="236" t="s">
        <v>50</v>
      </c>
    </row>
    <row r="1472" spans="1:3">
      <c r="A1472" s="359" t="s">
        <v>1380</v>
      </c>
      <c r="B1472" s="236">
        <v>1903397</v>
      </c>
      <c r="C1472" s="236" t="s">
        <v>49</v>
      </c>
    </row>
    <row r="1473" spans="1:3">
      <c r="A1473" s="359" t="s">
        <v>1380</v>
      </c>
      <c r="B1473" s="236">
        <v>1917734</v>
      </c>
      <c r="C1473" s="236" t="s">
        <v>50</v>
      </c>
    </row>
    <row r="1474" spans="1:3">
      <c r="A1474" s="359" t="s">
        <v>1380</v>
      </c>
      <c r="B1474" s="236">
        <v>1934005</v>
      </c>
      <c r="C1474" s="236" t="s">
        <v>49</v>
      </c>
    </row>
    <row r="1475" spans="1:3">
      <c r="A1475" s="359" t="s">
        <v>1380</v>
      </c>
      <c r="B1475" s="236">
        <v>1936718</v>
      </c>
      <c r="C1475" s="236" t="s">
        <v>49</v>
      </c>
    </row>
    <row r="1476" spans="1:3">
      <c r="A1476" s="359" t="s">
        <v>1380</v>
      </c>
      <c r="B1476" s="236">
        <v>1938864</v>
      </c>
      <c r="C1476" s="236" t="s">
        <v>49</v>
      </c>
    </row>
    <row r="1477" spans="1:3">
      <c r="A1477" s="359" t="s">
        <v>1380</v>
      </c>
      <c r="B1477" s="236">
        <v>1946332</v>
      </c>
      <c r="C1477" s="236" t="s">
        <v>49</v>
      </c>
    </row>
    <row r="1478" spans="1:3">
      <c r="A1478" s="359" t="s">
        <v>1380</v>
      </c>
      <c r="B1478" s="236">
        <v>1965490</v>
      </c>
      <c r="C1478" s="236" t="s">
        <v>49</v>
      </c>
    </row>
    <row r="1479" spans="1:3">
      <c r="A1479" s="359" t="s">
        <v>1380</v>
      </c>
      <c r="B1479" s="236">
        <v>1982186</v>
      </c>
      <c r="C1479" s="236" t="s">
        <v>49</v>
      </c>
    </row>
    <row r="1480" spans="1:3">
      <c r="A1480" s="359" t="s">
        <v>1380</v>
      </c>
      <c r="B1480" s="236">
        <v>1986360</v>
      </c>
      <c r="C1480" s="236" t="s">
        <v>49</v>
      </c>
    </row>
    <row r="1481" spans="1:3">
      <c r="A1481" s="359" t="s">
        <v>1380</v>
      </c>
      <c r="B1481" s="236">
        <v>2019494</v>
      </c>
      <c r="C1481" s="236" t="s">
        <v>49</v>
      </c>
    </row>
    <row r="1482" spans="1:3">
      <c r="A1482" s="359" t="s">
        <v>1380</v>
      </c>
      <c r="B1482" s="236">
        <v>2020496</v>
      </c>
      <c r="C1482" s="236" t="s">
        <v>49</v>
      </c>
    </row>
    <row r="1483" spans="1:3">
      <c r="A1483" s="359" t="s">
        <v>1380</v>
      </c>
      <c r="B1483" s="236">
        <v>2020517</v>
      </c>
      <c r="C1483" s="236" t="s">
        <v>49</v>
      </c>
    </row>
    <row r="1484" spans="1:3">
      <c r="A1484" s="359" t="s">
        <v>1380</v>
      </c>
      <c r="B1484" s="236">
        <v>2020662</v>
      </c>
      <c r="C1484" s="236" t="s">
        <v>50</v>
      </c>
    </row>
    <row r="1485" spans="1:3">
      <c r="A1485" s="359" t="s">
        <v>1380</v>
      </c>
      <c r="B1485" s="236">
        <v>2024398</v>
      </c>
      <c r="C1485" s="236" t="s">
        <v>50</v>
      </c>
    </row>
    <row r="1486" spans="1:3">
      <c r="A1486" s="359" t="s">
        <v>1380</v>
      </c>
      <c r="B1486" s="236">
        <v>2039739</v>
      </c>
      <c r="C1486" s="236" t="s">
        <v>49</v>
      </c>
    </row>
    <row r="1487" spans="1:3">
      <c r="A1487" s="359" t="s">
        <v>1380</v>
      </c>
      <c r="B1487" s="236">
        <v>2057695</v>
      </c>
      <c r="C1487" s="236" t="s">
        <v>50</v>
      </c>
    </row>
    <row r="1488" spans="1:3">
      <c r="A1488" s="361" t="s">
        <v>1380</v>
      </c>
      <c r="B1488" s="211">
        <v>2115088</v>
      </c>
      <c r="C1488" s="211" t="s">
        <v>49</v>
      </c>
    </row>
    <row r="1489" spans="1:3">
      <c r="A1489" s="361" t="s">
        <v>1380</v>
      </c>
      <c r="B1489" s="211">
        <v>2151300</v>
      </c>
      <c r="C1489" s="211" t="s">
        <v>50</v>
      </c>
    </row>
    <row r="1490" spans="1:3">
      <c r="A1490" s="361" t="s">
        <v>1380</v>
      </c>
      <c r="B1490" s="211">
        <v>2155678</v>
      </c>
      <c r="C1490" s="211" t="s">
        <v>50</v>
      </c>
    </row>
    <row r="1491" spans="1:3">
      <c r="A1491" s="359" t="s">
        <v>1380</v>
      </c>
      <c r="B1491" s="236">
        <v>2165651</v>
      </c>
      <c r="C1491" s="236" t="s">
        <v>50</v>
      </c>
    </row>
    <row r="1492" spans="1:3">
      <c r="A1492" s="361" t="s">
        <v>1380</v>
      </c>
      <c r="B1492" s="211">
        <v>2181129</v>
      </c>
      <c r="C1492" s="211" t="s">
        <v>49</v>
      </c>
    </row>
    <row r="1493" spans="1:3">
      <c r="A1493" s="361" t="s">
        <v>1380</v>
      </c>
      <c r="B1493" s="211">
        <v>2194842</v>
      </c>
      <c r="C1493" s="211" t="s">
        <v>50</v>
      </c>
    </row>
    <row r="1494" spans="1:3">
      <c r="A1494" s="361" t="s">
        <v>1380</v>
      </c>
      <c r="B1494" s="211">
        <v>2208105</v>
      </c>
      <c r="C1494" s="211" t="s">
        <v>50</v>
      </c>
    </row>
    <row r="1495" spans="1:3">
      <c r="A1495" s="361" t="s">
        <v>1380</v>
      </c>
      <c r="B1495" s="211">
        <v>2212020</v>
      </c>
      <c r="C1495" s="211" t="s">
        <v>50</v>
      </c>
    </row>
    <row r="1496" spans="1:3">
      <c r="A1496" s="361" t="s">
        <v>1380</v>
      </c>
      <c r="B1496" s="211">
        <v>2212021</v>
      </c>
      <c r="C1496" s="211" t="s">
        <v>50</v>
      </c>
    </row>
    <row r="1497" spans="1:3">
      <c r="A1497" s="361" t="s">
        <v>1380</v>
      </c>
      <c r="B1497" s="211">
        <v>2221162</v>
      </c>
      <c r="C1497" s="211" t="s">
        <v>50</v>
      </c>
    </row>
    <row r="1498" spans="1:3">
      <c r="A1498" s="361" t="s">
        <v>1380</v>
      </c>
      <c r="B1498" s="211">
        <v>2244416</v>
      </c>
      <c r="C1498" s="211" t="s">
        <v>50</v>
      </c>
    </row>
    <row r="1499" spans="1:3">
      <c r="A1499" s="361" t="s">
        <v>1380</v>
      </c>
      <c r="B1499" s="211">
        <v>2249002</v>
      </c>
      <c r="C1499" s="211" t="s">
        <v>50</v>
      </c>
    </row>
    <row r="1500" spans="1:3">
      <c r="A1500" s="361" t="s">
        <v>1380</v>
      </c>
      <c r="B1500" s="211">
        <v>2257601</v>
      </c>
      <c r="C1500" s="211" t="s">
        <v>50</v>
      </c>
    </row>
    <row r="1501" spans="1:3">
      <c r="A1501" s="359" t="s">
        <v>1380</v>
      </c>
      <c r="B1501" s="236">
        <v>2285854</v>
      </c>
      <c r="C1501" s="236" t="s">
        <v>50</v>
      </c>
    </row>
    <row r="1502" spans="1:3">
      <c r="A1502" s="361" t="s">
        <v>1380</v>
      </c>
      <c r="B1502" s="211">
        <v>2287838</v>
      </c>
      <c r="C1502" s="211" t="s">
        <v>50</v>
      </c>
    </row>
    <row r="1503" spans="1:3">
      <c r="A1503" s="361" t="s">
        <v>1380</v>
      </c>
      <c r="B1503" s="211">
        <v>2355061</v>
      </c>
      <c r="C1503" s="211" t="s">
        <v>49</v>
      </c>
    </row>
    <row r="1504" spans="1:3">
      <c r="A1504" s="361" t="s">
        <v>1380</v>
      </c>
      <c r="B1504" s="211">
        <v>2355081</v>
      </c>
      <c r="C1504" s="211" t="s">
        <v>50</v>
      </c>
    </row>
    <row r="1505" spans="1:3">
      <c r="A1505" s="361" t="s">
        <v>1380</v>
      </c>
      <c r="B1505" s="211">
        <v>2373686</v>
      </c>
      <c r="C1505" s="211" t="s">
        <v>50</v>
      </c>
    </row>
    <row r="1506" spans="1:3">
      <c r="A1506" s="361" t="s">
        <v>1380</v>
      </c>
      <c r="B1506" s="211">
        <v>2373687</v>
      </c>
      <c r="C1506" s="211" t="s">
        <v>49</v>
      </c>
    </row>
    <row r="1507" spans="1:3">
      <c r="A1507" s="361" t="s">
        <v>1380</v>
      </c>
      <c r="B1507" s="211">
        <v>2374681</v>
      </c>
      <c r="C1507" s="211" t="s">
        <v>50</v>
      </c>
    </row>
    <row r="1508" spans="1:3">
      <c r="A1508" s="361" t="s">
        <v>1380</v>
      </c>
      <c r="B1508" s="211">
        <v>2374682</v>
      </c>
      <c r="C1508" s="211" t="s">
        <v>50</v>
      </c>
    </row>
    <row r="1509" spans="1:3">
      <c r="A1509" s="361" t="s">
        <v>1380</v>
      </c>
      <c r="B1509" s="211">
        <v>2391462</v>
      </c>
      <c r="C1509" s="211" t="s">
        <v>50</v>
      </c>
    </row>
    <row r="1510" spans="1:3">
      <c r="A1510" s="361" t="s">
        <v>1380</v>
      </c>
      <c r="B1510" s="211">
        <v>2400120</v>
      </c>
      <c r="C1510" s="211" t="s">
        <v>50</v>
      </c>
    </row>
    <row r="1511" spans="1:3">
      <c r="A1511" s="361" t="s">
        <v>1380</v>
      </c>
      <c r="B1511" s="211">
        <v>2402690</v>
      </c>
      <c r="C1511" s="211" t="s">
        <v>49</v>
      </c>
    </row>
    <row r="1512" spans="1:3">
      <c r="A1512" s="361" t="s">
        <v>1380</v>
      </c>
      <c r="B1512" s="211">
        <v>2403284</v>
      </c>
      <c r="C1512" s="211" t="s">
        <v>50</v>
      </c>
    </row>
    <row r="1513" spans="1:3">
      <c r="A1513" s="361" t="s">
        <v>1380</v>
      </c>
      <c r="B1513" s="211">
        <v>2422321</v>
      </c>
      <c r="C1513" s="211" t="s">
        <v>50</v>
      </c>
    </row>
    <row r="1514" spans="1:3">
      <c r="A1514" s="361" t="s">
        <v>1380</v>
      </c>
      <c r="B1514" s="211">
        <v>2431652</v>
      </c>
      <c r="C1514" s="211" t="s">
        <v>50</v>
      </c>
    </row>
    <row r="1515" spans="1:3">
      <c r="A1515" s="359" t="s">
        <v>59</v>
      </c>
      <c r="B1515" s="236">
        <v>1525302</v>
      </c>
      <c r="C1515" s="236"/>
    </row>
    <row r="1516" spans="1:3">
      <c r="A1516" s="359" t="s">
        <v>59</v>
      </c>
      <c r="B1516" s="236">
        <v>1534160</v>
      </c>
      <c r="C1516" s="236"/>
    </row>
    <row r="1517" spans="1:3">
      <c r="A1517" s="359" t="s">
        <v>59</v>
      </c>
      <c r="B1517" s="236">
        <v>1549882</v>
      </c>
      <c r="C1517" s="236"/>
    </row>
    <row r="1518" spans="1:3">
      <c r="A1518" s="359" t="s">
        <v>59</v>
      </c>
      <c r="B1518" s="236">
        <v>1558473</v>
      </c>
      <c r="C1518" s="236"/>
    </row>
    <row r="1519" spans="1:3">
      <c r="A1519" s="359" t="s">
        <v>59</v>
      </c>
      <c r="B1519" s="236">
        <v>1592580</v>
      </c>
      <c r="C1519" s="236"/>
    </row>
    <row r="1520" spans="1:3">
      <c r="A1520" s="359" t="s">
        <v>59</v>
      </c>
      <c r="B1520" s="236">
        <v>1600115</v>
      </c>
      <c r="C1520" s="236"/>
    </row>
    <row r="1521" spans="1:3">
      <c r="A1521" s="359" t="s">
        <v>59</v>
      </c>
      <c r="B1521" s="236">
        <v>1609118</v>
      </c>
      <c r="C1521" s="236"/>
    </row>
    <row r="1522" spans="1:3">
      <c r="A1522" s="359" t="s">
        <v>59</v>
      </c>
      <c r="B1522" s="236">
        <v>1609931</v>
      </c>
      <c r="C1522" s="236"/>
    </row>
    <row r="1523" spans="1:3">
      <c r="A1523" s="359" t="s">
        <v>59</v>
      </c>
      <c r="B1523" s="236">
        <v>1618974</v>
      </c>
      <c r="C1523" s="236"/>
    </row>
    <row r="1524" spans="1:3">
      <c r="A1524" s="359" t="s">
        <v>59</v>
      </c>
      <c r="B1524" s="236">
        <v>1620020</v>
      </c>
      <c r="C1524" s="236"/>
    </row>
    <row r="1525" spans="1:3">
      <c r="A1525" s="359" t="s">
        <v>59</v>
      </c>
      <c r="B1525" s="236">
        <v>1620244</v>
      </c>
      <c r="C1525" s="236"/>
    </row>
    <row r="1526" spans="1:3">
      <c r="A1526" s="359" t="s">
        <v>59</v>
      </c>
      <c r="B1526" s="236">
        <v>1655109</v>
      </c>
      <c r="C1526" s="236"/>
    </row>
    <row r="1527" spans="1:3">
      <c r="A1527" s="359" t="s">
        <v>59</v>
      </c>
      <c r="B1527" s="236">
        <v>1657259</v>
      </c>
      <c r="C1527" s="236"/>
    </row>
    <row r="1528" spans="1:3">
      <c r="A1528" s="359" t="s">
        <v>59</v>
      </c>
      <c r="B1528" s="236">
        <v>1700222</v>
      </c>
      <c r="C1528" s="236"/>
    </row>
    <row r="1529" spans="1:3">
      <c r="A1529" s="359" t="s">
        <v>59</v>
      </c>
      <c r="B1529" s="236">
        <v>1700259</v>
      </c>
      <c r="C1529" s="236"/>
    </row>
    <row r="1530" spans="1:3">
      <c r="A1530" s="359" t="s">
        <v>59</v>
      </c>
      <c r="B1530" s="236">
        <v>1706735</v>
      </c>
      <c r="C1530" s="236"/>
    </row>
    <row r="1531" spans="1:3">
      <c r="A1531" s="359" t="s">
        <v>59</v>
      </c>
      <c r="B1531" s="246">
        <v>1718538</v>
      </c>
      <c r="C1531" s="236"/>
    </row>
    <row r="1532" spans="1:3">
      <c r="A1532" s="359" t="s">
        <v>59</v>
      </c>
      <c r="B1532" s="236">
        <v>1742468</v>
      </c>
      <c r="C1532" s="236"/>
    </row>
    <row r="1533" spans="1:3">
      <c r="A1533" s="359" t="s">
        <v>59</v>
      </c>
      <c r="B1533" s="236">
        <v>1757357</v>
      </c>
      <c r="C1533" s="236"/>
    </row>
    <row r="1534" spans="1:3">
      <c r="A1534" s="359" t="s">
        <v>59</v>
      </c>
      <c r="B1534" s="236">
        <v>1769130</v>
      </c>
      <c r="C1534" s="236"/>
    </row>
    <row r="1535" spans="1:3">
      <c r="A1535" s="359" t="s">
        <v>59</v>
      </c>
      <c r="B1535" s="236">
        <v>1780172</v>
      </c>
      <c r="C1535" s="236"/>
    </row>
    <row r="1536" spans="1:3">
      <c r="A1536" s="359" t="s">
        <v>59</v>
      </c>
      <c r="B1536" s="236">
        <v>1786134</v>
      </c>
      <c r="C1536" s="236"/>
    </row>
    <row r="1537" spans="1:3">
      <c r="A1537" s="359" t="s">
        <v>59</v>
      </c>
      <c r="B1537" s="236">
        <v>1800719</v>
      </c>
      <c r="C1537" s="236"/>
    </row>
    <row r="1538" spans="1:3">
      <c r="A1538" s="359" t="s">
        <v>59</v>
      </c>
      <c r="B1538" s="236">
        <v>1818069</v>
      </c>
      <c r="C1538" s="236"/>
    </row>
    <row r="1539" spans="1:3">
      <c r="A1539" s="359" t="s">
        <v>59</v>
      </c>
      <c r="B1539" s="236">
        <v>1827939</v>
      </c>
      <c r="C1539" s="236"/>
    </row>
    <row r="1540" spans="1:3">
      <c r="A1540" s="359" t="s">
        <v>59</v>
      </c>
      <c r="B1540" s="236">
        <v>1828027</v>
      </c>
      <c r="C1540" s="236"/>
    </row>
    <row r="1541" spans="1:3">
      <c r="A1541" s="359" t="s">
        <v>59</v>
      </c>
      <c r="B1541" s="236">
        <v>1841582</v>
      </c>
      <c r="C1541" s="236"/>
    </row>
    <row r="1542" spans="1:3">
      <c r="A1542" s="359" t="s">
        <v>59</v>
      </c>
      <c r="B1542" s="236">
        <v>1848872</v>
      </c>
      <c r="C1542" s="236"/>
    </row>
    <row r="1543" spans="1:3">
      <c r="A1543" s="359" t="s">
        <v>59</v>
      </c>
      <c r="B1543" s="236">
        <v>1853213</v>
      </c>
      <c r="C1543" s="236"/>
    </row>
    <row r="1544" spans="1:3">
      <c r="A1544" s="359" t="s">
        <v>59</v>
      </c>
      <c r="B1544" s="236">
        <v>1853664</v>
      </c>
      <c r="C1544" s="236"/>
    </row>
    <row r="1545" spans="1:3">
      <c r="A1545" s="359" t="s">
        <v>59</v>
      </c>
      <c r="B1545" s="236">
        <v>1855940</v>
      </c>
      <c r="C1545" s="236"/>
    </row>
    <row r="1546" spans="1:3">
      <c r="A1546" s="359" t="s">
        <v>59</v>
      </c>
      <c r="B1546" s="236">
        <v>1860670</v>
      </c>
      <c r="C1546" s="236"/>
    </row>
    <row r="1547" spans="1:3">
      <c r="A1547" s="359" t="s">
        <v>59</v>
      </c>
      <c r="B1547" s="236">
        <v>1878631</v>
      </c>
      <c r="C1547" s="236"/>
    </row>
    <row r="1548" spans="1:3">
      <c r="A1548" s="359" t="s">
        <v>59</v>
      </c>
      <c r="B1548" s="236">
        <v>1883579</v>
      </c>
      <c r="C1548" s="236"/>
    </row>
    <row r="1549" spans="1:3">
      <c r="A1549" s="359" t="s">
        <v>59</v>
      </c>
      <c r="B1549" s="236">
        <v>1895540</v>
      </c>
      <c r="C1549" s="236"/>
    </row>
    <row r="1550" spans="1:3">
      <c r="A1550" s="359" t="s">
        <v>59</v>
      </c>
      <c r="B1550" s="236">
        <v>1911360</v>
      </c>
      <c r="C1550" s="236"/>
    </row>
    <row r="1551" spans="1:3">
      <c r="A1551" s="359" t="s">
        <v>59</v>
      </c>
      <c r="B1551" s="236">
        <v>1911989</v>
      </c>
      <c r="C1551" s="236"/>
    </row>
    <row r="1552" spans="1:3">
      <c r="A1552" s="359" t="s">
        <v>59</v>
      </c>
      <c r="B1552" s="236">
        <v>1928310</v>
      </c>
      <c r="C1552" s="236"/>
    </row>
    <row r="1553" spans="1:3">
      <c r="A1553" s="359" t="s">
        <v>59</v>
      </c>
      <c r="B1553" s="236">
        <v>1930724</v>
      </c>
      <c r="C1553" s="236"/>
    </row>
    <row r="1554" spans="1:3">
      <c r="A1554" s="359" t="s">
        <v>59</v>
      </c>
      <c r="B1554" s="236">
        <v>1932328</v>
      </c>
      <c r="C1554" s="236"/>
    </row>
    <row r="1555" spans="1:3">
      <c r="A1555" s="359" t="s">
        <v>59</v>
      </c>
      <c r="B1555" s="236">
        <v>1934842</v>
      </c>
      <c r="C1555" s="236"/>
    </row>
    <row r="1556" spans="1:3">
      <c r="A1556" s="359" t="s">
        <v>59</v>
      </c>
      <c r="B1556" s="236">
        <v>1939876</v>
      </c>
      <c r="C1556" s="236"/>
    </row>
    <row r="1557" spans="1:3">
      <c r="A1557" s="359" t="s">
        <v>59</v>
      </c>
      <c r="B1557" s="236">
        <v>1947069</v>
      </c>
      <c r="C1557" s="236"/>
    </row>
    <row r="1558" spans="1:3">
      <c r="A1558" s="359" t="s">
        <v>59</v>
      </c>
      <c r="B1558" s="236">
        <v>1951661</v>
      </c>
      <c r="C1558" s="236"/>
    </row>
    <row r="1559" spans="1:3">
      <c r="A1559" s="359" t="s">
        <v>59</v>
      </c>
      <c r="B1559" s="236">
        <v>1951925</v>
      </c>
      <c r="C1559" s="236"/>
    </row>
    <row r="1560" spans="1:3">
      <c r="A1560" s="359" t="s">
        <v>59</v>
      </c>
      <c r="B1560" s="236">
        <v>1959814</v>
      </c>
      <c r="C1560" s="236"/>
    </row>
    <row r="1561" spans="1:3">
      <c r="A1561" s="359" t="s">
        <v>59</v>
      </c>
      <c r="B1561" s="236">
        <v>1966918</v>
      </c>
      <c r="C1561" s="236"/>
    </row>
    <row r="1562" spans="1:3">
      <c r="A1562" s="359" t="s">
        <v>59</v>
      </c>
      <c r="B1562" s="236">
        <v>1966919</v>
      </c>
      <c r="C1562" s="236"/>
    </row>
    <row r="1563" spans="1:3">
      <c r="A1563" s="359" t="s">
        <v>59</v>
      </c>
      <c r="B1563" s="236">
        <v>1973342</v>
      </c>
      <c r="C1563" s="236"/>
    </row>
    <row r="1564" spans="1:3">
      <c r="A1564" s="359" t="s">
        <v>59</v>
      </c>
      <c r="B1564" s="236">
        <v>1983121</v>
      </c>
      <c r="C1564" s="236"/>
    </row>
    <row r="1565" spans="1:3">
      <c r="A1565" s="359" t="s">
        <v>59</v>
      </c>
      <c r="B1565" s="236">
        <v>1984464</v>
      </c>
      <c r="C1565" s="236"/>
    </row>
    <row r="1566" spans="1:3">
      <c r="A1566" s="359" t="s">
        <v>59</v>
      </c>
      <c r="B1566" s="236">
        <v>1991845</v>
      </c>
      <c r="C1566" s="236"/>
    </row>
    <row r="1567" spans="1:3">
      <c r="A1567" s="359" t="s">
        <v>59</v>
      </c>
      <c r="B1567" s="236">
        <v>1991846</v>
      </c>
      <c r="C1567" s="236"/>
    </row>
    <row r="1568" spans="1:3">
      <c r="A1568" s="359" t="s">
        <v>59</v>
      </c>
      <c r="B1568" s="236">
        <v>1992161</v>
      </c>
      <c r="C1568" s="236"/>
    </row>
    <row r="1569" spans="1:3">
      <c r="A1569" s="359" t="s">
        <v>59</v>
      </c>
      <c r="B1569" s="236">
        <v>1995669</v>
      </c>
      <c r="C1569" s="236"/>
    </row>
    <row r="1570" spans="1:3">
      <c r="A1570" s="359" t="s">
        <v>59</v>
      </c>
      <c r="B1570" s="236">
        <v>2001600</v>
      </c>
      <c r="C1570" s="236"/>
    </row>
    <row r="1571" spans="1:3">
      <c r="A1571" s="359" t="s">
        <v>59</v>
      </c>
      <c r="B1571" s="236">
        <v>2003545</v>
      </c>
      <c r="C1571" s="236"/>
    </row>
    <row r="1572" spans="1:3">
      <c r="A1572" s="359" t="s">
        <v>59</v>
      </c>
      <c r="B1572" s="236">
        <v>2010584</v>
      </c>
      <c r="C1572" s="236"/>
    </row>
    <row r="1573" spans="1:3">
      <c r="A1573" s="359" t="s">
        <v>59</v>
      </c>
      <c r="B1573" s="236">
        <v>2016854</v>
      </c>
      <c r="C1573" s="236"/>
    </row>
    <row r="1574" spans="1:3">
      <c r="A1574" s="359" t="s">
        <v>59</v>
      </c>
      <c r="B1574" s="236">
        <v>2064620</v>
      </c>
      <c r="C1574" s="236"/>
    </row>
    <row r="1575" spans="1:3">
      <c r="A1575" s="361" t="s">
        <v>59</v>
      </c>
      <c r="B1575" s="211">
        <v>2187017</v>
      </c>
      <c r="C1575" s="211" t="s">
        <v>50</v>
      </c>
    </row>
    <row r="1576" spans="1:3">
      <c r="A1576" s="361" t="s">
        <v>59</v>
      </c>
      <c r="B1576" s="211">
        <v>2207239</v>
      </c>
      <c r="C1576" s="211" t="s">
        <v>50</v>
      </c>
    </row>
    <row r="1577" spans="1:3">
      <c r="A1577" s="361" t="s">
        <v>59</v>
      </c>
      <c r="B1577" s="211">
        <v>2211444</v>
      </c>
      <c r="C1577" s="211" t="s">
        <v>50</v>
      </c>
    </row>
    <row r="1578" spans="1:3">
      <c r="A1578" s="361" t="s">
        <v>59</v>
      </c>
      <c r="B1578" s="211">
        <v>2213852</v>
      </c>
      <c r="C1578" s="211" t="s">
        <v>50</v>
      </c>
    </row>
    <row r="1579" spans="1:3">
      <c r="A1579" s="361" t="s">
        <v>59</v>
      </c>
      <c r="B1579" s="211">
        <v>2230852</v>
      </c>
      <c r="C1579" s="211" t="s">
        <v>50</v>
      </c>
    </row>
    <row r="1580" spans="1:3">
      <c r="A1580" s="361" t="s">
        <v>59</v>
      </c>
      <c r="B1580" s="211">
        <v>2233651</v>
      </c>
      <c r="C1580" s="211" t="s">
        <v>50</v>
      </c>
    </row>
    <row r="1581" spans="1:3">
      <c r="A1581" s="361" t="s">
        <v>59</v>
      </c>
      <c r="B1581" s="211">
        <v>2235180</v>
      </c>
      <c r="C1581" s="211" t="s">
        <v>50</v>
      </c>
    </row>
    <row r="1582" spans="1:3">
      <c r="A1582" s="361" t="s">
        <v>59</v>
      </c>
      <c r="B1582" s="211">
        <v>2242287</v>
      </c>
      <c r="C1582" s="211" t="s">
        <v>50</v>
      </c>
    </row>
    <row r="1583" spans="1:3">
      <c r="A1583" s="361" t="s">
        <v>59</v>
      </c>
      <c r="B1583" s="211">
        <v>2259719</v>
      </c>
      <c r="C1583" s="211" t="s">
        <v>50</v>
      </c>
    </row>
    <row r="1584" spans="1:3">
      <c r="A1584" s="361" t="s">
        <v>59</v>
      </c>
      <c r="B1584" s="211">
        <v>2272627</v>
      </c>
      <c r="C1584" s="211" t="s">
        <v>50</v>
      </c>
    </row>
    <row r="1585" spans="1:3">
      <c r="A1585" s="361" t="s">
        <v>59</v>
      </c>
      <c r="B1585" s="211">
        <v>2273499</v>
      </c>
      <c r="C1585" s="211" t="s">
        <v>50</v>
      </c>
    </row>
    <row r="1586" spans="1:3">
      <c r="A1586" s="361" t="s">
        <v>59</v>
      </c>
      <c r="B1586" s="211">
        <v>2307673</v>
      </c>
      <c r="C1586" s="211" t="s">
        <v>50</v>
      </c>
    </row>
    <row r="1587" spans="1:3">
      <c r="A1587" s="361" t="s">
        <v>59</v>
      </c>
      <c r="B1587" s="211">
        <v>2373859</v>
      </c>
      <c r="C1587" s="211" t="s">
        <v>50</v>
      </c>
    </row>
    <row r="1588" spans="1:3">
      <c r="A1588" s="361" t="s">
        <v>59</v>
      </c>
      <c r="B1588" s="211">
        <v>2386598</v>
      </c>
      <c r="C1588" s="211" t="s">
        <v>50</v>
      </c>
    </row>
    <row r="1589" spans="1:3">
      <c r="A1589" s="359" t="s">
        <v>2830</v>
      </c>
      <c r="B1589" s="236">
        <v>1419993</v>
      </c>
    </row>
    <row r="1590" spans="1:3">
      <c r="A1590" s="359" t="s">
        <v>2830</v>
      </c>
      <c r="B1590" s="236">
        <v>1465668</v>
      </c>
    </row>
    <row r="1591" spans="1:3">
      <c r="A1591" s="359" t="s">
        <v>2830</v>
      </c>
      <c r="B1591" s="236">
        <v>1472000</v>
      </c>
    </row>
    <row r="1592" spans="1:3">
      <c r="A1592" s="359" t="s">
        <v>2830</v>
      </c>
      <c r="B1592" s="236">
        <v>1505763</v>
      </c>
    </row>
    <row r="1593" spans="1:3">
      <c r="A1593" s="359" t="s">
        <v>2830</v>
      </c>
      <c r="B1593" s="236">
        <v>1510293</v>
      </c>
    </row>
    <row r="1594" spans="1:3">
      <c r="A1594" s="359" t="s">
        <v>2830</v>
      </c>
      <c r="B1594" s="236">
        <v>1532697</v>
      </c>
    </row>
    <row r="1595" spans="1:3">
      <c r="A1595" s="359" t="s">
        <v>2830</v>
      </c>
      <c r="B1595" s="236">
        <v>1543975</v>
      </c>
    </row>
    <row r="1596" spans="1:3">
      <c r="A1596" s="359" t="s">
        <v>2830</v>
      </c>
      <c r="B1596" s="236">
        <v>1553130</v>
      </c>
    </row>
    <row r="1597" spans="1:3">
      <c r="A1597" s="359" t="s">
        <v>2830</v>
      </c>
      <c r="B1597" s="236">
        <v>1562806</v>
      </c>
    </row>
    <row r="1598" spans="1:3">
      <c r="A1598" s="359" t="s">
        <v>2830</v>
      </c>
      <c r="B1598" s="236">
        <v>1567043</v>
      </c>
    </row>
    <row r="1599" spans="1:3">
      <c r="A1599" s="359" t="s">
        <v>2830</v>
      </c>
      <c r="B1599" s="236">
        <v>1586648</v>
      </c>
    </row>
    <row r="1600" spans="1:3">
      <c r="A1600" s="359" t="s">
        <v>2830</v>
      </c>
      <c r="B1600" s="236">
        <v>1631716</v>
      </c>
    </row>
    <row r="1601" spans="1:2">
      <c r="A1601" s="359" t="s">
        <v>2830</v>
      </c>
      <c r="B1601" s="236">
        <v>1631721</v>
      </c>
    </row>
    <row r="1602" spans="1:2">
      <c r="A1602" s="359" t="s">
        <v>2830</v>
      </c>
      <c r="B1602" s="236">
        <v>1652859</v>
      </c>
    </row>
    <row r="1603" spans="1:2">
      <c r="A1603" s="359" t="s">
        <v>2830</v>
      </c>
      <c r="B1603" s="236">
        <v>1653628</v>
      </c>
    </row>
    <row r="1604" spans="1:2">
      <c r="A1604" s="359" t="s">
        <v>2830</v>
      </c>
      <c r="B1604" s="236">
        <v>1688326</v>
      </c>
    </row>
    <row r="1605" spans="1:2">
      <c r="A1605" s="359" t="s">
        <v>2830</v>
      </c>
      <c r="B1605" s="236">
        <v>1709457</v>
      </c>
    </row>
    <row r="1606" spans="1:2">
      <c r="A1606" s="359" t="s">
        <v>2830</v>
      </c>
      <c r="B1606" s="236">
        <v>1721853</v>
      </c>
    </row>
    <row r="1607" spans="1:2">
      <c r="A1607" s="359" t="s">
        <v>2830</v>
      </c>
      <c r="B1607" s="236">
        <v>1723757</v>
      </c>
    </row>
    <row r="1608" spans="1:2">
      <c r="A1608" s="361" t="s">
        <v>2830</v>
      </c>
      <c r="B1608" s="211">
        <v>1740221</v>
      </c>
    </row>
    <row r="1609" spans="1:2">
      <c r="A1609" s="359" t="s">
        <v>2830</v>
      </c>
      <c r="B1609" s="236">
        <v>1750889</v>
      </c>
    </row>
    <row r="1610" spans="1:2">
      <c r="A1610" s="359" t="s">
        <v>2830</v>
      </c>
      <c r="B1610" s="236">
        <v>1764714</v>
      </c>
    </row>
    <row r="1611" spans="1:2">
      <c r="A1611" s="359" t="s">
        <v>2830</v>
      </c>
      <c r="B1611" s="236">
        <v>1782027</v>
      </c>
    </row>
    <row r="1612" spans="1:2">
      <c r="A1612" s="359" t="s">
        <v>2830</v>
      </c>
      <c r="B1612" s="236">
        <v>1791949</v>
      </c>
    </row>
    <row r="1613" spans="1:2">
      <c r="A1613" s="359" t="s">
        <v>2830</v>
      </c>
      <c r="B1613" s="236">
        <v>1797399</v>
      </c>
    </row>
    <row r="1614" spans="1:2">
      <c r="A1614" s="359" t="s">
        <v>2830</v>
      </c>
      <c r="B1614" s="236">
        <v>1801947</v>
      </c>
    </row>
    <row r="1615" spans="1:2">
      <c r="A1615" s="359" t="s">
        <v>2830</v>
      </c>
      <c r="B1615" s="236">
        <v>1801948</v>
      </c>
    </row>
    <row r="1616" spans="1:2">
      <c r="A1616" s="359" t="s">
        <v>2830</v>
      </c>
      <c r="B1616" s="236">
        <v>1806280</v>
      </c>
    </row>
    <row r="1617" spans="1:2">
      <c r="A1617" s="359" t="s">
        <v>2830</v>
      </c>
      <c r="B1617" s="236">
        <v>1814804</v>
      </c>
    </row>
    <row r="1618" spans="1:2">
      <c r="A1618" s="359" t="s">
        <v>2830</v>
      </c>
      <c r="B1618" s="236">
        <v>1821870</v>
      </c>
    </row>
    <row r="1619" spans="1:2">
      <c r="A1619" s="359" t="s">
        <v>2830</v>
      </c>
      <c r="B1619" s="236">
        <v>1822401</v>
      </c>
    </row>
    <row r="1620" spans="1:2">
      <c r="A1620" s="359" t="s">
        <v>2830</v>
      </c>
      <c r="B1620" s="236">
        <v>1837066</v>
      </c>
    </row>
    <row r="1621" spans="1:2">
      <c r="A1621" s="359" t="s">
        <v>2830</v>
      </c>
      <c r="B1621" s="236">
        <v>1856364</v>
      </c>
    </row>
    <row r="1622" spans="1:2">
      <c r="A1622" s="359" t="s">
        <v>2830</v>
      </c>
      <c r="B1622" s="236">
        <v>1869840</v>
      </c>
    </row>
    <row r="1623" spans="1:2">
      <c r="A1623" s="359" t="s">
        <v>2830</v>
      </c>
      <c r="B1623" s="236">
        <v>1874233</v>
      </c>
    </row>
    <row r="1624" spans="1:2">
      <c r="A1624" s="359" t="s">
        <v>2830</v>
      </c>
      <c r="B1624" s="236">
        <v>1885578</v>
      </c>
    </row>
    <row r="1625" spans="1:2">
      <c r="A1625" s="359" t="s">
        <v>2830</v>
      </c>
      <c r="B1625" s="236">
        <v>1890293</v>
      </c>
    </row>
    <row r="1626" spans="1:2">
      <c r="A1626" s="359" t="s">
        <v>2830</v>
      </c>
      <c r="B1626" s="236">
        <v>1893896</v>
      </c>
    </row>
    <row r="1627" spans="1:2">
      <c r="A1627" s="359" t="s">
        <v>2830</v>
      </c>
      <c r="B1627" s="236">
        <v>1897742</v>
      </c>
    </row>
    <row r="1628" spans="1:2">
      <c r="A1628" s="359" t="s">
        <v>2830</v>
      </c>
      <c r="B1628" s="236">
        <v>1898348</v>
      </c>
    </row>
    <row r="1629" spans="1:2">
      <c r="A1629" s="359" t="s">
        <v>2830</v>
      </c>
      <c r="B1629" s="236">
        <v>1906278</v>
      </c>
    </row>
    <row r="1630" spans="1:2">
      <c r="A1630" s="359" t="s">
        <v>2830</v>
      </c>
      <c r="B1630" s="236">
        <v>1929266</v>
      </c>
    </row>
    <row r="1631" spans="1:2">
      <c r="A1631" s="359" t="s">
        <v>2830</v>
      </c>
      <c r="B1631" s="236">
        <v>1931282</v>
      </c>
    </row>
    <row r="1632" spans="1:2">
      <c r="A1632" s="359" t="s">
        <v>2830</v>
      </c>
      <c r="B1632" s="236">
        <v>1940387</v>
      </c>
    </row>
    <row r="1633" spans="1:2">
      <c r="A1633" s="359" t="s">
        <v>2830</v>
      </c>
      <c r="B1633" s="236">
        <v>1955037</v>
      </c>
    </row>
    <row r="1634" spans="1:2">
      <c r="A1634" s="359" t="s">
        <v>2830</v>
      </c>
      <c r="B1634" s="236">
        <v>1959987</v>
      </c>
    </row>
    <row r="1635" spans="1:2">
      <c r="A1635" s="359" t="s">
        <v>2830</v>
      </c>
      <c r="B1635" s="236">
        <v>1967157</v>
      </c>
    </row>
    <row r="1636" spans="1:2">
      <c r="A1636" s="359" t="s">
        <v>2830</v>
      </c>
      <c r="B1636" s="236">
        <v>1973042</v>
      </c>
    </row>
    <row r="1637" spans="1:2">
      <c r="A1637" s="359" t="s">
        <v>2830</v>
      </c>
      <c r="B1637" s="236">
        <v>1996055</v>
      </c>
    </row>
    <row r="1638" spans="1:2">
      <c r="A1638" s="359" t="s">
        <v>2830</v>
      </c>
      <c r="B1638" s="236">
        <v>1997412</v>
      </c>
    </row>
    <row r="1639" spans="1:2">
      <c r="A1639" s="359" t="s">
        <v>2830</v>
      </c>
      <c r="B1639" s="236">
        <v>2003929</v>
      </c>
    </row>
    <row r="1640" spans="1:2">
      <c r="A1640" s="359" t="s">
        <v>2830</v>
      </c>
      <c r="B1640" s="236">
        <v>2003930</v>
      </c>
    </row>
    <row r="1641" spans="1:2">
      <c r="A1641" s="359" t="s">
        <v>2830</v>
      </c>
      <c r="B1641" s="236">
        <v>2004662</v>
      </c>
    </row>
    <row r="1642" spans="1:2">
      <c r="A1642" s="359" t="s">
        <v>2830</v>
      </c>
      <c r="B1642" s="236">
        <v>2005530</v>
      </c>
    </row>
    <row r="1643" spans="1:2">
      <c r="A1643" s="359" t="s">
        <v>2830</v>
      </c>
      <c r="B1643" s="236">
        <v>2006682</v>
      </c>
    </row>
    <row r="1644" spans="1:2">
      <c r="A1644" s="359" t="s">
        <v>2830</v>
      </c>
      <c r="B1644" s="236">
        <v>2008058</v>
      </c>
    </row>
    <row r="1645" spans="1:2">
      <c r="A1645" s="359" t="s">
        <v>2830</v>
      </c>
      <c r="B1645" s="236">
        <v>2013932</v>
      </c>
    </row>
    <row r="1646" spans="1:2">
      <c r="A1646" s="359" t="s">
        <v>2830</v>
      </c>
      <c r="B1646" s="236">
        <v>2014965</v>
      </c>
    </row>
    <row r="1647" spans="1:2">
      <c r="A1647" s="359" t="s">
        <v>2830</v>
      </c>
      <c r="B1647" s="236">
        <v>2016857</v>
      </c>
    </row>
    <row r="1648" spans="1:2">
      <c r="A1648" s="359" t="s">
        <v>2830</v>
      </c>
      <c r="B1648" s="236">
        <v>2017183</v>
      </c>
    </row>
    <row r="1649" spans="1:2">
      <c r="A1649" s="359" t="s">
        <v>2830</v>
      </c>
      <c r="B1649" s="236">
        <v>2029700</v>
      </c>
    </row>
    <row r="1650" spans="1:2">
      <c r="A1650" s="359" t="s">
        <v>2830</v>
      </c>
      <c r="B1650" s="236">
        <v>2031709</v>
      </c>
    </row>
    <row r="1651" spans="1:2">
      <c r="A1651" s="359" t="s">
        <v>2830</v>
      </c>
      <c r="B1651" s="236">
        <v>2036229</v>
      </c>
    </row>
    <row r="1652" spans="1:2">
      <c r="A1652" s="359" t="s">
        <v>2830</v>
      </c>
      <c r="B1652" s="236">
        <v>2039878</v>
      </c>
    </row>
    <row r="1653" spans="1:2">
      <c r="A1653" s="359" t="s">
        <v>2830</v>
      </c>
      <c r="B1653" s="236">
        <v>2046998</v>
      </c>
    </row>
    <row r="1654" spans="1:2">
      <c r="A1654" s="359" t="s">
        <v>2830</v>
      </c>
      <c r="B1654" s="236">
        <v>2051820</v>
      </c>
    </row>
    <row r="1655" spans="1:2">
      <c r="A1655" s="359" t="s">
        <v>2830</v>
      </c>
      <c r="B1655" s="236">
        <v>2051837</v>
      </c>
    </row>
    <row r="1656" spans="1:2">
      <c r="A1656" s="359" t="s">
        <v>2830</v>
      </c>
      <c r="B1656" s="236">
        <v>2068938</v>
      </c>
    </row>
    <row r="1657" spans="1:2">
      <c r="A1657" s="359" t="s">
        <v>2830</v>
      </c>
      <c r="B1657" s="236">
        <v>2069605</v>
      </c>
    </row>
    <row r="1658" spans="1:2">
      <c r="A1658" s="359" t="s">
        <v>2830</v>
      </c>
      <c r="B1658" s="236">
        <v>2081741</v>
      </c>
    </row>
    <row r="1659" spans="1:2">
      <c r="A1659" s="359" t="s">
        <v>2830</v>
      </c>
      <c r="B1659" s="236">
        <v>2092685</v>
      </c>
    </row>
    <row r="1660" spans="1:2">
      <c r="A1660" s="359" t="s">
        <v>2830</v>
      </c>
      <c r="B1660" s="236">
        <v>2093218</v>
      </c>
    </row>
    <row r="1661" spans="1:2">
      <c r="A1661" s="359" t="s">
        <v>2830</v>
      </c>
      <c r="B1661" s="236">
        <v>2108766</v>
      </c>
    </row>
    <row r="1662" spans="1:2">
      <c r="A1662" s="359" t="s">
        <v>2830</v>
      </c>
      <c r="B1662" s="236">
        <v>2110622</v>
      </c>
    </row>
    <row r="1663" spans="1:2">
      <c r="A1663" s="359" t="s">
        <v>2830</v>
      </c>
      <c r="B1663" s="236">
        <v>2115498</v>
      </c>
    </row>
    <row r="1664" spans="1:2">
      <c r="A1664" s="359" t="s">
        <v>2830</v>
      </c>
      <c r="B1664" s="236">
        <v>2127735</v>
      </c>
    </row>
    <row r="1665" spans="1:2">
      <c r="A1665" s="361" t="s">
        <v>2830</v>
      </c>
      <c r="B1665" s="211">
        <v>2127831</v>
      </c>
    </row>
    <row r="1666" spans="1:2">
      <c r="A1666" s="361" t="s">
        <v>2830</v>
      </c>
      <c r="B1666" s="211">
        <v>2127833</v>
      </c>
    </row>
    <row r="1667" spans="1:2">
      <c r="A1667" s="361" t="s">
        <v>2830</v>
      </c>
      <c r="B1667" s="211">
        <v>2130367</v>
      </c>
    </row>
    <row r="1668" spans="1:2">
      <c r="A1668" s="359" t="s">
        <v>2830</v>
      </c>
      <c r="B1668" s="236">
        <v>2132573</v>
      </c>
    </row>
    <row r="1669" spans="1:2">
      <c r="A1669" s="359" t="s">
        <v>2830</v>
      </c>
      <c r="B1669" s="236">
        <v>2133670</v>
      </c>
    </row>
    <row r="1670" spans="1:2">
      <c r="A1670" s="359" t="s">
        <v>2830</v>
      </c>
      <c r="B1670" s="236">
        <v>2134132</v>
      </c>
    </row>
    <row r="1671" spans="1:2">
      <c r="A1671" s="361" t="s">
        <v>2830</v>
      </c>
      <c r="B1671" s="211">
        <v>2137942</v>
      </c>
    </row>
    <row r="1672" spans="1:2">
      <c r="A1672" s="361" t="s">
        <v>2830</v>
      </c>
      <c r="B1672" s="211">
        <v>2137974</v>
      </c>
    </row>
    <row r="1673" spans="1:2">
      <c r="A1673" s="361" t="s">
        <v>2830</v>
      </c>
      <c r="B1673" s="211">
        <v>2140579</v>
      </c>
    </row>
    <row r="1674" spans="1:2">
      <c r="A1674" s="361" t="s">
        <v>2830</v>
      </c>
      <c r="B1674" s="211">
        <v>2142338</v>
      </c>
    </row>
    <row r="1675" spans="1:2">
      <c r="A1675" s="361" t="s">
        <v>2830</v>
      </c>
      <c r="B1675" s="211">
        <v>2142516</v>
      </c>
    </row>
    <row r="1676" spans="1:2">
      <c r="A1676" s="361" t="s">
        <v>2830</v>
      </c>
      <c r="B1676" s="211">
        <v>2144017</v>
      </c>
    </row>
    <row r="1677" spans="1:2">
      <c r="A1677" s="361" t="s">
        <v>2830</v>
      </c>
      <c r="B1677" s="211">
        <v>2144696</v>
      </c>
    </row>
    <row r="1678" spans="1:2">
      <c r="A1678" s="361" t="s">
        <v>2830</v>
      </c>
      <c r="B1678" s="211">
        <v>2145347</v>
      </c>
    </row>
    <row r="1679" spans="1:2">
      <c r="A1679" s="361" t="s">
        <v>2830</v>
      </c>
      <c r="B1679" s="211">
        <v>2147108</v>
      </c>
    </row>
    <row r="1680" spans="1:2">
      <c r="A1680" s="361" t="s">
        <v>2830</v>
      </c>
      <c r="B1680" s="211">
        <v>2147962</v>
      </c>
    </row>
    <row r="1681" spans="1:2">
      <c r="A1681" s="361" t="s">
        <v>2830</v>
      </c>
      <c r="B1681" s="211">
        <v>2151976</v>
      </c>
    </row>
    <row r="1682" spans="1:2">
      <c r="A1682" s="361" t="s">
        <v>2830</v>
      </c>
      <c r="B1682" s="211">
        <v>2152635</v>
      </c>
    </row>
    <row r="1683" spans="1:2">
      <c r="A1683" s="359" t="s">
        <v>2830</v>
      </c>
      <c r="B1683" s="236">
        <v>2156104</v>
      </c>
    </row>
    <row r="1684" spans="1:2">
      <c r="A1684" s="361" t="s">
        <v>2830</v>
      </c>
      <c r="B1684" s="211">
        <v>2156115</v>
      </c>
    </row>
    <row r="1685" spans="1:2">
      <c r="A1685" s="359" t="s">
        <v>2830</v>
      </c>
      <c r="B1685" s="236">
        <v>2156129</v>
      </c>
    </row>
    <row r="1686" spans="1:2">
      <c r="A1686" s="359" t="s">
        <v>2830</v>
      </c>
      <c r="B1686" s="236">
        <v>2156132</v>
      </c>
    </row>
    <row r="1687" spans="1:2">
      <c r="A1687" s="361" t="s">
        <v>2830</v>
      </c>
      <c r="B1687" s="211">
        <v>2156976</v>
      </c>
    </row>
    <row r="1688" spans="1:2">
      <c r="A1688" s="359" t="s">
        <v>2830</v>
      </c>
      <c r="B1688" s="236">
        <v>2158584</v>
      </c>
    </row>
    <row r="1689" spans="1:2">
      <c r="A1689" s="361" t="s">
        <v>2830</v>
      </c>
      <c r="B1689" s="211">
        <v>2159142</v>
      </c>
    </row>
    <row r="1690" spans="1:2">
      <c r="A1690" s="361" t="s">
        <v>2830</v>
      </c>
      <c r="B1690" s="211">
        <v>2160067</v>
      </c>
    </row>
    <row r="1691" spans="1:2">
      <c r="A1691" s="361" t="s">
        <v>2830</v>
      </c>
      <c r="B1691" s="211">
        <v>2160970</v>
      </c>
    </row>
    <row r="1692" spans="1:2">
      <c r="A1692" s="361" t="s">
        <v>2830</v>
      </c>
      <c r="B1692" s="211">
        <v>2161510</v>
      </c>
    </row>
    <row r="1693" spans="1:2">
      <c r="A1693" s="361" t="s">
        <v>2830</v>
      </c>
      <c r="B1693" s="211">
        <v>2161531</v>
      </c>
    </row>
    <row r="1694" spans="1:2">
      <c r="A1694" s="361" t="s">
        <v>2830</v>
      </c>
      <c r="B1694" s="211">
        <v>2162308</v>
      </c>
    </row>
    <row r="1695" spans="1:2">
      <c r="A1695" s="361" t="s">
        <v>2830</v>
      </c>
      <c r="B1695" s="211">
        <v>2162862</v>
      </c>
    </row>
    <row r="1696" spans="1:2">
      <c r="A1696" s="361" t="s">
        <v>2830</v>
      </c>
      <c r="B1696" s="211">
        <v>2163496</v>
      </c>
    </row>
    <row r="1697" spans="1:2">
      <c r="A1697" s="361" t="s">
        <v>2830</v>
      </c>
      <c r="B1697" s="211">
        <v>2163528</v>
      </c>
    </row>
    <row r="1698" spans="1:2">
      <c r="A1698" s="361" t="s">
        <v>2830</v>
      </c>
      <c r="B1698" s="211">
        <v>2165196</v>
      </c>
    </row>
    <row r="1699" spans="1:2">
      <c r="A1699" s="361" t="s">
        <v>2830</v>
      </c>
      <c r="B1699" s="211">
        <v>2166603</v>
      </c>
    </row>
    <row r="1700" spans="1:2">
      <c r="A1700" s="361" t="s">
        <v>2830</v>
      </c>
      <c r="B1700" s="211">
        <v>2167077</v>
      </c>
    </row>
    <row r="1701" spans="1:2">
      <c r="A1701" s="361" t="s">
        <v>2830</v>
      </c>
      <c r="B1701" s="211">
        <v>2167412</v>
      </c>
    </row>
    <row r="1702" spans="1:2">
      <c r="A1702" s="361" t="s">
        <v>2830</v>
      </c>
      <c r="B1702" s="211">
        <v>2167421</v>
      </c>
    </row>
    <row r="1703" spans="1:2">
      <c r="A1703" s="361" t="s">
        <v>2830</v>
      </c>
      <c r="B1703" s="211">
        <v>2167422</v>
      </c>
    </row>
    <row r="1704" spans="1:2">
      <c r="A1704" s="361" t="s">
        <v>2830</v>
      </c>
      <c r="B1704" s="211">
        <v>2168106</v>
      </c>
    </row>
    <row r="1705" spans="1:2">
      <c r="A1705" s="361" t="s">
        <v>2830</v>
      </c>
      <c r="B1705" s="211">
        <v>2168958</v>
      </c>
    </row>
    <row r="1706" spans="1:2">
      <c r="A1706" s="361" t="s">
        <v>2830</v>
      </c>
      <c r="B1706" s="211">
        <v>2173281</v>
      </c>
    </row>
    <row r="1707" spans="1:2">
      <c r="A1707" s="361" t="s">
        <v>2830</v>
      </c>
      <c r="B1707" s="211">
        <v>2175627</v>
      </c>
    </row>
    <row r="1708" spans="1:2">
      <c r="A1708" s="361" t="s">
        <v>2830</v>
      </c>
      <c r="B1708" s="211">
        <v>2175631</v>
      </c>
    </row>
    <row r="1709" spans="1:2">
      <c r="A1709" s="361" t="s">
        <v>2830</v>
      </c>
      <c r="B1709" s="211">
        <v>2178306</v>
      </c>
    </row>
    <row r="1710" spans="1:2">
      <c r="A1710" s="361" t="s">
        <v>2830</v>
      </c>
      <c r="B1710" s="211">
        <v>2178799</v>
      </c>
    </row>
    <row r="1711" spans="1:2">
      <c r="A1711" s="361" t="s">
        <v>2830</v>
      </c>
      <c r="B1711" s="211">
        <v>2179179</v>
      </c>
    </row>
    <row r="1712" spans="1:2">
      <c r="A1712" s="361" t="s">
        <v>2830</v>
      </c>
      <c r="B1712" s="211">
        <v>2182534</v>
      </c>
    </row>
    <row r="1713" spans="1:2">
      <c r="A1713" s="361" t="s">
        <v>2830</v>
      </c>
      <c r="B1713" s="211">
        <v>2182727</v>
      </c>
    </row>
    <row r="1714" spans="1:2">
      <c r="A1714" s="361" t="s">
        <v>2830</v>
      </c>
      <c r="B1714" s="211">
        <v>2188606</v>
      </c>
    </row>
    <row r="1715" spans="1:2">
      <c r="A1715" s="361" t="s">
        <v>2830</v>
      </c>
      <c r="B1715" s="211">
        <v>2188628</v>
      </c>
    </row>
    <row r="1716" spans="1:2">
      <c r="A1716" s="361" t="s">
        <v>2830</v>
      </c>
      <c r="B1716" s="211">
        <v>2188821</v>
      </c>
    </row>
    <row r="1717" spans="1:2">
      <c r="A1717" s="361" t="s">
        <v>2830</v>
      </c>
      <c r="B1717" s="211">
        <v>2188834</v>
      </c>
    </row>
    <row r="1718" spans="1:2">
      <c r="A1718" s="361" t="s">
        <v>2830</v>
      </c>
      <c r="B1718" s="211">
        <v>2189375</v>
      </c>
    </row>
    <row r="1719" spans="1:2">
      <c r="A1719" s="361" t="s">
        <v>2830</v>
      </c>
      <c r="B1719" s="211">
        <v>2189475</v>
      </c>
    </row>
    <row r="1720" spans="1:2">
      <c r="A1720" s="361" t="s">
        <v>2830</v>
      </c>
      <c r="B1720" s="211">
        <v>2190390</v>
      </c>
    </row>
    <row r="1721" spans="1:2">
      <c r="A1721" s="361" t="s">
        <v>2830</v>
      </c>
      <c r="B1721" s="211">
        <v>2190391</v>
      </c>
    </row>
    <row r="1722" spans="1:2">
      <c r="A1722" s="361" t="s">
        <v>2830</v>
      </c>
      <c r="B1722" s="211">
        <v>2191055</v>
      </c>
    </row>
    <row r="1723" spans="1:2">
      <c r="A1723" s="359" t="s">
        <v>2830</v>
      </c>
      <c r="B1723" s="236">
        <v>2191250</v>
      </c>
    </row>
    <row r="1724" spans="1:2">
      <c r="A1724" s="361" t="s">
        <v>2830</v>
      </c>
      <c r="B1724" s="211">
        <v>2197476</v>
      </c>
    </row>
    <row r="1725" spans="1:2">
      <c r="A1725" s="361" t="s">
        <v>2830</v>
      </c>
      <c r="B1725" s="211">
        <v>2197890</v>
      </c>
    </row>
    <row r="1726" spans="1:2">
      <c r="A1726" s="361" t="s">
        <v>2830</v>
      </c>
      <c r="B1726" s="211">
        <v>2197898</v>
      </c>
    </row>
    <row r="1727" spans="1:2">
      <c r="A1727" s="361" t="s">
        <v>2830</v>
      </c>
      <c r="B1727" s="211">
        <v>2197922</v>
      </c>
    </row>
    <row r="1728" spans="1:2">
      <c r="A1728" s="361" t="s">
        <v>2830</v>
      </c>
      <c r="B1728" s="211">
        <v>2199290</v>
      </c>
    </row>
    <row r="1729" spans="1:2">
      <c r="A1729" s="361" t="s">
        <v>2830</v>
      </c>
      <c r="B1729" s="211">
        <v>2200030</v>
      </c>
    </row>
    <row r="1730" spans="1:2">
      <c r="A1730" s="359" t="s">
        <v>2830</v>
      </c>
      <c r="B1730" s="236">
        <v>2202955</v>
      </c>
    </row>
    <row r="1731" spans="1:2">
      <c r="A1731" s="361" t="s">
        <v>2830</v>
      </c>
      <c r="B1731" s="211">
        <v>2203061</v>
      </c>
    </row>
    <row r="1732" spans="1:2">
      <c r="A1732" s="359" t="s">
        <v>2830</v>
      </c>
      <c r="B1732" s="236">
        <v>2203460</v>
      </c>
    </row>
    <row r="1733" spans="1:2">
      <c r="A1733" s="361" t="s">
        <v>2830</v>
      </c>
      <c r="B1733" s="211">
        <v>2204292</v>
      </c>
    </row>
    <row r="1734" spans="1:2">
      <c r="A1734" s="361" t="s">
        <v>2830</v>
      </c>
      <c r="B1734" s="211">
        <v>2205544</v>
      </c>
    </row>
    <row r="1735" spans="1:2">
      <c r="A1735" s="361" t="s">
        <v>2830</v>
      </c>
      <c r="B1735" s="211">
        <v>2205548</v>
      </c>
    </row>
    <row r="1736" spans="1:2">
      <c r="A1736" s="359" t="s">
        <v>2830</v>
      </c>
      <c r="B1736" s="236">
        <v>2206018</v>
      </c>
    </row>
    <row r="1737" spans="1:2">
      <c r="A1737" s="361" t="s">
        <v>2830</v>
      </c>
      <c r="B1737" s="211">
        <v>2207850</v>
      </c>
    </row>
    <row r="1738" spans="1:2">
      <c r="A1738" s="361" t="s">
        <v>2830</v>
      </c>
      <c r="B1738" s="211">
        <v>2207875</v>
      </c>
    </row>
    <row r="1739" spans="1:2">
      <c r="A1739" s="361" t="s">
        <v>2830</v>
      </c>
      <c r="B1739" s="211">
        <v>2209735</v>
      </c>
    </row>
    <row r="1740" spans="1:2">
      <c r="A1740" s="361" t="s">
        <v>2830</v>
      </c>
      <c r="B1740" s="211">
        <v>2211377</v>
      </c>
    </row>
    <row r="1741" spans="1:2">
      <c r="A1741" s="361" t="s">
        <v>2830</v>
      </c>
      <c r="B1741" s="211">
        <v>2212926</v>
      </c>
    </row>
    <row r="1742" spans="1:2">
      <c r="A1742" s="361" t="s">
        <v>2830</v>
      </c>
      <c r="B1742" s="211">
        <v>2212946</v>
      </c>
    </row>
    <row r="1743" spans="1:2">
      <c r="A1743" s="361" t="s">
        <v>2830</v>
      </c>
      <c r="B1743" s="211">
        <v>2213357</v>
      </c>
    </row>
    <row r="1744" spans="1:2">
      <c r="A1744" s="361" t="s">
        <v>2830</v>
      </c>
      <c r="B1744" s="211">
        <v>2214181</v>
      </c>
    </row>
    <row r="1745" spans="1:2">
      <c r="A1745" s="361" t="s">
        <v>2830</v>
      </c>
      <c r="B1745" s="211">
        <v>2215565</v>
      </c>
    </row>
    <row r="1746" spans="1:2">
      <c r="A1746" s="361" t="s">
        <v>2830</v>
      </c>
      <c r="B1746" s="211">
        <v>2215683</v>
      </c>
    </row>
    <row r="1747" spans="1:2">
      <c r="A1747" s="361" t="s">
        <v>2830</v>
      </c>
      <c r="B1747" s="211">
        <v>2217254</v>
      </c>
    </row>
    <row r="1748" spans="1:2">
      <c r="A1748" s="359" t="s">
        <v>2830</v>
      </c>
      <c r="B1748" s="236">
        <v>2217255</v>
      </c>
    </row>
    <row r="1749" spans="1:2">
      <c r="A1749" s="361" t="s">
        <v>2830</v>
      </c>
      <c r="B1749" s="211">
        <v>2219964</v>
      </c>
    </row>
    <row r="1750" spans="1:2">
      <c r="A1750" s="359" t="s">
        <v>2830</v>
      </c>
      <c r="B1750" s="236">
        <v>2219967</v>
      </c>
    </row>
    <row r="1751" spans="1:2">
      <c r="A1751" s="361" t="s">
        <v>2830</v>
      </c>
      <c r="B1751" s="211">
        <v>2219985</v>
      </c>
    </row>
    <row r="1752" spans="1:2">
      <c r="A1752" s="361" t="s">
        <v>2830</v>
      </c>
      <c r="B1752" s="211">
        <v>2219998</v>
      </c>
    </row>
    <row r="1753" spans="1:2">
      <c r="A1753" s="361" t="s">
        <v>2830</v>
      </c>
      <c r="B1753" s="211">
        <v>2220055</v>
      </c>
    </row>
    <row r="1754" spans="1:2">
      <c r="A1754" s="361" t="s">
        <v>2830</v>
      </c>
      <c r="B1754" s="211">
        <v>2220457</v>
      </c>
    </row>
    <row r="1755" spans="1:2">
      <c r="A1755" s="361" t="s">
        <v>2830</v>
      </c>
      <c r="B1755" s="211">
        <v>2221144</v>
      </c>
    </row>
    <row r="1756" spans="1:2">
      <c r="A1756" s="361" t="s">
        <v>2830</v>
      </c>
      <c r="B1756" s="211">
        <v>2222754</v>
      </c>
    </row>
    <row r="1757" spans="1:2">
      <c r="A1757" s="361" t="s">
        <v>2830</v>
      </c>
      <c r="B1757" s="211">
        <v>2222886</v>
      </c>
    </row>
    <row r="1758" spans="1:2">
      <c r="A1758" s="361" t="s">
        <v>2830</v>
      </c>
      <c r="B1758" s="211">
        <v>2225014</v>
      </c>
    </row>
    <row r="1759" spans="1:2">
      <c r="A1759" s="361" t="s">
        <v>2830</v>
      </c>
      <c r="B1759" s="211">
        <v>2225568</v>
      </c>
    </row>
    <row r="1760" spans="1:2">
      <c r="A1760" s="361" t="s">
        <v>2830</v>
      </c>
      <c r="B1760" s="211">
        <v>2226345</v>
      </c>
    </row>
    <row r="1761" spans="1:2">
      <c r="A1761" s="361" t="s">
        <v>2830</v>
      </c>
      <c r="B1761" s="211">
        <v>2226902</v>
      </c>
    </row>
    <row r="1762" spans="1:2">
      <c r="A1762" s="361" t="s">
        <v>2830</v>
      </c>
      <c r="B1762" s="211">
        <v>2227267</v>
      </c>
    </row>
    <row r="1763" spans="1:2">
      <c r="A1763" s="361" t="s">
        <v>2830</v>
      </c>
      <c r="B1763" s="211">
        <v>2230537</v>
      </c>
    </row>
    <row r="1764" spans="1:2">
      <c r="A1764" s="361" t="s">
        <v>2830</v>
      </c>
      <c r="B1764" s="211">
        <v>2231439</v>
      </c>
    </row>
    <row r="1765" spans="1:2">
      <c r="A1765" s="361" t="s">
        <v>2830</v>
      </c>
      <c r="B1765" s="211">
        <v>2232518</v>
      </c>
    </row>
    <row r="1766" spans="1:2">
      <c r="A1766" s="361" t="s">
        <v>2830</v>
      </c>
      <c r="B1766" s="211">
        <v>2233319</v>
      </c>
    </row>
    <row r="1767" spans="1:2">
      <c r="A1767" s="361" t="s">
        <v>2830</v>
      </c>
      <c r="B1767" s="211">
        <v>2233844</v>
      </c>
    </row>
    <row r="1768" spans="1:2">
      <c r="A1768" s="359" t="s">
        <v>2830</v>
      </c>
      <c r="B1768" s="236">
        <v>2234001</v>
      </c>
    </row>
    <row r="1769" spans="1:2">
      <c r="A1769" s="361" t="s">
        <v>2830</v>
      </c>
      <c r="B1769" s="211">
        <v>2234326</v>
      </c>
    </row>
    <row r="1770" spans="1:2">
      <c r="A1770" s="361" t="s">
        <v>2830</v>
      </c>
      <c r="B1770" s="211">
        <v>2236340</v>
      </c>
    </row>
    <row r="1771" spans="1:2">
      <c r="A1771" s="361" t="s">
        <v>2830</v>
      </c>
      <c r="B1771" s="211">
        <v>2237077</v>
      </c>
    </row>
    <row r="1772" spans="1:2">
      <c r="A1772" s="361" t="s">
        <v>2830</v>
      </c>
      <c r="B1772" s="211">
        <v>2237225</v>
      </c>
    </row>
    <row r="1773" spans="1:2">
      <c r="A1773" s="361" t="s">
        <v>2830</v>
      </c>
      <c r="B1773" s="211">
        <v>2237719</v>
      </c>
    </row>
    <row r="1774" spans="1:2">
      <c r="A1774" s="361" t="s">
        <v>2830</v>
      </c>
      <c r="B1774" s="211">
        <v>2238532</v>
      </c>
    </row>
    <row r="1775" spans="1:2">
      <c r="A1775" s="361" t="s">
        <v>2830</v>
      </c>
      <c r="B1775" s="211">
        <v>2240680</v>
      </c>
    </row>
    <row r="1776" spans="1:2">
      <c r="A1776" s="361" t="s">
        <v>2830</v>
      </c>
      <c r="B1776" s="211">
        <v>2241499</v>
      </c>
    </row>
    <row r="1777" spans="1:2">
      <c r="A1777" s="361" t="s">
        <v>2830</v>
      </c>
      <c r="B1777" s="211">
        <v>2245478</v>
      </c>
    </row>
    <row r="1778" spans="1:2">
      <c r="A1778" s="361" t="s">
        <v>2830</v>
      </c>
      <c r="B1778" s="211">
        <v>2245493</v>
      </c>
    </row>
    <row r="1779" spans="1:2">
      <c r="A1779" s="361" t="s">
        <v>2830</v>
      </c>
      <c r="B1779" s="211">
        <v>2246738</v>
      </c>
    </row>
    <row r="1780" spans="1:2">
      <c r="A1780" s="361" t="s">
        <v>2830</v>
      </c>
      <c r="B1780" s="211">
        <v>2246741</v>
      </c>
    </row>
    <row r="1781" spans="1:2">
      <c r="A1781" s="361" t="s">
        <v>2830</v>
      </c>
      <c r="B1781" s="211">
        <v>2247983</v>
      </c>
    </row>
    <row r="1782" spans="1:2">
      <c r="A1782" s="361" t="s">
        <v>2830</v>
      </c>
      <c r="B1782" s="211">
        <v>2249901</v>
      </c>
    </row>
    <row r="1783" spans="1:2">
      <c r="A1783" s="361" t="s">
        <v>2830</v>
      </c>
      <c r="B1783" s="211">
        <v>2252059</v>
      </c>
    </row>
    <row r="1784" spans="1:2">
      <c r="A1784" s="361" t="s">
        <v>2830</v>
      </c>
      <c r="B1784" s="211">
        <v>2252330</v>
      </c>
    </row>
    <row r="1785" spans="1:2">
      <c r="A1785" s="361" t="s">
        <v>2830</v>
      </c>
      <c r="B1785" s="211">
        <v>2252341</v>
      </c>
    </row>
    <row r="1786" spans="1:2">
      <c r="A1786" s="361" t="s">
        <v>2830</v>
      </c>
      <c r="B1786" s="211">
        <v>2253119</v>
      </c>
    </row>
    <row r="1787" spans="1:2">
      <c r="A1787" s="361" t="s">
        <v>2830</v>
      </c>
      <c r="B1787" s="211">
        <v>2255188</v>
      </c>
    </row>
    <row r="1788" spans="1:2">
      <c r="A1788" s="361" t="s">
        <v>2830</v>
      </c>
      <c r="B1788" s="211">
        <v>2255560</v>
      </c>
    </row>
    <row r="1789" spans="1:2">
      <c r="A1789" s="361" t="s">
        <v>2830</v>
      </c>
      <c r="B1789" s="211">
        <v>2256292</v>
      </c>
    </row>
    <row r="1790" spans="1:2">
      <c r="A1790" s="361" t="s">
        <v>2830</v>
      </c>
      <c r="B1790" s="211">
        <v>2257031</v>
      </c>
    </row>
    <row r="1791" spans="1:2">
      <c r="A1791" s="361" t="s">
        <v>2830</v>
      </c>
      <c r="B1791" s="211">
        <v>2259213</v>
      </c>
    </row>
    <row r="1792" spans="1:2">
      <c r="A1792" s="361" t="s">
        <v>2830</v>
      </c>
      <c r="B1792" s="211">
        <v>2259910</v>
      </c>
    </row>
    <row r="1793" spans="1:2">
      <c r="A1793" s="361" t="s">
        <v>2830</v>
      </c>
      <c r="B1793" s="211">
        <v>2260766</v>
      </c>
    </row>
    <row r="1794" spans="1:2">
      <c r="A1794" s="361" t="s">
        <v>2830</v>
      </c>
      <c r="B1794" s="211">
        <v>2262173</v>
      </c>
    </row>
    <row r="1795" spans="1:2">
      <c r="A1795" s="361" t="s">
        <v>2830</v>
      </c>
      <c r="B1795" s="211">
        <v>2269275</v>
      </c>
    </row>
    <row r="1796" spans="1:2">
      <c r="A1796" s="361" t="s">
        <v>2830</v>
      </c>
      <c r="B1796" s="211">
        <v>2269276</v>
      </c>
    </row>
    <row r="1797" spans="1:2">
      <c r="A1797" s="361" t="s">
        <v>2830</v>
      </c>
      <c r="B1797" s="211">
        <v>2269277</v>
      </c>
    </row>
    <row r="1798" spans="1:2">
      <c r="A1798" s="361" t="s">
        <v>2830</v>
      </c>
      <c r="B1798" s="211">
        <v>2269374</v>
      </c>
    </row>
    <row r="1799" spans="1:2">
      <c r="A1799" s="361" t="s">
        <v>2830</v>
      </c>
      <c r="B1799" s="211">
        <v>2270999</v>
      </c>
    </row>
    <row r="1800" spans="1:2">
      <c r="A1800" s="361" t="s">
        <v>2830</v>
      </c>
      <c r="B1800" s="211">
        <v>2272574</v>
      </c>
    </row>
    <row r="1801" spans="1:2">
      <c r="A1801" s="361" t="s">
        <v>2830</v>
      </c>
      <c r="B1801" s="211">
        <v>2272604</v>
      </c>
    </row>
    <row r="1802" spans="1:2">
      <c r="A1802" s="361" t="s">
        <v>2830</v>
      </c>
      <c r="B1802" s="211">
        <v>2273600</v>
      </c>
    </row>
    <row r="1803" spans="1:2">
      <c r="A1803" s="361" t="s">
        <v>2830</v>
      </c>
      <c r="B1803" s="211">
        <v>2273979</v>
      </c>
    </row>
    <row r="1804" spans="1:2">
      <c r="A1804" s="361" t="s">
        <v>2830</v>
      </c>
      <c r="B1804" s="211">
        <v>2274443</v>
      </c>
    </row>
    <row r="1805" spans="1:2">
      <c r="A1805" s="361" t="s">
        <v>2830</v>
      </c>
      <c r="B1805" s="211">
        <v>2276734</v>
      </c>
    </row>
    <row r="1806" spans="1:2">
      <c r="A1806" s="361" t="s">
        <v>2830</v>
      </c>
      <c r="B1806" s="211">
        <v>2277632</v>
      </c>
    </row>
    <row r="1807" spans="1:2">
      <c r="A1807" s="361" t="s">
        <v>2830</v>
      </c>
      <c r="B1807" s="211">
        <v>2278379</v>
      </c>
    </row>
    <row r="1808" spans="1:2">
      <c r="A1808" s="361" t="s">
        <v>2830</v>
      </c>
      <c r="B1808" s="211">
        <v>2278396</v>
      </c>
    </row>
    <row r="1809" spans="1:2">
      <c r="A1809" s="361" t="s">
        <v>2830</v>
      </c>
      <c r="B1809" s="211">
        <v>2278846</v>
      </c>
    </row>
    <row r="1810" spans="1:2">
      <c r="A1810" s="361" t="s">
        <v>2830</v>
      </c>
      <c r="B1810" s="211">
        <v>2279861</v>
      </c>
    </row>
    <row r="1811" spans="1:2">
      <c r="A1811" s="361" t="s">
        <v>2830</v>
      </c>
      <c r="B1811" s="211">
        <v>2281124</v>
      </c>
    </row>
    <row r="1812" spans="1:2">
      <c r="A1812" s="361" t="s">
        <v>2830</v>
      </c>
      <c r="B1812" s="211">
        <v>2281126</v>
      </c>
    </row>
    <row r="1813" spans="1:2">
      <c r="A1813" s="361" t="s">
        <v>2830</v>
      </c>
      <c r="B1813" s="211">
        <v>2283720</v>
      </c>
    </row>
    <row r="1814" spans="1:2">
      <c r="A1814" s="361" t="s">
        <v>2830</v>
      </c>
      <c r="B1814" s="211">
        <v>2283746</v>
      </c>
    </row>
    <row r="1815" spans="1:2">
      <c r="A1815" s="361" t="s">
        <v>2830</v>
      </c>
      <c r="B1815" s="211">
        <v>2285856</v>
      </c>
    </row>
    <row r="1816" spans="1:2">
      <c r="A1816" s="361" t="s">
        <v>2830</v>
      </c>
      <c r="B1816" s="211">
        <v>2287754</v>
      </c>
    </row>
    <row r="1817" spans="1:2">
      <c r="A1817" s="361" t="s">
        <v>2830</v>
      </c>
      <c r="B1817" s="211">
        <v>2287755</v>
      </c>
    </row>
    <row r="1818" spans="1:2">
      <c r="A1818" s="361" t="s">
        <v>2830</v>
      </c>
      <c r="B1818" s="211">
        <v>2289330</v>
      </c>
    </row>
    <row r="1819" spans="1:2">
      <c r="A1819" s="361" t="s">
        <v>2830</v>
      </c>
      <c r="B1819" s="211">
        <v>2289673</v>
      </c>
    </row>
    <row r="1820" spans="1:2">
      <c r="A1820" s="361" t="s">
        <v>2830</v>
      </c>
      <c r="B1820" s="211">
        <v>2290232</v>
      </c>
    </row>
    <row r="1821" spans="1:2">
      <c r="A1821" s="361" t="s">
        <v>2830</v>
      </c>
      <c r="B1821" s="211">
        <v>2291048</v>
      </c>
    </row>
    <row r="1822" spans="1:2">
      <c r="A1822" s="361" t="s">
        <v>2830</v>
      </c>
      <c r="B1822" s="211">
        <v>2292451</v>
      </c>
    </row>
    <row r="1823" spans="1:2">
      <c r="A1823" s="361" t="s">
        <v>2830</v>
      </c>
      <c r="B1823" s="211">
        <v>2294206</v>
      </c>
    </row>
    <row r="1824" spans="1:2">
      <c r="A1824" s="359" t="s">
        <v>2830</v>
      </c>
      <c r="B1824" s="236">
        <v>2297550</v>
      </c>
    </row>
    <row r="1825" spans="1:2">
      <c r="A1825" s="361" t="s">
        <v>2830</v>
      </c>
      <c r="B1825" s="211">
        <v>2300562</v>
      </c>
    </row>
    <row r="1826" spans="1:2">
      <c r="A1826" s="361" t="s">
        <v>2830</v>
      </c>
      <c r="B1826" s="211">
        <v>2313249</v>
      </c>
    </row>
    <row r="1827" spans="1:2">
      <c r="A1827" s="361" t="s">
        <v>2830</v>
      </c>
      <c r="B1827" s="211">
        <v>2322109</v>
      </c>
    </row>
    <row r="1828" spans="1:2">
      <c r="A1828" s="361" t="s">
        <v>2830</v>
      </c>
      <c r="B1828" s="211">
        <v>2328747</v>
      </c>
    </row>
    <row r="1829" spans="1:2">
      <c r="A1829" s="361" t="s">
        <v>2830</v>
      </c>
      <c r="B1829" s="211">
        <v>2328763</v>
      </c>
    </row>
    <row r="1830" spans="1:2">
      <c r="A1830" s="361" t="s">
        <v>2830</v>
      </c>
      <c r="B1830" s="211">
        <v>2328764</v>
      </c>
    </row>
    <row r="1831" spans="1:2">
      <c r="A1831" s="361" t="s">
        <v>2830</v>
      </c>
      <c r="B1831" s="211">
        <v>2330320</v>
      </c>
    </row>
    <row r="1832" spans="1:2">
      <c r="A1832" s="361" t="s">
        <v>2830</v>
      </c>
      <c r="B1832" s="211">
        <v>2334116</v>
      </c>
    </row>
    <row r="1833" spans="1:2">
      <c r="A1833" s="361" t="s">
        <v>2830</v>
      </c>
      <c r="B1833" s="211">
        <v>2338979</v>
      </c>
    </row>
    <row r="1834" spans="1:2">
      <c r="A1834" s="359" t="s">
        <v>2830</v>
      </c>
      <c r="B1834" s="236">
        <v>2340524</v>
      </c>
    </row>
    <row r="1835" spans="1:2">
      <c r="A1835" s="361" t="s">
        <v>2830</v>
      </c>
      <c r="B1835" s="211">
        <v>2345168</v>
      </c>
    </row>
    <row r="1836" spans="1:2">
      <c r="A1836" s="361" t="s">
        <v>2830</v>
      </c>
      <c r="B1836" s="211">
        <v>2347134</v>
      </c>
    </row>
    <row r="1837" spans="1:2">
      <c r="A1837" s="361" t="s">
        <v>2830</v>
      </c>
      <c r="B1837" s="211">
        <v>2347427</v>
      </c>
    </row>
    <row r="1838" spans="1:2">
      <c r="A1838" s="361" t="s">
        <v>2830</v>
      </c>
      <c r="B1838" s="211">
        <v>2348298</v>
      </c>
    </row>
    <row r="1839" spans="1:2">
      <c r="A1839" s="361" t="s">
        <v>2830</v>
      </c>
      <c r="B1839" s="211">
        <v>2351682</v>
      </c>
    </row>
    <row r="1840" spans="1:2">
      <c r="A1840" s="361" t="s">
        <v>2830</v>
      </c>
      <c r="B1840" s="211">
        <v>2356676</v>
      </c>
    </row>
    <row r="1841" spans="1:2">
      <c r="A1841" s="361" t="s">
        <v>2830</v>
      </c>
      <c r="B1841" s="211">
        <v>2357561</v>
      </c>
    </row>
    <row r="1842" spans="1:2">
      <c r="A1842" s="361" t="s">
        <v>2830</v>
      </c>
      <c r="B1842" s="211">
        <v>2365439</v>
      </c>
    </row>
    <row r="1843" spans="1:2">
      <c r="A1843" s="361" t="s">
        <v>2830</v>
      </c>
      <c r="B1843" s="211">
        <v>2376732</v>
      </c>
    </row>
    <row r="1844" spans="1:2">
      <c r="A1844" s="361" t="s">
        <v>2830</v>
      </c>
      <c r="B1844" s="211">
        <v>2378791</v>
      </c>
    </row>
    <row r="1845" spans="1:2">
      <c r="A1845" s="361" t="s">
        <v>2830</v>
      </c>
      <c r="B1845" s="211">
        <v>2379004</v>
      </c>
    </row>
    <row r="1846" spans="1:2">
      <c r="A1846" s="361" t="s">
        <v>2830</v>
      </c>
      <c r="B1846" s="211">
        <v>2385678</v>
      </c>
    </row>
    <row r="1847" spans="1:2">
      <c r="A1847" s="361" t="s">
        <v>2830</v>
      </c>
      <c r="B1847" s="211">
        <v>2390019</v>
      </c>
    </row>
    <row r="1848" spans="1:2">
      <c r="A1848" s="361" t="s">
        <v>2830</v>
      </c>
      <c r="B1848" s="211">
        <v>2390338</v>
      </c>
    </row>
    <row r="1849" spans="1:2">
      <c r="A1849" s="361" t="s">
        <v>2830</v>
      </c>
      <c r="B1849" s="166">
        <v>2399384</v>
      </c>
    </row>
    <row r="1850" spans="1:2">
      <c r="A1850" s="361" t="s">
        <v>2830</v>
      </c>
      <c r="B1850" s="166">
        <v>2400757</v>
      </c>
    </row>
    <row r="1851" spans="1:2">
      <c r="A1851" s="361" t="s">
        <v>2830</v>
      </c>
      <c r="B1851" s="166">
        <v>2406114</v>
      </c>
    </row>
    <row r="1852" spans="1:2">
      <c r="A1852" s="361" t="s">
        <v>2830</v>
      </c>
      <c r="B1852" s="166">
        <v>2410758</v>
      </c>
    </row>
    <row r="1853" spans="1:2">
      <c r="A1853" s="361" t="s">
        <v>2830</v>
      </c>
      <c r="B1853" s="166">
        <v>2420917</v>
      </c>
    </row>
    <row r="1854" spans="1:2">
      <c r="A1854" s="361" t="s">
        <v>2830</v>
      </c>
      <c r="B1854" s="166">
        <v>2420925</v>
      </c>
    </row>
    <row r="1855" spans="1:2">
      <c r="A1855" s="361" t="s">
        <v>2830</v>
      </c>
      <c r="B1855" s="166">
        <v>2423059</v>
      </c>
    </row>
    <row r="1856" spans="1:2">
      <c r="A1856" s="361" t="s">
        <v>2830</v>
      </c>
      <c r="B1856" s="166">
        <v>2447791</v>
      </c>
    </row>
    <row r="1857" spans="1:3">
      <c r="A1857" s="361" t="s">
        <v>2830</v>
      </c>
      <c r="B1857" s="166">
        <v>2453910</v>
      </c>
    </row>
    <row r="1858" spans="1:3">
      <c r="A1858" s="361" t="s">
        <v>2830</v>
      </c>
      <c r="B1858" s="166">
        <v>2491979</v>
      </c>
    </row>
    <row r="1859" spans="1:3">
      <c r="A1859" s="361" t="s">
        <v>2830</v>
      </c>
      <c r="B1859" s="166">
        <v>2508278</v>
      </c>
    </row>
    <row r="1860" spans="1:3">
      <c r="A1860" s="361" t="s">
        <v>2830</v>
      </c>
      <c r="B1860" s="166">
        <v>2662757</v>
      </c>
    </row>
    <row r="1861" spans="1:3">
      <c r="A1861" s="359" t="s">
        <v>60</v>
      </c>
      <c r="B1861" s="236">
        <v>2119669</v>
      </c>
      <c r="C1861" s="236" t="s">
        <v>50</v>
      </c>
    </row>
    <row r="1862" spans="1:3">
      <c r="A1862" s="359" t="s">
        <v>60</v>
      </c>
      <c r="B1862" s="236">
        <v>2119991</v>
      </c>
      <c r="C1862" s="236" t="s">
        <v>50</v>
      </c>
    </row>
    <row r="1863" spans="1:3">
      <c r="A1863" s="359" t="s">
        <v>60</v>
      </c>
      <c r="B1863" s="236">
        <v>2120595</v>
      </c>
      <c r="C1863" s="236" t="s">
        <v>50</v>
      </c>
    </row>
    <row r="1864" spans="1:3">
      <c r="A1864" s="359" t="s">
        <v>60</v>
      </c>
      <c r="B1864" s="236">
        <v>2120631</v>
      </c>
      <c r="C1864" s="236" t="s">
        <v>50</v>
      </c>
    </row>
    <row r="1865" spans="1:3">
      <c r="A1865" s="359" t="s">
        <v>60</v>
      </c>
      <c r="B1865" s="236">
        <v>2120632</v>
      </c>
      <c r="C1865" s="236" t="s">
        <v>50</v>
      </c>
    </row>
    <row r="1866" spans="1:3">
      <c r="A1866" s="359" t="s">
        <v>60</v>
      </c>
      <c r="B1866" s="236">
        <v>2120633</v>
      </c>
      <c r="C1866" s="236" t="s">
        <v>50</v>
      </c>
    </row>
    <row r="1867" spans="1:3">
      <c r="A1867" s="359" t="s">
        <v>60</v>
      </c>
      <c r="B1867" s="236">
        <v>2121199</v>
      </c>
      <c r="C1867" s="236" t="s">
        <v>50</v>
      </c>
    </row>
    <row r="1868" spans="1:3">
      <c r="A1868" s="359" t="s">
        <v>60</v>
      </c>
      <c r="B1868" s="236">
        <v>2122810</v>
      </c>
      <c r="C1868" s="236" t="s">
        <v>50</v>
      </c>
    </row>
    <row r="1869" spans="1:3">
      <c r="A1869" s="359" t="s">
        <v>60</v>
      </c>
      <c r="B1869" s="236">
        <v>2123099</v>
      </c>
      <c r="C1869" s="236" t="s">
        <v>50</v>
      </c>
    </row>
    <row r="1870" spans="1:3">
      <c r="A1870" s="359" t="s">
        <v>60</v>
      </c>
      <c r="B1870" s="236">
        <v>2123100</v>
      </c>
      <c r="C1870" s="236" t="s">
        <v>50</v>
      </c>
    </row>
    <row r="1871" spans="1:3">
      <c r="A1871" s="359" t="s">
        <v>60</v>
      </c>
      <c r="B1871" s="236">
        <v>2123101</v>
      </c>
      <c r="C1871" s="236" t="s">
        <v>50</v>
      </c>
    </row>
    <row r="1872" spans="1:3">
      <c r="A1872" s="359" t="s">
        <v>60</v>
      </c>
      <c r="B1872" s="236">
        <v>2123129</v>
      </c>
      <c r="C1872" s="236" t="s">
        <v>50</v>
      </c>
    </row>
    <row r="1873" spans="1:3">
      <c r="A1873" s="359" t="s">
        <v>60</v>
      </c>
      <c r="B1873" s="236">
        <v>2123130</v>
      </c>
      <c r="C1873" s="236" t="s">
        <v>50</v>
      </c>
    </row>
    <row r="1874" spans="1:3">
      <c r="A1874" s="359" t="s">
        <v>60</v>
      </c>
      <c r="B1874" s="236">
        <v>2123614</v>
      </c>
      <c r="C1874" s="236" t="s">
        <v>50</v>
      </c>
    </row>
    <row r="1875" spans="1:3">
      <c r="A1875" s="359" t="s">
        <v>60</v>
      </c>
      <c r="B1875" s="236">
        <v>2125756</v>
      </c>
      <c r="C1875" s="236" t="s">
        <v>50</v>
      </c>
    </row>
    <row r="1876" spans="1:3">
      <c r="A1876" s="359" t="s">
        <v>60</v>
      </c>
      <c r="B1876" s="236">
        <v>2126372</v>
      </c>
      <c r="C1876" s="236" t="s">
        <v>50</v>
      </c>
    </row>
    <row r="1877" spans="1:3">
      <c r="A1877" s="359" t="s">
        <v>60</v>
      </c>
      <c r="B1877" s="236">
        <v>2127220</v>
      </c>
      <c r="C1877" s="236" t="s">
        <v>50</v>
      </c>
    </row>
    <row r="1878" spans="1:3">
      <c r="A1878" s="359" t="s">
        <v>60</v>
      </c>
      <c r="B1878" s="236">
        <v>2127597</v>
      </c>
      <c r="C1878" s="236" t="s">
        <v>50</v>
      </c>
    </row>
    <row r="1879" spans="1:3">
      <c r="A1879" s="359" t="s">
        <v>60</v>
      </c>
      <c r="B1879" s="236">
        <v>2127598</v>
      </c>
      <c r="C1879" s="236" t="s">
        <v>50</v>
      </c>
    </row>
    <row r="1880" spans="1:3">
      <c r="A1880" s="359" t="s">
        <v>60</v>
      </c>
      <c r="B1880" s="236">
        <v>2127599</v>
      </c>
      <c r="C1880" s="236" t="s">
        <v>50</v>
      </c>
    </row>
    <row r="1881" spans="1:3">
      <c r="A1881" s="359" t="s">
        <v>60</v>
      </c>
      <c r="B1881" s="236">
        <v>2127600</v>
      </c>
      <c r="C1881" s="236" t="s">
        <v>50</v>
      </c>
    </row>
    <row r="1882" spans="1:3">
      <c r="A1882" s="359" t="s">
        <v>60</v>
      </c>
      <c r="B1882" s="236">
        <v>2130392</v>
      </c>
      <c r="C1882" s="236" t="s">
        <v>50</v>
      </c>
    </row>
    <row r="1883" spans="1:3">
      <c r="A1883" s="359" t="s">
        <v>60</v>
      </c>
      <c r="B1883" s="236">
        <v>2131186</v>
      </c>
      <c r="C1883" s="236" t="s">
        <v>50</v>
      </c>
    </row>
    <row r="1884" spans="1:3">
      <c r="A1884" s="359" t="s">
        <v>60</v>
      </c>
      <c r="B1884" s="236">
        <v>2132002</v>
      </c>
      <c r="C1884" s="236" t="s">
        <v>50</v>
      </c>
    </row>
    <row r="1885" spans="1:3">
      <c r="A1885" s="359" t="s">
        <v>60</v>
      </c>
      <c r="B1885" s="236">
        <v>2133142</v>
      </c>
      <c r="C1885" s="236" t="s">
        <v>50</v>
      </c>
    </row>
    <row r="1886" spans="1:3">
      <c r="A1886" s="359" t="s">
        <v>60</v>
      </c>
      <c r="B1886" s="236">
        <v>2133144</v>
      </c>
      <c r="C1886" s="236" t="s">
        <v>50</v>
      </c>
    </row>
    <row r="1887" spans="1:3">
      <c r="A1887" s="359" t="s">
        <v>60</v>
      </c>
      <c r="B1887" s="236">
        <v>2133454</v>
      </c>
      <c r="C1887" s="236" t="s">
        <v>50</v>
      </c>
    </row>
    <row r="1888" spans="1:3">
      <c r="A1888" s="359" t="s">
        <v>60</v>
      </c>
      <c r="B1888" s="236">
        <v>2134419</v>
      </c>
      <c r="C1888" s="236" t="s">
        <v>50</v>
      </c>
    </row>
    <row r="1889" spans="1:3">
      <c r="A1889" s="359" t="s">
        <v>60</v>
      </c>
      <c r="B1889" s="236">
        <v>2136447</v>
      </c>
      <c r="C1889" s="236" t="s">
        <v>50</v>
      </c>
    </row>
    <row r="1890" spans="1:3">
      <c r="A1890" s="359" t="s">
        <v>60</v>
      </c>
      <c r="B1890" s="236">
        <v>2137288</v>
      </c>
      <c r="C1890" s="236" t="s">
        <v>50</v>
      </c>
    </row>
    <row r="1891" spans="1:3">
      <c r="A1891" s="359" t="s">
        <v>60</v>
      </c>
      <c r="B1891" s="236">
        <v>2139833</v>
      </c>
      <c r="C1891" s="236" t="s">
        <v>50</v>
      </c>
    </row>
    <row r="1892" spans="1:3">
      <c r="A1892" s="359" t="s">
        <v>60</v>
      </c>
      <c r="B1892" s="236">
        <v>2141457</v>
      </c>
      <c r="C1892" s="236" t="s">
        <v>50</v>
      </c>
    </row>
    <row r="1893" spans="1:3">
      <c r="A1893" s="359" t="s">
        <v>60</v>
      </c>
      <c r="B1893" s="236">
        <v>2143445</v>
      </c>
      <c r="C1893" s="236" t="s">
        <v>50</v>
      </c>
    </row>
    <row r="1894" spans="1:3">
      <c r="A1894" s="359" t="s">
        <v>60</v>
      </c>
      <c r="B1894" s="236">
        <v>2143456</v>
      </c>
      <c r="C1894" s="236" t="s">
        <v>50</v>
      </c>
    </row>
    <row r="1895" spans="1:3">
      <c r="A1895" s="359" t="s">
        <v>60</v>
      </c>
      <c r="B1895" s="236">
        <v>2143457</v>
      </c>
      <c r="C1895" s="236" t="s">
        <v>50</v>
      </c>
    </row>
    <row r="1896" spans="1:3">
      <c r="A1896" s="359" t="s">
        <v>60</v>
      </c>
      <c r="B1896" s="236">
        <v>2145377</v>
      </c>
      <c r="C1896" s="236" t="s">
        <v>50</v>
      </c>
    </row>
    <row r="1897" spans="1:3">
      <c r="A1897" s="359" t="s">
        <v>60</v>
      </c>
      <c r="B1897" s="236">
        <v>2150510</v>
      </c>
      <c r="C1897" s="236" t="s">
        <v>50</v>
      </c>
    </row>
    <row r="1898" spans="1:3">
      <c r="A1898" s="359" t="s">
        <v>60</v>
      </c>
      <c r="B1898" s="236">
        <v>2151568</v>
      </c>
      <c r="C1898" s="236" t="s">
        <v>50</v>
      </c>
    </row>
    <row r="1899" spans="1:3">
      <c r="A1899" s="359" t="s">
        <v>60</v>
      </c>
      <c r="B1899" s="236">
        <v>2154004</v>
      </c>
      <c r="C1899" s="236" t="s">
        <v>50</v>
      </c>
    </row>
    <row r="1900" spans="1:3">
      <c r="A1900" s="359" t="s">
        <v>60</v>
      </c>
      <c r="B1900" s="236">
        <v>2154014</v>
      </c>
      <c r="C1900" s="236" t="s">
        <v>50</v>
      </c>
    </row>
    <row r="1901" spans="1:3">
      <c r="A1901" s="359" t="s">
        <v>60</v>
      </c>
      <c r="B1901" s="236">
        <v>2154016</v>
      </c>
      <c r="C1901" s="236" t="s">
        <v>50</v>
      </c>
    </row>
    <row r="1902" spans="1:3">
      <c r="A1902" s="359" t="s">
        <v>60</v>
      </c>
      <c r="B1902" s="236">
        <v>2155667</v>
      </c>
      <c r="C1902" s="236" t="s">
        <v>50</v>
      </c>
    </row>
    <row r="1903" spans="1:3">
      <c r="A1903" s="359" t="s">
        <v>60</v>
      </c>
      <c r="B1903" s="236">
        <v>2157175</v>
      </c>
      <c r="C1903" s="236" t="s">
        <v>50</v>
      </c>
    </row>
    <row r="1904" spans="1:3">
      <c r="A1904" s="359" t="s">
        <v>60</v>
      </c>
      <c r="B1904" s="236">
        <v>2158125</v>
      </c>
      <c r="C1904" s="236" t="s">
        <v>50</v>
      </c>
    </row>
    <row r="1905" spans="1:3">
      <c r="A1905" s="359" t="s">
        <v>60</v>
      </c>
      <c r="B1905" s="236">
        <v>2158126</v>
      </c>
      <c r="C1905" s="236" t="s">
        <v>50</v>
      </c>
    </row>
    <row r="1906" spans="1:3">
      <c r="A1906" s="359" t="s">
        <v>60</v>
      </c>
      <c r="B1906" s="236">
        <v>2159880</v>
      </c>
      <c r="C1906" s="236" t="s">
        <v>50</v>
      </c>
    </row>
    <row r="1907" spans="1:3">
      <c r="A1907" s="359" t="s">
        <v>60</v>
      </c>
      <c r="B1907" s="236">
        <v>2159900</v>
      </c>
      <c r="C1907" s="236" t="s">
        <v>50</v>
      </c>
    </row>
    <row r="1908" spans="1:3">
      <c r="A1908" s="359" t="s">
        <v>60</v>
      </c>
      <c r="B1908" s="236">
        <v>2159911</v>
      </c>
      <c r="C1908" s="236" t="s">
        <v>50</v>
      </c>
    </row>
    <row r="1909" spans="1:3">
      <c r="A1909" s="359" t="s">
        <v>60</v>
      </c>
      <c r="B1909" s="236">
        <v>2161351</v>
      </c>
      <c r="C1909" s="236" t="s">
        <v>50</v>
      </c>
    </row>
    <row r="1910" spans="1:3">
      <c r="A1910" s="359" t="s">
        <v>60</v>
      </c>
      <c r="B1910" s="236">
        <v>2161381</v>
      </c>
      <c r="C1910" s="236" t="s">
        <v>50</v>
      </c>
    </row>
    <row r="1911" spans="1:3">
      <c r="A1911" s="359" t="s">
        <v>60</v>
      </c>
      <c r="B1911" s="236">
        <v>2161740</v>
      </c>
      <c r="C1911" s="236" t="s">
        <v>50</v>
      </c>
    </row>
    <row r="1912" spans="1:3">
      <c r="A1912" s="359" t="s">
        <v>60</v>
      </c>
      <c r="B1912" s="236">
        <v>2161904</v>
      </c>
      <c r="C1912" s="236" t="s">
        <v>50</v>
      </c>
    </row>
    <row r="1913" spans="1:3">
      <c r="A1913" s="359" t="s">
        <v>60</v>
      </c>
      <c r="B1913" s="236">
        <v>2162072</v>
      </c>
      <c r="C1913" s="236" t="s">
        <v>50</v>
      </c>
    </row>
    <row r="1914" spans="1:3">
      <c r="A1914" s="359" t="s">
        <v>60</v>
      </c>
      <c r="B1914" s="236">
        <v>2164883</v>
      </c>
      <c r="C1914" s="236" t="s">
        <v>50</v>
      </c>
    </row>
    <row r="1915" spans="1:3">
      <c r="A1915" s="359" t="s">
        <v>60</v>
      </c>
      <c r="B1915" s="236">
        <v>2165863</v>
      </c>
      <c r="C1915" s="236" t="s">
        <v>50</v>
      </c>
    </row>
    <row r="1916" spans="1:3">
      <c r="A1916" s="359" t="s">
        <v>60</v>
      </c>
      <c r="B1916" s="236">
        <v>2169047</v>
      </c>
      <c r="C1916" s="236" t="s">
        <v>50</v>
      </c>
    </row>
    <row r="1917" spans="1:3">
      <c r="A1917" s="359" t="s">
        <v>60</v>
      </c>
      <c r="B1917" s="236">
        <v>2170617</v>
      </c>
      <c r="C1917" s="236" t="s">
        <v>50</v>
      </c>
    </row>
    <row r="1918" spans="1:3">
      <c r="A1918" s="359" t="s">
        <v>60</v>
      </c>
      <c r="B1918" s="236">
        <v>2170647</v>
      </c>
      <c r="C1918" s="236" t="s">
        <v>50</v>
      </c>
    </row>
    <row r="1919" spans="1:3">
      <c r="A1919" s="359" t="s">
        <v>60</v>
      </c>
      <c r="B1919" s="236">
        <v>2170661</v>
      </c>
      <c r="C1919" s="236" t="s">
        <v>50</v>
      </c>
    </row>
    <row r="1920" spans="1:3">
      <c r="A1920" s="361" t="s">
        <v>60</v>
      </c>
      <c r="B1920" s="211">
        <v>2174070</v>
      </c>
      <c r="C1920" s="211" t="s">
        <v>50</v>
      </c>
    </row>
    <row r="1921" spans="1:3">
      <c r="A1921" s="359" t="s">
        <v>60</v>
      </c>
      <c r="B1921" s="236">
        <v>2174087</v>
      </c>
      <c r="C1921" s="236" t="s">
        <v>50</v>
      </c>
    </row>
    <row r="1922" spans="1:3">
      <c r="A1922" s="359" t="s">
        <v>60</v>
      </c>
      <c r="B1922" s="236">
        <v>2174611</v>
      </c>
      <c r="C1922" s="236" t="s">
        <v>50</v>
      </c>
    </row>
    <row r="1923" spans="1:3">
      <c r="A1923" s="359" t="s">
        <v>60</v>
      </c>
      <c r="B1923" s="236">
        <v>2174639</v>
      </c>
      <c r="C1923" s="236" t="s">
        <v>50</v>
      </c>
    </row>
    <row r="1924" spans="1:3">
      <c r="A1924" s="359" t="s">
        <v>60</v>
      </c>
      <c r="B1924" s="236">
        <v>2174640</v>
      </c>
      <c r="C1924" s="236" t="s">
        <v>50</v>
      </c>
    </row>
    <row r="1925" spans="1:3">
      <c r="A1925" s="359" t="s">
        <v>60</v>
      </c>
      <c r="B1925" s="236">
        <v>2178143</v>
      </c>
      <c r="C1925" s="236" t="s">
        <v>50</v>
      </c>
    </row>
    <row r="1926" spans="1:3">
      <c r="A1926" s="359" t="s">
        <v>60</v>
      </c>
      <c r="B1926" s="236">
        <v>2179656</v>
      </c>
      <c r="C1926" s="236" t="s">
        <v>50</v>
      </c>
    </row>
    <row r="1927" spans="1:3">
      <c r="A1927" s="359" t="s">
        <v>60</v>
      </c>
      <c r="B1927" s="236">
        <v>2181020</v>
      </c>
      <c r="C1927" s="236" t="s">
        <v>50</v>
      </c>
    </row>
    <row r="1928" spans="1:3">
      <c r="A1928" s="359" t="s">
        <v>60</v>
      </c>
      <c r="B1928" s="236">
        <v>2181028</v>
      </c>
      <c r="C1928" s="236" t="s">
        <v>50</v>
      </c>
    </row>
    <row r="1929" spans="1:3">
      <c r="A1929" s="359" t="s">
        <v>60</v>
      </c>
      <c r="B1929" s="236">
        <v>2181848</v>
      </c>
      <c r="C1929" s="236" t="s">
        <v>50</v>
      </c>
    </row>
    <row r="1930" spans="1:3">
      <c r="A1930" s="359" t="s">
        <v>60</v>
      </c>
      <c r="B1930" s="236">
        <v>2183220</v>
      </c>
      <c r="C1930" s="236" t="s">
        <v>50</v>
      </c>
    </row>
    <row r="1931" spans="1:3">
      <c r="A1931" s="359" t="s">
        <v>60</v>
      </c>
      <c r="B1931" s="236">
        <v>2185347</v>
      </c>
      <c r="C1931" s="236" t="s">
        <v>50</v>
      </c>
    </row>
    <row r="1932" spans="1:3">
      <c r="A1932" s="359" t="s">
        <v>60</v>
      </c>
      <c r="B1932" s="236">
        <v>2185875</v>
      </c>
      <c r="C1932" s="236" t="s">
        <v>50</v>
      </c>
    </row>
    <row r="1933" spans="1:3">
      <c r="A1933" s="359" t="s">
        <v>60</v>
      </c>
      <c r="B1933" s="236">
        <v>2187032</v>
      </c>
      <c r="C1933" s="236" t="s">
        <v>50</v>
      </c>
    </row>
    <row r="1934" spans="1:3">
      <c r="A1934" s="359" t="s">
        <v>60</v>
      </c>
      <c r="B1934" s="236">
        <v>2188477</v>
      </c>
      <c r="C1934" s="236" t="s">
        <v>50</v>
      </c>
    </row>
    <row r="1935" spans="1:3">
      <c r="A1935" s="359" t="s">
        <v>60</v>
      </c>
      <c r="B1935" s="236">
        <v>2191762</v>
      </c>
      <c r="C1935" s="236" t="s">
        <v>50</v>
      </c>
    </row>
    <row r="1936" spans="1:3">
      <c r="A1936" s="359" t="s">
        <v>60</v>
      </c>
      <c r="B1936" s="236">
        <v>2195589</v>
      </c>
      <c r="C1936" s="236" t="s">
        <v>50</v>
      </c>
    </row>
    <row r="1937" spans="1:3">
      <c r="A1937" s="361" t="s">
        <v>60</v>
      </c>
      <c r="B1937" s="211">
        <v>2195590</v>
      </c>
      <c r="C1937" s="211" t="s">
        <v>50</v>
      </c>
    </row>
    <row r="1938" spans="1:3">
      <c r="A1938" s="361" t="s">
        <v>60</v>
      </c>
      <c r="B1938" s="211">
        <v>2196718</v>
      </c>
      <c r="C1938" s="211" t="s">
        <v>50</v>
      </c>
    </row>
    <row r="1939" spans="1:3">
      <c r="A1939" s="359" t="s">
        <v>60</v>
      </c>
      <c r="B1939" s="236">
        <v>2198721</v>
      </c>
      <c r="C1939" s="236" t="s">
        <v>50</v>
      </c>
    </row>
    <row r="1940" spans="1:3">
      <c r="A1940" s="359" t="s">
        <v>60</v>
      </c>
      <c r="B1940" s="236">
        <v>2198883</v>
      </c>
      <c r="C1940" s="236" t="s">
        <v>50</v>
      </c>
    </row>
    <row r="1941" spans="1:3">
      <c r="A1941" s="359" t="s">
        <v>60</v>
      </c>
      <c r="B1941" s="236">
        <v>2200361</v>
      </c>
      <c r="C1941" s="236" t="s">
        <v>50</v>
      </c>
    </row>
    <row r="1942" spans="1:3">
      <c r="A1942" s="359" t="s">
        <v>60</v>
      </c>
      <c r="B1942" s="236">
        <v>2200569</v>
      </c>
      <c r="C1942" s="236" t="s">
        <v>50</v>
      </c>
    </row>
    <row r="1943" spans="1:3">
      <c r="A1943" s="359" t="s">
        <v>60</v>
      </c>
      <c r="B1943" s="236">
        <v>2202102</v>
      </c>
      <c r="C1943" s="236" t="s">
        <v>50</v>
      </c>
    </row>
    <row r="1944" spans="1:3">
      <c r="A1944" s="359" t="s">
        <v>60</v>
      </c>
      <c r="B1944" s="236">
        <v>2202490</v>
      </c>
      <c r="C1944" s="236" t="s">
        <v>50</v>
      </c>
    </row>
    <row r="1945" spans="1:3">
      <c r="A1945" s="359" t="s">
        <v>60</v>
      </c>
      <c r="B1945" s="236">
        <v>2205652</v>
      </c>
      <c r="C1945" s="236" t="s">
        <v>50</v>
      </c>
    </row>
    <row r="1946" spans="1:3">
      <c r="A1946" s="359" t="s">
        <v>60</v>
      </c>
      <c r="B1946" s="236">
        <v>2205653</v>
      </c>
      <c r="C1946" s="236" t="s">
        <v>50</v>
      </c>
    </row>
    <row r="1947" spans="1:3">
      <c r="A1947" s="359" t="s">
        <v>60</v>
      </c>
      <c r="B1947" s="236">
        <v>2213265</v>
      </c>
      <c r="C1947" s="236" t="s">
        <v>50</v>
      </c>
    </row>
    <row r="1948" spans="1:3">
      <c r="A1948" s="361" t="s">
        <v>60</v>
      </c>
      <c r="B1948" s="211">
        <v>2213813</v>
      </c>
      <c r="C1948" s="211" t="s">
        <v>50</v>
      </c>
    </row>
    <row r="1949" spans="1:3">
      <c r="A1949" s="361" t="s">
        <v>60</v>
      </c>
      <c r="B1949" s="211">
        <v>2213829</v>
      </c>
      <c r="C1949" s="211" t="s">
        <v>50</v>
      </c>
    </row>
    <row r="1950" spans="1:3">
      <c r="A1950" s="359" t="s">
        <v>60</v>
      </c>
      <c r="B1950" s="236">
        <v>2213861</v>
      </c>
      <c r="C1950" s="236" t="s">
        <v>50</v>
      </c>
    </row>
    <row r="1951" spans="1:3">
      <c r="A1951" s="361" t="s">
        <v>60</v>
      </c>
      <c r="B1951" s="211">
        <v>2217081</v>
      </c>
      <c r="C1951" s="211" t="s">
        <v>50</v>
      </c>
    </row>
    <row r="1952" spans="1:3">
      <c r="A1952" s="359" t="s">
        <v>60</v>
      </c>
      <c r="B1952" s="236">
        <v>2217086</v>
      </c>
      <c r="C1952" s="236" t="s">
        <v>50</v>
      </c>
    </row>
    <row r="1953" spans="1:3">
      <c r="A1953" s="361" t="s">
        <v>60</v>
      </c>
      <c r="B1953" s="211">
        <v>2217116</v>
      </c>
      <c r="C1953" s="211" t="s">
        <v>50</v>
      </c>
    </row>
    <row r="1954" spans="1:3">
      <c r="A1954" s="361" t="s">
        <v>60</v>
      </c>
      <c r="B1954" s="211">
        <v>2217646</v>
      </c>
      <c r="C1954" s="211" t="s">
        <v>50</v>
      </c>
    </row>
    <row r="1955" spans="1:3">
      <c r="A1955" s="359" t="s">
        <v>60</v>
      </c>
      <c r="B1955" s="236">
        <v>2223472</v>
      </c>
      <c r="C1955" s="236" t="s">
        <v>50</v>
      </c>
    </row>
    <row r="1956" spans="1:3">
      <c r="A1956" s="361" t="s">
        <v>60</v>
      </c>
      <c r="B1956" s="211">
        <v>2231207</v>
      </c>
      <c r="C1956" s="211" t="s">
        <v>50</v>
      </c>
    </row>
    <row r="1957" spans="1:3">
      <c r="A1957" s="361" t="s">
        <v>60</v>
      </c>
      <c r="B1957" s="211">
        <v>2244073</v>
      </c>
      <c r="C1957" s="211" t="s">
        <v>50</v>
      </c>
    </row>
    <row r="1958" spans="1:3">
      <c r="A1958" s="359" t="s">
        <v>60</v>
      </c>
      <c r="B1958" s="236">
        <v>2248707</v>
      </c>
      <c r="C1958" s="236" t="s">
        <v>50</v>
      </c>
    </row>
    <row r="1959" spans="1:3">
      <c r="A1959" s="361" t="s">
        <v>60</v>
      </c>
      <c r="B1959" s="211">
        <v>2248708</v>
      </c>
      <c r="C1959" s="211" t="s">
        <v>50</v>
      </c>
    </row>
    <row r="1960" spans="1:3">
      <c r="A1960" s="359" t="s">
        <v>60</v>
      </c>
      <c r="B1960" s="236">
        <v>2251754</v>
      </c>
      <c r="C1960" s="236" t="s">
        <v>50</v>
      </c>
    </row>
    <row r="1961" spans="1:3">
      <c r="A1961" s="361" t="s">
        <v>60</v>
      </c>
      <c r="B1961" s="211">
        <v>2257684</v>
      </c>
      <c r="C1961" s="211" t="s">
        <v>50</v>
      </c>
    </row>
    <row r="1962" spans="1:3">
      <c r="A1962" s="361" t="s">
        <v>60</v>
      </c>
      <c r="B1962" s="211">
        <v>2261612</v>
      </c>
      <c r="C1962" s="211" t="s">
        <v>50</v>
      </c>
    </row>
    <row r="1963" spans="1:3">
      <c r="A1963" s="361" t="s">
        <v>60</v>
      </c>
      <c r="B1963" s="211">
        <v>2262604</v>
      </c>
      <c r="C1963" s="211" t="s">
        <v>50</v>
      </c>
    </row>
    <row r="1964" spans="1:3">
      <c r="A1964" s="361" t="s">
        <v>60</v>
      </c>
      <c r="B1964" s="211">
        <v>2265562</v>
      </c>
      <c r="C1964" s="211" t="s">
        <v>50</v>
      </c>
    </row>
    <row r="1965" spans="1:3">
      <c r="A1965" s="361" t="s">
        <v>60</v>
      </c>
      <c r="B1965" s="211">
        <v>2265938</v>
      </c>
      <c r="C1965" s="211" t="s">
        <v>50</v>
      </c>
    </row>
    <row r="1966" spans="1:3">
      <c r="A1966" s="359" t="s">
        <v>60</v>
      </c>
      <c r="B1966" s="236">
        <v>2267588</v>
      </c>
      <c r="C1966" s="236" t="s">
        <v>50</v>
      </c>
    </row>
    <row r="1967" spans="1:3">
      <c r="A1967" s="361" t="s">
        <v>60</v>
      </c>
      <c r="B1967" s="211">
        <v>2268330</v>
      </c>
      <c r="C1967" s="211" t="s">
        <v>50</v>
      </c>
    </row>
    <row r="1968" spans="1:3">
      <c r="A1968" s="361" t="s">
        <v>60</v>
      </c>
      <c r="B1968" s="211">
        <v>2268345</v>
      </c>
      <c r="C1968" s="211" t="s">
        <v>50</v>
      </c>
    </row>
    <row r="1969" spans="1:3">
      <c r="A1969" s="361" t="s">
        <v>60</v>
      </c>
      <c r="B1969" s="211">
        <v>2269669</v>
      </c>
      <c r="C1969" s="211" t="s">
        <v>50</v>
      </c>
    </row>
    <row r="1970" spans="1:3">
      <c r="A1970" s="361" t="s">
        <v>60</v>
      </c>
      <c r="B1970" s="211">
        <v>2273614</v>
      </c>
      <c r="C1970" s="211" t="s">
        <v>50</v>
      </c>
    </row>
    <row r="1971" spans="1:3">
      <c r="A1971" s="361" t="s">
        <v>60</v>
      </c>
      <c r="B1971" s="211">
        <v>2273615</v>
      </c>
      <c r="C1971" s="211" t="s">
        <v>50</v>
      </c>
    </row>
    <row r="1972" spans="1:3">
      <c r="A1972" s="361" t="s">
        <v>60</v>
      </c>
      <c r="B1972" s="211">
        <v>2277843</v>
      </c>
      <c r="C1972" s="211" t="s">
        <v>50</v>
      </c>
    </row>
    <row r="1973" spans="1:3">
      <c r="A1973" s="361" t="s">
        <v>60</v>
      </c>
      <c r="B1973" s="211">
        <v>2278200</v>
      </c>
      <c r="C1973" s="211" t="s">
        <v>50</v>
      </c>
    </row>
    <row r="1974" spans="1:3">
      <c r="A1974" s="361" t="s">
        <v>60</v>
      </c>
      <c r="B1974" s="211">
        <v>2279704</v>
      </c>
      <c r="C1974" s="211" t="s">
        <v>50</v>
      </c>
    </row>
    <row r="1975" spans="1:3">
      <c r="A1975" s="361" t="s">
        <v>60</v>
      </c>
      <c r="B1975" s="211">
        <v>2280584</v>
      </c>
      <c r="C1975" s="211" t="s">
        <v>50</v>
      </c>
    </row>
    <row r="1976" spans="1:3">
      <c r="A1976" s="361" t="s">
        <v>60</v>
      </c>
      <c r="B1976" s="211">
        <v>2281153</v>
      </c>
      <c r="C1976" s="211" t="s">
        <v>50</v>
      </c>
    </row>
    <row r="1977" spans="1:3">
      <c r="A1977" s="361" t="s">
        <v>60</v>
      </c>
      <c r="B1977" s="211">
        <v>2291393</v>
      </c>
      <c r="C1977" s="211" t="s">
        <v>50</v>
      </c>
    </row>
    <row r="1978" spans="1:3">
      <c r="A1978" s="361" t="s">
        <v>60</v>
      </c>
      <c r="B1978" s="211">
        <v>2291394</v>
      </c>
      <c r="C1978" s="211" t="s">
        <v>50</v>
      </c>
    </row>
    <row r="1979" spans="1:3">
      <c r="A1979" s="361" t="s">
        <v>60</v>
      </c>
      <c r="B1979" s="211">
        <v>2292598</v>
      </c>
      <c r="C1979" s="211" t="s">
        <v>50</v>
      </c>
    </row>
    <row r="1980" spans="1:3">
      <c r="A1980" s="361" t="s">
        <v>60</v>
      </c>
      <c r="B1980" s="211">
        <v>2292599</v>
      </c>
      <c r="C1980" s="211" t="s">
        <v>50</v>
      </c>
    </row>
    <row r="1981" spans="1:3">
      <c r="A1981" s="361" t="s">
        <v>60</v>
      </c>
      <c r="B1981" s="211">
        <v>2294466</v>
      </c>
      <c r="C1981" s="211" t="s">
        <v>50</v>
      </c>
    </row>
    <row r="1982" spans="1:3">
      <c r="A1982" s="361" t="s">
        <v>60</v>
      </c>
      <c r="B1982" s="211">
        <v>2295852</v>
      </c>
      <c r="C1982" s="211" t="s">
        <v>50</v>
      </c>
    </row>
    <row r="1983" spans="1:3">
      <c r="A1983" s="361" t="s">
        <v>60</v>
      </c>
      <c r="B1983" s="211">
        <v>2304346</v>
      </c>
      <c r="C1983" s="211" t="s">
        <v>50</v>
      </c>
    </row>
    <row r="1984" spans="1:3">
      <c r="A1984" s="361" t="s">
        <v>60</v>
      </c>
      <c r="B1984" s="211">
        <v>2316029</v>
      </c>
      <c r="C1984" s="211" t="s">
        <v>50</v>
      </c>
    </row>
    <row r="1985" spans="1:3">
      <c r="A1985" s="361" t="s">
        <v>60</v>
      </c>
      <c r="B1985" s="211">
        <v>2317311</v>
      </c>
      <c r="C1985" s="211" t="s">
        <v>50</v>
      </c>
    </row>
    <row r="1986" spans="1:3">
      <c r="A1986" s="361" t="s">
        <v>60</v>
      </c>
      <c r="B1986" s="211">
        <v>2327044</v>
      </c>
      <c r="C1986" s="211" t="s">
        <v>50</v>
      </c>
    </row>
    <row r="1987" spans="1:3">
      <c r="A1987" s="361" t="s">
        <v>60</v>
      </c>
      <c r="B1987" s="211">
        <v>2328821</v>
      </c>
      <c r="C1987" s="211" t="s">
        <v>50</v>
      </c>
    </row>
    <row r="1988" spans="1:3">
      <c r="A1988" s="361" t="s">
        <v>60</v>
      </c>
      <c r="B1988" s="211">
        <v>2330790</v>
      </c>
      <c r="C1988" s="211" t="s">
        <v>50</v>
      </c>
    </row>
    <row r="1989" spans="1:3">
      <c r="A1989" s="361" t="s">
        <v>60</v>
      </c>
      <c r="B1989" s="211">
        <v>2332175</v>
      </c>
      <c r="C1989" s="211" t="s">
        <v>50</v>
      </c>
    </row>
    <row r="1990" spans="1:3">
      <c r="A1990" s="361" t="s">
        <v>60</v>
      </c>
      <c r="B1990" s="211">
        <v>2334673</v>
      </c>
      <c r="C1990" s="211" t="s">
        <v>50</v>
      </c>
    </row>
    <row r="1991" spans="1:3">
      <c r="A1991" s="361" t="s">
        <v>60</v>
      </c>
      <c r="B1991" s="211">
        <v>2339859</v>
      </c>
      <c r="C1991" s="211" t="s">
        <v>50</v>
      </c>
    </row>
    <row r="1992" spans="1:3">
      <c r="A1992" s="361" t="s">
        <v>60</v>
      </c>
      <c r="B1992" s="211">
        <v>2349220</v>
      </c>
      <c r="C1992" s="211" t="s">
        <v>50</v>
      </c>
    </row>
    <row r="1993" spans="1:3">
      <c r="A1993" s="361" t="s">
        <v>60</v>
      </c>
      <c r="B1993" s="211">
        <v>2349738</v>
      </c>
      <c r="C1993" s="211" t="s">
        <v>50</v>
      </c>
    </row>
    <row r="1994" spans="1:3">
      <c r="A1994" s="361" t="s">
        <v>60</v>
      </c>
      <c r="B1994" s="211">
        <v>2363182</v>
      </c>
      <c r="C1994" s="211" t="s">
        <v>50</v>
      </c>
    </row>
    <row r="1995" spans="1:3">
      <c r="A1995" s="361" t="s">
        <v>60</v>
      </c>
      <c r="B1995" s="211">
        <v>2363183</v>
      </c>
      <c r="C1995" s="211" t="s">
        <v>50</v>
      </c>
    </row>
    <row r="1996" spans="1:3">
      <c r="A1996" s="361" t="s">
        <v>60</v>
      </c>
      <c r="B1996" s="211">
        <v>2384649</v>
      </c>
      <c r="C1996" s="211" t="s">
        <v>50</v>
      </c>
    </row>
    <row r="1997" spans="1:3">
      <c r="A1997" s="361" t="s">
        <v>60</v>
      </c>
      <c r="B1997" s="211">
        <v>2407749</v>
      </c>
      <c r="C1997" s="211" t="s">
        <v>50</v>
      </c>
    </row>
    <row r="1998" spans="1:3">
      <c r="A1998" s="361" t="s">
        <v>60</v>
      </c>
      <c r="B1998" s="211">
        <v>2410573</v>
      </c>
      <c r="C1998" s="211" t="s">
        <v>50</v>
      </c>
    </row>
    <row r="1999" spans="1:3">
      <c r="A1999" s="361" t="s">
        <v>60</v>
      </c>
      <c r="B1999" s="211">
        <v>2410579</v>
      </c>
      <c r="C1999" s="211" t="s">
        <v>50</v>
      </c>
    </row>
    <row r="2000" spans="1:3">
      <c r="A2000" s="361" t="s">
        <v>60</v>
      </c>
      <c r="B2000" s="211">
        <v>2416862</v>
      </c>
      <c r="C2000" s="211" t="s">
        <v>50</v>
      </c>
    </row>
    <row r="2001" spans="1:3">
      <c r="A2001" s="361" t="s">
        <v>60</v>
      </c>
      <c r="B2001" s="211">
        <v>2427634</v>
      </c>
      <c r="C2001" s="211" t="s">
        <v>50</v>
      </c>
    </row>
    <row r="2002" spans="1:3">
      <c r="A2002" s="361" t="s">
        <v>60</v>
      </c>
      <c r="B2002" s="211">
        <v>2434180</v>
      </c>
      <c r="C2002" s="211" t="s">
        <v>50</v>
      </c>
    </row>
    <row r="2003" spans="1:3">
      <c r="A2003" s="361" t="s">
        <v>60</v>
      </c>
      <c r="B2003" s="211">
        <v>2439848</v>
      </c>
      <c r="C2003" s="211" t="s">
        <v>50</v>
      </c>
    </row>
    <row r="2004" spans="1:3">
      <c r="A2004" s="361" t="s">
        <v>60</v>
      </c>
      <c r="B2004" s="211">
        <v>2453512</v>
      </c>
      <c r="C2004" s="211" t="s">
        <v>50</v>
      </c>
    </row>
    <row r="2005" spans="1:3">
      <c r="A2005" s="361" t="s">
        <v>60</v>
      </c>
      <c r="B2005" s="211">
        <v>2457416</v>
      </c>
      <c r="C2005" s="211" t="s">
        <v>50</v>
      </c>
    </row>
    <row r="2006" spans="1:3">
      <c r="A2006" s="361" t="s">
        <v>60</v>
      </c>
      <c r="B2006" s="211">
        <v>2468947</v>
      </c>
      <c r="C2006" s="211" t="s">
        <v>50</v>
      </c>
    </row>
    <row r="2007" spans="1:3">
      <c r="A2007" s="361" t="s">
        <v>60</v>
      </c>
      <c r="B2007" s="211">
        <v>2470559</v>
      </c>
      <c r="C2007" s="211" t="s">
        <v>50</v>
      </c>
    </row>
    <row r="2008" spans="1:3">
      <c r="A2008" s="361" t="s">
        <v>60</v>
      </c>
      <c r="B2008" s="211">
        <v>2474956</v>
      </c>
      <c r="C2008" s="211" t="s">
        <v>50</v>
      </c>
    </row>
    <row r="2009" spans="1:3">
      <c r="A2009" s="361" t="s">
        <v>60</v>
      </c>
      <c r="B2009" s="211">
        <v>2476766</v>
      </c>
      <c r="C2009" s="211" t="s">
        <v>50</v>
      </c>
    </row>
    <row r="2010" spans="1:3">
      <c r="A2010" s="361" t="s">
        <v>60</v>
      </c>
      <c r="B2010" s="211">
        <v>2482378</v>
      </c>
      <c r="C2010" s="211" t="s">
        <v>50</v>
      </c>
    </row>
    <row r="2011" spans="1:3">
      <c r="A2011" s="361" t="s">
        <v>60</v>
      </c>
      <c r="B2011" s="211">
        <v>2484532</v>
      </c>
      <c r="C2011" s="211" t="s">
        <v>50</v>
      </c>
    </row>
    <row r="2012" spans="1:3">
      <c r="A2012" s="361" t="s">
        <v>60</v>
      </c>
      <c r="B2012" s="211">
        <v>2484533</v>
      </c>
      <c r="C2012" s="211" t="s">
        <v>50</v>
      </c>
    </row>
    <row r="2013" spans="1:3">
      <c r="A2013" s="361" t="s">
        <v>60</v>
      </c>
      <c r="B2013" s="211">
        <v>2485969</v>
      </c>
      <c r="C2013" s="211" t="s">
        <v>50</v>
      </c>
    </row>
    <row r="2014" spans="1:3">
      <c r="A2014" s="361" t="s">
        <v>60</v>
      </c>
      <c r="B2014" s="211">
        <v>2485993</v>
      </c>
      <c r="C2014" s="211" t="s">
        <v>50</v>
      </c>
    </row>
    <row r="2015" spans="1:3">
      <c r="A2015" s="361" t="s">
        <v>60</v>
      </c>
      <c r="B2015" s="211">
        <v>2493173</v>
      </c>
      <c r="C2015" s="211" t="s">
        <v>50</v>
      </c>
    </row>
    <row r="2016" spans="1:3">
      <c r="A2016" s="361" t="s">
        <v>60</v>
      </c>
      <c r="B2016" s="211">
        <v>2507285</v>
      </c>
      <c r="C2016" s="211" t="s">
        <v>50</v>
      </c>
    </row>
    <row r="2017" spans="1:3">
      <c r="A2017" s="361" t="s">
        <v>60</v>
      </c>
      <c r="B2017" s="211">
        <v>2519937</v>
      </c>
      <c r="C2017" s="211" t="s">
        <v>50</v>
      </c>
    </row>
    <row r="2018" spans="1:3">
      <c r="A2018" s="361" t="s">
        <v>60</v>
      </c>
      <c r="B2018" s="211">
        <v>2522271</v>
      </c>
      <c r="C2018" s="211" t="s">
        <v>50</v>
      </c>
    </row>
    <row r="2019" spans="1:3">
      <c r="A2019" s="361" t="s">
        <v>60</v>
      </c>
      <c r="B2019" s="211">
        <v>2524514</v>
      </c>
      <c r="C2019" s="211" t="s">
        <v>50</v>
      </c>
    </row>
    <row r="2020" spans="1:3">
      <c r="A2020" s="361" t="s">
        <v>60</v>
      </c>
      <c r="B2020" s="211">
        <v>2526026</v>
      </c>
      <c r="C2020" s="211" t="s">
        <v>50</v>
      </c>
    </row>
    <row r="2021" spans="1:3">
      <c r="A2021" s="361" t="s">
        <v>60</v>
      </c>
      <c r="B2021" s="211">
        <v>2546508</v>
      </c>
      <c r="C2021" s="211" t="s">
        <v>50</v>
      </c>
    </row>
    <row r="2022" spans="1:3">
      <c r="A2022" s="361" t="s">
        <v>60</v>
      </c>
      <c r="B2022" s="211">
        <v>2548107</v>
      </c>
      <c r="C2022" s="211" t="s">
        <v>50</v>
      </c>
    </row>
    <row r="2023" spans="1:3">
      <c r="A2023" s="361" t="s">
        <v>60</v>
      </c>
      <c r="B2023" s="211">
        <v>2548627</v>
      </c>
      <c r="C2023" s="211" t="s">
        <v>50</v>
      </c>
    </row>
    <row r="2024" spans="1:3">
      <c r="A2024" s="361" t="s">
        <v>60</v>
      </c>
      <c r="B2024" s="211">
        <v>2548840</v>
      </c>
      <c r="C2024" s="211" t="s">
        <v>50</v>
      </c>
    </row>
    <row r="2025" spans="1:3">
      <c r="A2025" s="361" t="s">
        <v>60</v>
      </c>
      <c r="B2025" s="211">
        <v>2558296</v>
      </c>
      <c r="C2025" s="211" t="s">
        <v>50</v>
      </c>
    </row>
    <row r="2026" spans="1:3">
      <c r="A2026" s="361" t="s">
        <v>60</v>
      </c>
      <c r="B2026" s="211">
        <v>2558297</v>
      </c>
      <c r="C2026" s="211" t="s">
        <v>50</v>
      </c>
    </row>
    <row r="2027" spans="1:3">
      <c r="A2027" s="361" t="s">
        <v>60</v>
      </c>
      <c r="B2027" s="211">
        <v>2586029</v>
      </c>
      <c r="C2027" s="211" t="s">
        <v>50</v>
      </c>
    </row>
    <row r="2028" spans="1:3">
      <c r="A2028" s="361" t="s">
        <v>60</v>
      </c>
      <c r="B2028" s="211">
        <v>2588665</v>
      </c>
      <c r="C2028" s="211" t="s">
        <v>50</v>
      </c>
    </row>
    <row r="2029" spans="1:3">
      <c r="A2029" s="361" t="s">
        <v>60</v>
      </c>
      <c r="B2029" s="211">
        <v>2594506</v>
      </c>
      <c r="C2029" s="211" t="s">
        <v>50</v>
      </c>
    </row>
    <row r="2030" spans="1:3">
      <c r="A2030" s="361" t="s">
        <v>60</v>
      </c>
      <c r="B2030" s="211">
        <v>2597835</v>
      </c>
      <c r="C2030" s="211" t="s">
        <v>50</v>
      </c>
    </row>
    <row r="2031" spans="1:3">
      <c r="A2031" s="361" t="s">
        <v>60</v>
      </c>
      <c r="B2031" s="211">
        <v>2608236</v>
      </c>
      <c r="C2031" s="211" t="s">
        <v>50</v>
      </c>
    </row>
    <row r="2032" spans="1:3">
      <c r="A2032" s="361" t="s">
        <v>60</v>
      </c>
      <c r="B2032" s="211">
        <v>2618734</v>
      </c>
      <c r="C2032" s="211" t="s">
        <v>50</v>
      </c>
    </row>
    <row r="2033" spans="1:3">
      <c r="A2033" s="361" t="s">
        <v>60</v>
      </c>
      <c r="B2033" s="211">
        <v>2625438</v>
      </c>
      <c r="C2033" s="211" t="s">
        <v>50</v>
      </c>
    </row>
    <row r="2034" spans="1:3">
      <c r="A2034" s="361" t="s">
        <v>60</v>
      </c>
      <c r="B2034" s="211">
        <v>2625439</v>
      </c>
      <c r="C2034" s="211" t="s">
        <v>50</v>
      </c>
    </row>
    <row r="2035" spans="1:3">
      <c r="A2035" s="361" t="s">
        <v>60</v>
      </c>
      <c r="B2035" s="211">
        <v>2631894</v>
      </c>
      <c r="C2035" s="211" t="s">
        <v>50</v>
      </c>
    </row>
    <row r="2036" spans="1:3">
      <c r="A2036" s="361" t="s">
        <v>60</v>
      </c>
      <c r="B2036" s="211">
        <v>2631895</v>
      </c>
      <c r="C2036" s="211" t="s">
        <v>50</v>
      </c>
    </row>
    <row r="2037" spans="1:3">
      <c r="A2037" s="361" t="s">
        <v>60</v>
      </c>
      <c r="B2037" s="211">
        <v>2643445</v>
      </c>
      <c r="C2037" s="211" t="s">
        <v>50</v>
      </c>
    </row>
    <row r="2038" spans="1:3">
      <c r="A2038" s="361" t="s">
        <v>60</v>
      </c>
      <c r="B2038" s="211">
        <v>2647422</v>
      </c>
      <c r="C2038" s="211" t="s">
        <v>50</v>
      </c>
    </row>
    <row r="2039" spans="1:3">
      <c r="A2039" s="361" t="s">
        <v>60</v>
      </c>
      <c r="B2039" s="211">
        <v>2647423</v>
      </c>
      <c r="C2039" s="211" t="s">
        <v>50</v>
      </c>
    </row>
    <row r="2040" spans="1:3">
      <c r="A2040" s="361" t="s">
        <v>60</v>
      </c>
      <c r="B2040" s="211">
        <v>2649820</v>
      </c>
      <c r="C2040" s="211" t="s">
        <v>50</v>
      </c>
    </row>
    <row r="2041" spans="1:3">
      <c r="A2041" s="361" t="s">
        <v>60</v>
      </c>
      <c r="B2041" s="211">
        <v>2649886</v>
      </c>
      <c r="C2041" s="211" t="s">
        <v>50</v>
      </c>
    </row>
    <row r="2042" spans="1:3">
      <c r="A2042" s="361" t="s">
        <v>60</v>
      </c>
      <c r="B2042" s="211">
        <v>2659407</v>
      </c>
      <c r="C2042" s="211" t="s">
        <v>50</v>
      </c>
    </row>
    <row r="2043" spans="1:3">
      <c r="A2043" s="361" t="s">
        <v>60</v>
      </c>
      <c r="B2043" s="211">
        <v>2669487</v>
      </c>
      <c r="C2043" s="211" t="s">
        <v>50</v>
      </c>
    </row>
    <row r="2044" spans="1:3">
      <c r="A2044" s="361" t="s">
        <v>60</v>
      </c>
      <c r="B2044" s="211">
        <v>2675848</v>
      </c>
      <c r="C2044" s="211" t="s">
        <v>50</v>
      </c>
    </row>
    <row r="2045" spans="1:3">
      <c r="A2045" s="361" t="s">
        <v>60</v>
      </c>
      <c r="B2045" s="211">
        <v>2675849</v>
      </c>
      <c r="C2045" s="211" t="s">
        <v>50</v>
      </c>
    </row>
    <row r="2046" spans="1:3">
      <c r="A2046" s="361" t="s">
        <v>60</v>
      </c>
      <c r="B2046" s="211">
        <v>2679304</v>
      </c>
      <c r="C2046" s="211" t="s">
        <v>50</v>
      </c>
    </row>
    <row r="2047" spans="1:3">
      <c r="A2047" s="361" t="s">
        <v>60</v>
      </c>
      <c r="B2047" s="211">
        <v>2684269</v>
      </c>
      <c r="C2047" s="211" t="s">
        <v>50</v>
      </c>
    </row>
    <row r="2048" spans="1:3">
      <c r="A2048" s="361" t="s">
        <v>60</v>
      </c>
      <c r="B2048" s="211">
        <v>2687161</v>
      </c>
      <c r="C2048" s="211" t="s">
        <v>50</v>
      </c>
    </row>
    <row r="2049" spans="1:3">
      <c r="A2049" s="361" t="s">
        <v>60</v>
      </c>
      <c r="B2049" s="211">
        <v>2693166</v>
      </c>
      <c r="C2049" s="211" t="s">
        <v>50</v>
      </c>
    </row>
    <row r="2050" spans="1:3">
      <c r="A2050" s="359" t="s">
        <v>61</v>
      </c>
      <c r="B2050" s="236">
        <v>1689892</v>
      </c>
    </row>
    <row r="2051" spans="1:3">
      <c r="A2051" s="359" t="s">
        <v>61</v>
      </c>
      <c r="B2051" s="236">
        <v>1732661</v>
      </c>
    </row>
    <row r="2052" spans="1:3">
      <c r="A2052" s="359" t="s">
        <v>61</v>
      </c>
      <c r="B2052" s="236">
        <v>1831323</v>
      </c>
    </row>
    <row r="2053" spans="1:3">
      <c r="A2053" s="359" t="s">
        <v>61</v>
      </c>
      <c r="B2053" s="236">
        <v>1864763</v>
      </c>
    </row>
    <row r="2054" spans="1:3">
      <c r="A2054" s="359" t="s">
        <v>61</v>
      </c>
      <c r="B2054" s="236">
        <v>1878316</v>
      </c>
    </row>
    <row r="2055" spans="1:3">
      <c r="A2055" s="359" t="s">
        <v>61</v>
      </c>
      <c r="B2055" s="236">
        <v>1883408</v>
      </c>
    </row>
    <row r="2056" spans="1:3">
      <c r="A2056" s="359" t="s">
        <v>61</v>
      </c>
      <c r="B2056" s="236">
        <v>1893611</v>
      </c>
    </row>
    <row r="2057" spans="1:3">
      <c r="A2057" s="359" t="s">
        <v>61</v>
      </c>
      <c r="B2057" s="236">
        <v>1896594</v>
      </c>
    </row>
    <row r="2058" spans="1:3">
      <c r="A2058" s="359" t="s">
        <v>61</v>
      </c>
      <c r="B2058" s="236">
        <v>1936913</v>
      </c>
    </row>
    <row r="2059" spans="1:3">
      <c r="A2059" s="359" t="s">
        <v>61</v>
      </c>
      <c r="B2059" s="236">
        <v>1950417</v>
      </c>
    </row>
    <row r="2060" spans="1:3">
      <c r="A2060" s="359" t="s">
        <v>61</v>
      </c>
      <c r="B2060" s="236">
        <v>1969164</v>
      </c>
    </row>
    <row r="2061" spans="1:3">
      <c r="A2061" s="359" t="s">
        <v>61</v>
      </c>
      <c r="B2061" s="236">
        <v>1976191</v>
      </c>
    </row>
    <row r="2062" spans="1:3">
      <c r="A2062" s="359" t="s">
        <v>61</v>
      </c>
      <c r="B2062" s="236">
        <v>1980309</v>
      </c>
    </row>
    <row r="2063" spans="1:3">
      <c r="A2063" s="359" t="s">
        <v>61</v>
      </c>
      <c r="B2063" s="236">
        <v>1991527</v>
      </c>
    </row>
    <row r="2064" spans="1:3">
      <c r="A2064" s="359" t="s">
        <v>61</v>
      </c>
      <c r="B2064" s="236">
        <v>1991528</v>
      </c>
    </row>
    <row r="2065" spans="1:2">
      <c r="A2065" s="359" t="s">
        <v>61</v>
      </c>
      <c r="B2065" s="236">
        <v>2037331</v>
      </c>
    </row>
    <row r="2066" spans="1:2">
      <c r="A2066" s="359" t="s">
        <v>61</v>
      </c>
      <c r="B2066" s="236">
        <v>2069252</v>
      </c>
    </row>
    <row r="2067" spans="1:2">
      <c r="A2067" s="359" t="s">
        <v>61</v>
      </c>
      <c r="B2067" s="236">
        <v>2077112</v>
      </c>
    </row>
    <row r="2068" spans="1:2">
      <c r="A2068" s="359" t="s">
        <v>61</v>
      </c>
      <c r="B2068" s="236">
        <v>2124703</v>
      </c>
    </row>
    <row r="2069" spans="1:2">
      <c r="A2069" s="359" t="s">
        <v>61</v>
      </c>
      <c r="B2069" s="236">
        <v>2154954</v>
      </c>
    </row>
    <row r="2070" spans="1:2">
      <c r="A2070" s="361" t="s">
        <v>61</v>
      </c>
      <c r="B2070" s="211">
        <v>2236397</v>
      </c>
    </row>
    <row r="2071" spans="1:2">
      <c r="A2071" s="361" t="s">
        <v>61</v>
      </c>
      <c r="B2071" s="211">
        <v>2236398</v>
      </c>
    </row>
    <row r="2072" spans="1:2">
      <c r="A2072" s="361" t="s">
        <v>61</v>
      </c>
      <c r="B2072" s="211">
        <v>2268002</v>
      </c>
    </row>
    <row r="2073" spans="1:2">
      <c r="A2073" s="361" t="s">
        <v>61</v>
      </c>
      <c r="B2073" s="211">
        <v>2268012</v>
      </c>
    </row>
    <row r="2074" spans="1:2">
      <c r="A2074" s="361" t="s">
        <v>61</v>
      </c>
      <c r="B2074" s="211">
        <v>2268022</v>
      </c>
    </row>
    <row r="2075" spans="1:2">
      <c r="A2075" s="361" t="s">
        <v>61</v>
      </c>
      <c r="B2075" s="211">
        <v>2275239</v>
      </c>
    </row>
    <row r="2076" spans="1:2">
      <c r="A2076" s="361" t="s">
        <v>61</v>
      </c>
      <c r="B2076" s="211">
        <v>2283420</v>
      </c>
    </row>
    <row r="2077" spans="1:2">
      <c r="A2077" s="361" t="s">
        <v>61</v>
      </c>
      <c r="B2077" s="211">
        <v>2294703</v>
      </c>
    </row>
    <row r="2078" spans="1:2">
      <c r="A2078" s="361" t="s">
        <v>61</v>
      </c>
      <c r="B2078" s="211">
        <v>2308595</v>
      </c>
    </row>
    <row r="2079" spans="1:2">
      <c r="A2079" s="361" t="s">
        <v>61</v>
      </c>
      <c r="B2079" s="211">
        <v>2319022</v>
      </c>
    </row>
    <row r="2080" spans="1:2">
      <c r="A2080" s="361" t="s">
        <v>61</v>
      </c>
      <c r="B2080" s="211">
        <v>2320513</v>
      </c>
    </row>
    <row r="2081" spans="1:2">
      <c r="A2081" s="361" t="s">
        <v>61</v>
      </c>
      <c r="B2081" s="211">
        <v>2344189</v>
      </c>
    </row>
    <row r="2082" spans="1:2">
      <c r="A2082" s="361" t="s">
        <v>61</v>
      </c>
      <c r="B2082" s="211">
        <v>2344807</v>
      </c>
    </row>
    <row r="2083" spans="1:2">
      <c r="A2083" s="361" t="s">
        <v>61</v>
      </c>
      <c r="B2083" s="211">
        <v>2347303</v>
      </c>
    </row>
    <row r="2084" spans="1:2">
      <c r="A2084" s="361" t="s">
        <v>61</v>
      </c>
      <c r="B2084" s="211">
        <v>2347304</v>
      </c>
    </row>
    <row r="2085" spans="1:2">
      <c r="A2085" s="361" t="s">
        <v>61</v>
      </c>
      <c r="B2085" s="211">
        <v>2373177</v>
      </c>
    </row>
    <row r="2086" spans="1:2">
      <c r="A2086" s="361" t="s">
        <v>61</v>
      </c>
      <c r="B2086" s="211">
        <v>2373211</v>
      </c>
    </row>
    <row r="2087" spans="1:2">
      <c r="A2087" s="361" t="s">
        <v>61</v>
      </c>
      <c r="B2087" s="211">
        <v>2373212</v>
      </c>
    </row>
    <row r="2088" spans="1:2">
      <c r="A2088" s="361" t="s">
        <v>61</v>
      </c>
      <c r="B2088" s="211">
        <v>2381653</v>
      </c>
    </row>
    <row r="2089" spans="1:2">
      <c r="A2089" s="361" t="s">
        <v>61</v>
      </c>
      <c r="B2089" s="211">
        <v>2387424</v>
      </c>
    </row>
    <row r="2090" spans="1:2">
      <c r="A2090" s="361" t="s">
        <v>61</v>
      </c>
      <c r="B2090" s="211">
        <v>2389794</v>
      </c>
    </row>
    <row r="2091" spans="1:2">
      <c r="A2091" s="361" t="s">
        <v>61</v>
      </c>
      <c r="B2091" s="211">
        <v>2389795</v>
      </c>
    </row>
    <row r="2092" spans="1:2">
      <c r="A2092" s="361" t="s">
        <v>61</v>
      </c>
      <c r="B2092" s="211">
        <v>2392346</v>
      </c>
    </row>
    <row r="2093" spans="1:2">
      <c r="A2093" s="361" t="s">
        <v>61</v>
      </c>
      <c r="B2093" s="211">
        <v>2394498</v>
      </c>
    </row>
    <row r="2094" spans="1:2">
      <c r="A2094" s="361" t="s">
        <v>61</v>
      </c>
      <c r="B2094" s="211">
        <v>2394499</v>
      </c>
    </row>
    <row r="2095" spans="1:2">
      <c r="A2095" s="361" t="s">
        <v>61</v>
      </c>
      <c r="B2095" s="211">
        <v>2394500</v>
      </c>
    </row>
    <row r="2096" spans="1:2">
      <c r="A2096" s="361" t="s">
        <v>61</v>
      </c>
      <c r="B2096" s="211">
        <v>2395360</v>
      </c>
    </row>
    <row r="2097" spans="1:2">
      <c r="A2097" s="361" t="s">
        <v>61</v>
      </c>
      <c r="B2097" s="211">
        <v>2395361</v>
      </c>
    </row>
    <row r="2098" spans="1:2">
      <c r="A2098" s="361" t="s">
        <v>61</v>
      </c>
      <c r="B2098" s="211">
        <v>2407623</v>
      </c>
    </row>
    <row r="2099" spans="1:2">
      <c r="A2099" s="361" t="s">
        <v>61</v>
      </c>
      <c r="B2099" s="211">
        <v>2411767</v>
      </c>
    </row>
    <row r="2100" spans="1:2">
      <c r="A2100" s="361" t="s">
        <v>61</v>
      </c>
      <c r="B2100" s="211">
        <v>2414006</v>
      </c>
    </row>
    <row r="2101" spans="1:2">
      <c r="A2101" s="361" t="s">
        <v>61</v>
      </c>
      <c r="B2101" s="211">
        <v>2419238</v>
      </c>
    </row>
    <row r="2102" spans="1:2">
      <c r="A2102" s="361" t="s">
        <v>61</v>
      </c>
      <c r="B2102" s="211">
        <v>2428901</v>
      </c>
    </row>
    <row r="2103" spans="1:2">
      <c r="A2103" s="361" t="s">
        <v>61</v>
      </c>
      <c r="B2103" s="211">
        <v>2431357</v>
      </c>
    </row>
    <row r="2104" spans="1:2">
      <c r="A2104" s="361" t="s">
        <v>61</v>
      </c>
      <c r="B2104" s="211">
        <v>2437369</v>
      </c>
    </row>
    <row r="2105" spans="1:2">
      <c r="A2105" s="361" t="s">
        <v>61</v>
      </c>
      <c r="B2105" s="211">
        <v>2441738</v>
      </c>
    </row>
    <row r="2106" spans="1:2">
      <c r="A2106" s="361" t="s">
        <v>61</v>
      </c>
      <c r="B2106" s="211">
        <v>2441739</v>
      </c>
    </row>
    <row r="2107" spans="1:2">
      <c r="A2107" s="361" t="s">
        <v>61</v>
      </c>
      <c r="B2107" s="211">
        <v>2443212</v>
      </c>
    </row>
    <row r="2108" spans="1:2">
      <c r="A2108" s="361" t="s">
        <v>61</v>
      </c>
      <c r="B2108" s="211">
        <v>2443284</v>
      </c>
    </row>
    <row r="2109" spans="1:2">
      <c r="A2109" s="361" t="s">
        <v>61</v>
      </c>
      <c r="B2109" s="211">
        <v>2455540</v>
      </c>
    </row>
    <row r="2110" spans="1:2">
      <c r="A2110" s="361" t="s">
        <v>61</v>
      </c>
      <c r="B2110" s="211">
        <v>2455541</v>
      </c>
    </row>
    <row r="2111" spans="1:2">
      <c r="A2111" s="361" t="s">
        <v>61</v>
      </c>
      <c r="B2111" s="211">
        <v>2456670</v>
      </c>
    </row>
    <row r="2112" spans="1:2">
      <c r="A2112" s="361" t="s">
        <v>61</v>
      </c>
      <c r="B2112" s="211">
        <v>2456671</v>
      </c>
    </row>
    <row r="2113" spans="1:3">
      <c r="A2113" s="361" t="s">
        <v>61</v>
      </c>
      <c r="B2113" s="211">
        <v>2460485</v>
      </c>
    </row>
    <row r="2114" spans="1:3">
      <c r="A2114" s="361" t="s">
        <v>61</v>
      </c>
      <c r="B2114" s="211">
        <v>2465243</v>
      </c>
    </row>
    <row r="2115" spans="1:3">
      <c r="A2115" s="361" t="s">
        <v>61</v>
      </c>
      <c r="B2115" s="211">
        <v>2468724</v>
      </c>
    </row>
    <row r="2116" spans="1:3">
      <c r="A2116" s="361" t="s">
        <v>61</v>
      </c>
      <c r="B2116" s="211">
        <v>2468989</v>
      </c>
    </row>
    <row r="2117" spans="1:3">
      <c r="A2117" s="361" t="s">
        <v>61</v>
      </c>
      <c r="B2117" s="211">
        <v>2479298</v>
      </c>
    </row>
    <row r="2118" spans="1:3">
      <c r="A2118" s="361" t="s">
        <v>61</v>
      </c>
      <c r="B2118" s="63">
        <v>2486232</v>
      </c>
    </row>
    <row r="2119" spans="1:3">
      <c r="A2119" s="361" t="s">
        <v>61</v>
      </c>
      <c r="B2119" s="63">
        <v>2510966</v>
      </c>
    </row>
    <row r="2120" spans="1:3">
      <c r="A2120" s="361" t="s">
        <v>61</v>
      </c>
      <c r="B2120" s="63">
        <v>2510967</v>
      </c>
    </row>
    <row r="2121" spans="1:3">
      <c r="A2121" s="361" t="s">
        <v>61</v>
      </c>
      <c r="B2121" s="63">
        <v>2576290</v>
      </c>
    </row>
    <row r="2122" spans="1:3">
      <c r="A2122" s="361" t="s">
        <v>61</v>
      </c>
      <c r="B2122" s="63">
        <v>2600818</v>
      </c>
    </row>
    <row r="2123" spans="1:3">
      <c r="A2123" s="361" t="s">
        <v>61</v>
      </c>
      <c r="B2123" s="63">
        <v>2613393</v>
      </c>
    </row>
    <row r="2124" spans="1:3">
      <c r="A2124" s="361" t="s">
        <v>61</v>
      </c>
      <c r="B2124" s="63">
        <v>2668799</v>
      </c>
    </row>
    <row r="2125" spans="1:3">
      <c r="A2125" s="361" t="s">
        <v>61</v>
      </c>
      <c r="B2125" s="63">
        <v>2671062</v>
      </c>
    </row>
    <row r="2126" spans="1:3">
      <c r="A2126" s="361" t="s">
        <v>61</v>
      </c>
      <c r="B2126" s="63">
        <v>2725363</v>
      </c>
    </row>
    <row r="2127" spans="1:3">
      <c r="A2127" s="359" t="s">
        <v>62</v>
      </c>
      <c r="B2127" s="236">
        <v>2150102</v>
      </c>
      <c r="C2127" s="236" t="s">
        <v>50</v>
      </c>
    </row>
    <row r="2128" spans="1:3">
      <c r="A2128" s="359" t="s">
        <v>62</v>
      </c>
      <c r="B2128" s="236">
        <v>2176227</v>
      </c>
      <c r="C2128" s="236" t="s">
        <v>50</v>
      </c>
    </row>
    <row r="2129" spans="1:3">
      <c r="A2129" s="359" t="s">
        <v>63</v>
      </c>
      <c r="B2129" s="236">
        <v>1685192</v>
      </c>
      <c r="C2129" s="236" t="s">
        <v>50</v>
      </c>
    </row>
    <row r="2130" spans="1:3">
      <c r="A2130" s="359" t="s">
        <v>63</v>
      </c>
      <c r="B2130" s="236">
        <v>1739049</v>
      </c>
      <c r="C2130" s="236" t="s">
        <v>50</v>
      </c>
    </row>
    <row r="2131" spans="1:3">
      <c r="A2131" s="359" t="s">
        <v>63</v>
      </c>
      <c r="B2131" s="236">
        <v>1747904</v>
      </c>
      <c r="C2131" s="236" t="s">
        <v>50</v>
      </c>
    </row>
    <row r="2132" spans="1:3">
      <c r="A2132" s="359" t="s">
        <v>63</v>
      </c>
      <c r="B2132" s="236">
        <v>1878366</v>
      </c>
      <c r="C2132" s="236" t="s">
        <v>50</v>
      </c>
    </row>
    <row r="2133" spans="1:3">
      <c r="A2133" s="359" t="s">
        <v>63</v>
      </c>
      <c r="B2133" s="236">
        <v>1878370</v>
      </c>
      <c r="C2133" s="236" t="s">
        <v>50</v>
      </c>
    </row>
    <row r="2134" spans="1:3">
      <c r="A2134" s="359" t="s">
        <v>63</v>
      </c>
      <c r="B2134" s="236">
        <v>1878371</v>
      </c>
      <c r="C2134" s="236" t="s">
        <v>50</v>
      </c>
    </row>
    <row r="2135" spans="1:3">
      <c r="A2135" s="359" t="s">
        <v>63</v>
      </c>
      <c r="B2135" s="236">
        <v>1935433</v>
      </c>
      <c r="C2135" s="236" t="s">
        <v>50</v>
      </c>
    </row>
    <row r="2136" spans="1:3">
      <c r="A2136" s="359" t="s">
        <v>63</v>
      </c>
      <c r="B2136" s="236">
        <v>1953922</v>
      </c>
      <c r="C2136" s="236" t="s">
        <v>50</v>
      </c>
    </row>
    <row r="2137" spans="1:3">
      <c r="A2137" s="359" t="s">
        <v>63</v>
      </c>
      <c r="B2137" s="236">
        <v>1964664</v>
      </c>
      <c r="C2137" s="236" t="s">
        <v>50</v>
      </c>
    </row>
    <row r="2138" spans="1:3">
      <c r="A2138" s="359" t="s">
        <v>63</v>
      </c>
      <c r="B2138" s="236">
        <v>1976661</v>
      </c>
      <c r="C2138" s="236" t="s">
        <v>50</v>
      </c>
    </row>
    <row r="2139" spans="1:3">
      <c r="A2139" s="359" t="s">
        <v>63</v>
      </c>
      <c r="B2139" s="236">
        <v>1978890</v>
      </c>
      <c r="C2139" s="236" t="s">
        <v>50</v>
      </c>
    </row>
    <row r="2140" spans="1:3">
      <c r="A2140" s="359" t="s">
        <v>63</v>
      </c>
      <c r="B2140" s="236">
        <v>1984541</v>
      </c>
      <c r="C2140" s="236" t="s">
        <v>50</v>
      </c>
    </row>
    <row r="2141" spans="1:3">
      <c r="A2141" s="359" t="s">
        <v>63</v>
      </c>
      <c r="B2141" s="236">
        <v>1985499</v>
      </c>
      <c r="C2141" s="236" t="s">
        <v>50</v>
      </c>
    </row>
    <row r="2142" spans="1:3">
      <c r="A2142" s="359" t="s">
        <v>63</v>
      </c>
      <c r="B2142" s="236">
        <v>2033608</v>
      </c>
      <c r="C2142" s="236" t="s">
        <v>50</v>
      </c>
    </row>
    <row r="2143" spans="1:3">
      <c r="A2143" s="359" t="s">
        <v>63</v>
      </c>
      <c r="B2143" s="236">
        <v>2041638</v>
      </c>
      <c r="C2143" s="236" t="s">
        <v>50</v>
      </c>
    </row>
    <row r="2144" spans="1:3">
      <c r="A2144" s="359" t="s">
        <v>63</v>
      </c>
      <c r="B2144" s="236">
        <v>2050525</v>
      </c>
      <c r="C2144" s="236" t="s">
        <v>50</v>
      </c>
    </row>
    <row r="2145" spans="1:3">
      <c r="A2145" s="359" t="s">
        <v>63</v>
      </c>
      <c r="B2145" s="236">
        <v>2063170</v>
      </c>
      <c r="C2145" s="236" t="s">
        <v>50</v>
      </c>
    </row>
    <row r="2146" spans="1:3">
      <c r="A2146" s="359" t="s">
        <v>63</v>
      </c>
      <c r="B2146" s="236">
        <v>2108875</v>
      </c>
      <c r="C2146" s="236" t="s">
        <v>50</v>
      </c>
    </row>
    <row r="2147" spans="1:3">
      <c r="A2147" s="359" t="s">
        <v>63</v>
      </c>
      <c r="B2147" s="236">
        <v>2164557</v>
      </c>
      <c r="C2147" s="236" t="s">
        <v>50</v>
      </c>
    </row>
    <row r="2148" spans="1:3">
      <c r="A2148" s="359" t="s">
        <v>63</v>
      </c>
      <c r="B2148" s="236">
        <v>2188380</v>
      </c>
      <c r="C2148" s="236" t="s">
        <v>50</v>
      </c>
    </row>
    <row r="2149" spans="1:3">
      <c r="A2149" s="361" t="s">
        <v>63</v>
      </c>
      <c r="B2149" s="211">
        <v>2197682</v>
      </c>
      <c r="C2149" s="211" t="s">
        <v>50</v>
      </c>
    </row>
    <row r="2150" spans="1:3">
      <c r="A2150" s="359" t="s">
        <v>63</v>
      </c>
      <c r="B2150" s="236">
        <v>2236304</v>
      </c>
      <c r="C2150" s="236" t="s">
        <v>50</v>
      </c>
    </row>
    <row r="2151" spans="1:3">
      <c r="A2151" s="359" t="s">
        <v>67</v>
      </c>
      <c r="B2151" s="236">
        <v>1984973</v>
      </c>
    </row>
    <row r="2152" spans="1:3">
      <c r="A2152" s="359" t="s">
        <v>67</v>
      </c>
      <c r="B2152" s="236">
        <v>2100868</v>
      </c>
    </row>
    <row r="2153" spans="1:3">
      <c r="A2153" s="220" t="s">
        <v>1380</v>
      </c>
      <c r="B2153" s="221">
        <v>1464557</v>
      </c>
      <c r="C2153" s="221"/>
    </row>
    <row r="2154" spans="1:3">
      <c r="A2154" s="220" t="s">
        <v>1380</v>
      </c>
      <c r="B2154" s="221">
        <v>1575529</v>
      </c>
      <c r="C2154" s="221"/>
    </row>
    <row r="2155" spans="1:3">
      <c r="A2155" s="220" t="s">
        <v>1380</v>
      </c>
      <c r="B2155" s="221">
        <v>1606052</v>
      </c>
      <c r="C2155" s="221"/>
    </row>
    <row r="2156" spans="1:3">
      <c r="A2156" s="220" t="s">
        <v>1380</v>
      </c>
      <c r="B2156" s="221">
        <v>1660541</v>
      </c>
      <c r="C2156" s="221"/>
    </row>
    <row r="2157" spans="1:3">
      <c r="A2157" s="220" t="s">
        <v>1380</v>
      </c>
      <c r="B2157" s="221">
        <v>1667767</v>
      </c>
      <c r="C2157" s="221"/>
    </row>
    <row r="2158" spans="1:3">
      <c r="A2158" s="220" t="s">
        <v>1380</v>
      </c>
      <c r="B2158" s="221">
        <v>1673615</v>
      </c>
      <c r="C2158" s="221"/>
    </row>
    <row r="2159" spans="1:3">
      <c r="A2159" s="220" t="s">
        <v>4116</v>
      </c>
      <c r="B2159" s="221">
        <v>1781672</v>
      </c>
      <c r="C2159" s="221"/>
    </row>
    <row r="2160" spans="1:3">
      <c r="A2160" s="220" t="s">
        <v>4118</v>
      </c>
      <c r="B2160" s="221">
        <v>1946333</v>
      </c>
      <c r="C2160" s="221"/>
    </row>
    <row r="2161" spans="1:3">
      <c r="A2161" s="220" t="s">
        <v>4116</v>
      </c>
      <c r="B2161" s="221">
        <v>1977940</v>
      </c>
      <c r="C2161" s="221"/>
    </row>
  </sheetData>
  <sheetCalcPr fullCalcOnLoad="1"/>
  <sortState ref="A2:XFD1048576">
    <sortCondition ref="A3:A1048576"/>
    <sortCondition ref="B3:B1048576"/>
  </sortState>
  <phoneticPr fontId="22" type="noConversion"/>
  <pageMargins left="0.75" right="0.75" top="1" bottom="1" header="0.5" footer="0.5"/>
  <extLst>
    <ext xmlns:mx="http://schemas.microsoft.com/office/mac/excel/2008/main" uri="http://schemas.microsoft.com/office/mac/excel/2008/main">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C812"/>
  <sheetViews>
    <sheetView topLeftCell="A700" workbookViewId="0">
      <selection activeCell="F10" sqref="F10"/>
    </sheetView>
  </sheetViews>
  <sheetFormatPr baseColWidth="10" defaultRowHeight="13"/>
  <cols>
    <col min="1" max="3" width="10.7109375" style="63"/>
  </cols>
  <sheetData>
    <row r="1" spans="1:3">
      <c r="A1" s="269" t="s">
        <v>3224</v>
      </c>
      <c r="B1" s="269" t="s">
        <v>3093</v>
      </c>
      <c r="C1" s="269" t="s">
        <v>3094</v>
      </c>
    </row>
    <row r="2" spans="1:3">
      <c r="A2" s="270" t="s">
        <v>3095</v>
      </c>
      <c r="B2" s="270">
        <v>1521575</v>
      </c>
      <c r="C2" s="270"/>
    </row>
    <row r="3" spans="1:3">
      <c r="A3" s="270" t="s">
        <v>3095</v>
      </c>
      <c r="B3" s="270">
        <v>1521577</v>
      </c>
      <c r="C3" s="270"/>
    </row>
    <row r="4" spans="1:3">
      <c r="A4" s="270" t="s">
        <v>3095</v>
      </c>
      <c r="B4" s="270">
        <v>1521578</v>
      </c>
      <c r="C4" s="270"/>
    </row>
    <row r="5" spans="1:3">
      <c r="A5" s="270" t="s">
        <v>3095</v>
      </c>
      <c r="B5" s="270">
        <v>1632813</v>
      </c>
      <c r="C5" s="270"/>
    </row>
    <row r="6" spans="1:3">
      <c r="A6" s="270" t="s">
        <v>3095</v>
      </c>
      <c r="B6" s="270">
        <v>1416381</v>
      </c>
      <c r="C6" s="270"/>
    </row>
    <row r="7" spans="1:3">
      <c r="A7" s="270" t="s">
        <v>3095</v>
      </c>
      <c r="B7" s="270">
        <v>1589803</v>
      </c>
      <c r="C7" s="270"/>
    </row>
    <row r="8" spans="1:3">
      <c r="A8" s="270" t="s">
        <v>3095</v>
      </c>
      <c r="B8" s="270">
        <v>1588402</v>
      </c>
      <c r="C8" s="270"/>
    </row>
    <row r="9" spans="1:3">
      <c r="A9" s="270" t="s">
        <v>3095</v>
      </c>
      <c r="B9" s="270">
        <v>1426196</v>
      </c>
      <c r="C9" s="270"/>
    </row>
    <row r="10" spans="1:3">
      <c r="A10" s="270" t="s">
        <v>3095</v>
      </c>
      <c r="B10" s="270">
        <v>1443134</v>
      </c>
      <c r="C10" s="270"/>
    </row>
    <row r="11" spans="1:3">
      <c r="A11" s="270" t="s">
        <v>3095</v>
      </c>
      <c r="B11" s="270">
        <v>1500128</v>
      </c>
      <c r="C11" s="270"/>
    </row>
    <row r="12" spans="1:3">
      <c r="A12" s="270" t="s">
        <v>3095</v>
      </c>
      <c r="B12" s="270">
        <v>1511764</v>
      </c>
      <c r="C12" s="270"/>
    </row>
    <row r="13" spans="1:3">
      <c r="A13" s="270" t="s">
        <v>3095</v>
      </c>
      <c r="B13" s="270">
        <v>1489831</v>
      </c>
      <c r="C13" s="270"/>
    </row>
    <row r="14" spans="1:3">
      <c r="A14" s="270" t="s">
        <v>3095</v>
      </c>
      <c r="B14" s="270">
        <v>1500586</v>
      </c>
      <c r="C14" s="270"/>
    </row>
    <row r="15" spans="1:3">
      <c r="A15" s="270" t="s">
        <v>3095</v>
      </c>
      <c r="B15" s="270">
        <v>1542556</v>
      </c>
      <c r="C15" s="270"/>
    </row>
    <row r="16" spans="1:3">
      <c r="A16" s="270" t="s">
        <v>3095</v>
      </c>
      <c r="B16" s="270">
        <v>1550366</v>
      </c>
      <c r="C16" s="270"/>
    </row>
    <row r="17" spans="1:3">
      <c r="A17" s="270" t="s">
        <v>3095</v>
      </c>
      <c r="B17" s="270">
        <v>1519739</v>
      </c>
      <c r="C17" s="270"/>
    </row>
    <row r="18" spans="1:3">
      <c r="A18" s="270" t="s">
        <v>3095</v>
      </c>
      <c r="B18" s="270">
        <v>1483379</v>
      </c>
      <c r="C18" s="270"/>
    </row>
    <row r="19" spans="1:3">
      <c r="A19" s="270" t="s">
        <v>3095</v>
      </c>
      <c r="B19" s="270">
        <v>1546901</v>
      </c>
      <c r="C19" s="270"/>
    </row>
    <row r="20" spans="1:3">
      <c r="A20" s="270" t="s">
        <v>3095</v>
      </c>
      <c r="B20" s="270">
        <v>1511911</v>
      </c>
      <c r="C20" s="270"/>
    </row>
    <row r="21" spans="1:3">
      <c r="A21" s="270" t="s">
        <v>3095</v>
      </c>
      <c r="B21" s="270">
        <v>1542529</v>
      </c>
      <c r="C21" s="270"/>
    </row>
    <row r="22" spans="1:3">
      <c r="A22" s="270" t="s">
        <v>2707</v>
      </c>
      <c r="B22" s="270">
        <v>1515949</v>
      </c>
      <c r="C22" s="270"/>
    </row>
    <row r="23" spans="1:3">
      <c r="A23" s="270" t="s">
        <v>2707</v>
      </c>
      <c r="B23" s="270">
        <v>1566607</v>
      </c>
      <c r="C23" s="270"/>
    </row>
    <row r="24" spans="1:3">
      <c r="A24" s="270" t="s">
        <v>2707</v>
      </c>
      <c r="B24" s="270">
        <v>1560790</v>
      </c>
      <c r="C24" s="270"/>
    </row>
    <row r="25" spans="1:3">
      <c r="A25" s="270" t="s">
        <v>2707</v>
      </c>
      <c r="B25" s="270">
        <v>1627686</v>
      </c>
      <c r="C25" s="270"/>
    </row>
    <row r="26" spans="1:3">
      <c r="A26" s="270" t="s">
        <v>2707</v>
      </c>
      <c r="B26" s="270">
        <v>1676191</v>
      </c>
      <c r="C26" s="270"/>
    </row>
    <row r="27" spans="1:3">
      <c r="A27" s="270" t="s">
        <v>2707</v>
      </c>
      <c r="B27" s="270">
        <v>1552152</v>
      </c>
      <c r="C27" s="270"/>
    </row>
    <row r="28" spans="1:3">
      <c r="A28" s="270" t="s">
        <v>2707</v>
      </c>
      <c r="B28" s="270">
        <v>1649220</v>
      </c>
      <c r="C28" s="270"/>
    </row>
    <row r="29" spans="1:3">
      <c r="A29" s="270" t="s">
        <v>2707</v>
      </c>
      <c r="B29" s="270">
        <v>1576121</v>
      </c>
      <c r="C29" s="270"/>
    </row>
    <row r="30" spans="1:3">
      <c r="A30" s="270" t="s">
        <v>2707</v>
      </c>
      <c r="B30" s="270">
        <v>1674764</v>
      </c>
      <c r="C30" s="270"/>
    </row>
    <row r="31" spans="1:3">
      <c r="A31" s="270" t="s">
        <v>2707</v>
      </c>
      <c r="B31" s="270">
        <v>1598097</v>
      </c>
      <c r="C31" s="270"/>
    </row>
    <row r="32" spans="1:3">
      <c r="A32" s="270" t="s">
        <v>2707</v>
      </c>
      <c r="B32" s="270">
        <v>1644082</v>
      </c>
      <c r="C32" s="270"/>
    </row>
    <row r="33" spans="1:3">
      <c r="A33" s="270" t="s">
        <v>2909</v>
      </c>
      <c r="B33" s="270">
        <v>1743675</v>
      </c>
      <c r="C33" s="270" t="s">
        <v>2911</v>
      </c>
    </row>
    <row r="34" spans="1:3">
      <c r="A34" s="270" t="s">
        <v>2909</v>
      </c>
      <c r="B34" s="270">
        <v>1771639</v>
      </c>
      <c r="C34" s="270" t="s">
        <v>2911</v>
      </c>
    </row>
    <row r="35" spans="1:3">
      <c r="A35" s="270" t="s">
        <v>2909</v>
      </c>
      <c r="B35" s="270">
        <v>1807983</v>
      </c>
      <c r="C35" s="270" t="s">
        <v>2911</v>
      </c>
    </row>
    <row r="36" spans="1:3">
      <c r="A36" s="270" t="s">
        <v>2909</v>
      </c>
      <c r="B36" s="270">
        <v>1788164</v>
      </c>
      <c r="C36" s="270" t="s">
        <v>2911</v>
      </c>
    </row>
    <row r="37" spans="1:3">
      <c r="A37" s="270" t="s">
        <v>2909</v>
      </c>
      <c r="B37" s="270">
        <v>1807984</v>
      </c>
      <c r="C37" s="270" t="s">
        <v>2911</v>
      </c>
    </row>
    <row r="38" spans="1:3">
      <c r="A38" s="270" t="s">
        <v>2909</v>
      </c>
      <c r="B38" s="270">
        <v>1786208</v>
      </c>
      <c r="C38" s="270" t="s">
        <v>2911</v>
      </c>
    </row>
    <row r="39" spans="1:3">
      <c r="A39" s="270" t="s">
        <v>2909</v>
      </c>
      <c r="B39" s="270">
        <v>1747694</v>
      </c>
      <c r="C39" s="270" t="s">
        <v>2911</v>
      </c>
    </row>
    <row r="40" spans="1:3">
      <c r="A40" s="270" t="s">
        <v>2909</v>
      </c>
      <c r="B40" s="270">
        <v>1895642</v>
      </c>
      <c r="C40" s="270" t="s">
        <v>2911</v>
      </c>
    </row>
    <row r="41" spans="1:3">
      <c r="A41" s="270" t="s">
        <v>2909</v>
      </c>
      <c r="B41" s="270">
        <v>1708065</v>
      </c>
      <c r="C41" s="270" t="s">
        <v>2804</v>
      </c>
    </row>
    <row r="42" spans="1:3">
      <c r="A42" s="270" t="s">
        <v>2909</v>
      </c>
      <c r="B42" s="270">
        <v>1760986</v>
      </c>
      <c r="C42" s="270" t="s">
        <v>2804</v>
      </c>
    </row>
    <row r="43" spans="1:3">
      <c r="A43" s="270" t="s">
        <v>2909</v>
      </c>
      <c r="B43" s="270">
        <v>1788171</v>
      </c>
      <c r="C43" s="270" t="s">
        <v>2804</v>
      </c>
    </row>
    <row r="44" spans="1:3">
      <c r="A44" s="270" t="s">
        <v>2981</v>
      </c>
      <c r="B44" s="270">
        <v>1718815</v>
      </c>
      <c r="C44" s="270" t="s">
        <v>2911</v>
      </c>
    </row>
    <row r="45" spans="1:3">
      <c r="A45" s="270" t="s">
        <v>2981</v>
      </c>
      <c r="B45" s="270">
        <v>1977315</v>
      </c>
      <c r="C45" s="270" t="s">
        <v>2911</v>
      </c>
    </row>
    <row r="46" spans="1:3">
      <c r="A46" s="270" t="s">
        <v>2981</v>
      </c>
      <c r="B46" s="270">
        <v>1670656</v>
      </c>
      <c r="C46" s="270" t="s">
        <v>2911</v>
      </c>
    </row>
    <row r="47" spans="1:3">
      <c r="A47" s="270" t="s">
        <v>2981</v>
      </c>
      <c r="B47" s="270">
        <v>1737661</v>
      </c>
      <c r="C47" s="270" t="s">
        <v>2911</v>
      </c>
    </row>
    <row r="48" spans="1:3">
      <c r="A48" s="270" t="s">
        <v>2981</v>
      </c>
      <c r="B48" s="270">
        <v>1817384</v>
      </c>
      <c r="C48" s="270" t="s">
        <v>2911</v>
      </c>
    </row>
    <row r="49" spans="1:3">
      <c r="A49" s="270" t="s">
        <v>2981</v>
      </c>
      <c r="B49" s="270">
        <v>1840565</v>
      </c>
      <c r="C49" s="270" t="s">
        <v>2911</v>
      </c>
    </row>
    <row r="50" spans="1:3">
      <c r="A50" s="270" t="s">
        <v>2981</v>
      </c>
      <c r="B50" s="270">
        <v>1819643</v>
      </c>
      <c r="C50" s="270" t="s">
        <v>2911</v>
      </c>
    </row>
    <row r="51" spans="1:3">
      <c r="A51" s="246" t="s">
        <v>2982</v>
      </c>
      <c r="B51" s="236">
        <v>1641416</v>
      </c>
      <c r="C51" s="236" t="s">
        <v>2911</v>
      </c>
    </row>
    <row r="52" spans="1:3">
      <c r="A52" s="246" t="s">
        <v>2982</v>
      </c>
      <c r="B52" s="236">
        <v>1788225</v>
      </c>
      <c r="C52" s="236" t="s">
        <v>2911</v>
      </c>
    </row>
    <row r="53" spans="1:3">
      <c r="A53" s="246" t="s">
        <v>1520</v>
      </c>
      <c r="B53" s="236">
        <v>1208698</v>
      </c>
      <c r="C53" s="236" t="s">
        <v>2983</v>
      </c>
    </row>
    <row r="54" spans="1:3">
      <c r="A54" s="246" t="s">
        <v>1520</v>
      </c>
      <c r="B54" s="236">
        <v>1374782</v>
      </c>
      <c r="C54" s="236" t="s">
        <v>2983</v>
      </c>
    </row>
    <row r="55" spans="1:3">
      <c r="A55" s="246" t="s">
        <v>1520</v>
      </c>
      <c r="B55" s="236">
        <v>1659776</v>
      </c>
      <c r="C55" s="236" t="s">
        <v>2983</v>
      </c>
    </row>
    <row r="56" spans="1:3">
      <c r="A56" s="246" t="s">
        <v>1520</v>
      </c>
      <c r="B56" s="236">
        <v>1547854</v>
      </c>
      <c r="C56" s="236" t="s">
        <v>2983</v>
      </c>
    </row>
    <row r="57" spans="1:3">
      <c r="A57" s="246" t="s">
        <v>1520</v>
      </c>
      <c r="B57" s="236">
        <v>1562423</v>
      </c>
      <c r="C57" s="236" t="s">
        <v>2983</v>
      </c>
    </row>
    <row r="58" spans="1:3">
      <c r="A58" s="246" t="s">
        <v>1520</v>
      </c>
      <c r="B58" s="236">
        <v>1732650</v>
      </c>
      <c r="C58" s="236" t="s">
        <v>2983</v>
      </c>
    </row>
    <row r="59" spans="1:3">
      <c r="A59" s="246" t="s">
        <v>1520</v>
      </c>
      <c r="B59" s="236">
        <v>1808466</v>
      </c>
      <c r="C59" s="236" t="s">
        <v>2983</v>
      </c>
    </row>
    <row r="60" spans="1:3">
      <c r="A60" s="246" t="s">
        <v>1520</v>
      </c>
      <c r="B60" s="236">
        <v>1712506</v>
      </c>
      <c r="C60" s="236" t="s">
        <v>2983</v>
      </c>
    </row>
    <row r="61" spans="1:3">
      <c r="A61" s="246" t="s">
        <v>1520</v>
      </c>
      <c r="B61" s="236">
        <v>1724031</v>
      </c>
      <c r="C61" s="236" t="s">
        <v>2983</v>
      </c>
    </row>
    <row r="62" spans="1:3">
      <c r="A62" s="246" t="s">
        <v>1520</v>
      </c>
      <c r="B62" s="236">
        <v>1788225</v>
      </c>
      <c r="C62" s="236" t="s">
        <v>2983</v>
      </c>
    </row>
    <row r="63" spans="1:3">
      <c r="A63" s="246" t="s">
        <v>1520</v>
      </c>
      <c r="B63" s="236">
        <v>1833026</v>
      </c>
      <c r="C63" s="236" t="s">
        <v>2983</v>
      </c>
    </row>
    <row r="64" spans="1:3">
      <c r="A64" s="246" t="s">
        <v>1520</v>
      </c>
      <c r="B64" s="236">
        <v>1641416</v>
      </c>
      <c r="C64" s="236" t="s">
        <v>2983</v>
      </c>
    </row>
    <row r="65" spans="1:3">
      <c r="A65" s="236" t="s">
        <v>2807</v>
      </c>
      <c r="B65" s="236">
        <v>1962059</v>
      </c>
      <c r="C65" s="235" t="s">
        <v>2984</v>
      </c>
    </row>
    <row r="66" spans="1:3">
      <c r="A66" s="236" t="s">
        <v>2807</v>
      </c>
      <c r="B66" s="236">
        <v>1964907</v>
      </c>
      <c r="C66" s="235" t="s">
        <v>2984</v>
      </c>
    </row>
    <row r="67" spans="1:3">
      <c r="A67" s="236" t="s">
        <v>2807</v>
      </c>
      <c r="B67" s="236">
        <v>1869308</v>
      </c>
      <c r="C67" s="235" t="s">
        <v>2984</v>
      </c>
    </row>
    <row r="68" spans="1:3">
      <c r="A68" s="236" t="s">
        <v>2807</v>
      </c>
      <c r="B68" s="236">
        <v>2133398</v>
      </c>
      <c r="C68" s="235" t="s">
        <v>2984</v>
      </c>
    </row>
    <row r="69" spans="1:3">
      <c r="A69" s="236" t="s">
        <v>2807</v>
      </c>
      <c r="B69" s="236">
        <v>2133399</v>
      </c>
      <c r="C69" s="235" t="s">
        <v>2984</v>
      </c>
    </row>
    <row r="70" spans="1:3">
      <c r="A70" s="236" t="s">
        <v>2807</v>
      </c>
      <c r="B70" s="236">
        <v>2081880</v>
      </c>
      <c r="C70" s="235" t="s">
        <v>2984</v>
      </c>
    </row>
    <row r="71" spans="1:3">
      <c r="A71" s="236" t="s">
        <v>2807</v>
      </c>
      <c r="B71" s="236">
        <v>2133382</v>
      </c>
      <c r="C71" s="235" t="s">
        <v>2984</v>
      </c>
    </row>
    <row r="72" spans="1:3">
      <c r="A72" s="236" t="s">
        <v>2807</v>
      </c>
      <c r="B72" s="236">
        <v>1883648</v>
      </c>
      <c r="C72" s="235" t="s">
        <v>2984</v>
      </c>
    </row>
    <row r="73" spans="1:3">
      <c r="A73" s="236" t="s">
        <v>2807</v>
      </c>
      <c r="B73" s="236">
        <v>1895983</v>
      </c>
      <c r="C73" s="235" t="s">
        <v>2984</v>
      </c>
    </row>
    <row r="74" spans="1:3">
      <c r="A74" s="236" t="s">
        <v>2807</v>
      </c>
      <c r="B74" s="236">
        <v>1900600</v>
      </c>
      <c r="C74" s="235" t="s">
        <v>2984</v>
      </c>
    </row>
    <row r="75" spans="1:3">
      <c r="A75" s="236" t="s">
        <v>2807</v>
      </c>
      <c r="B75" s="236">
        <v>1947929</v>
      </c>
      <c r="C75" s="235" t="s">
        <v>2984</v>
      </c>
    </row>
    <row r="76" spans="1:3">
      <c r="A76" s="236" t="s">
        <v>2807</v>
      </c>
      <c r="B76" s="236">
        <v>1957995</v>
      </c>
      <c r="C76" s="235" t="s">
        <v>2984</v>
      </c>
    </row>
    <row r="77" spans="1:3">
      <c r="A77" s="236" t="s">
        <v>2807</v>
      </c>
      <c r="B77" s="236">
        <v>1906636</v>
      </c>
      <c r="C77" s="235" t="s">
        <v>2984</v>
      </c>
    </row>
    <row r="78" spans="1:3">
      <c r="A78" s="236" t="s">
        <v>2807</v>
      </c>
      <c r="B78" s="236">
        <v>1895982</v>
      </c>
      <c r="C78" s="235" t="s">
        <v>2984</v>
      </c>
    </row>
    <row r="79" spans="1:3">
      <c r="A79" s="236" t="s">
        <v>2807</v>
      </c>
      <c r="B79" s="236">
        <v>1875732</v>
      </c>
      <c r="C79" s="235" t="s">
        <v>2984</v>
      </c>
    </row>
    <row r="80" spans="1:3">
      <c r="A80" s="236" t="s">
        <v>2807</v>
      </c>
      <c r="B80" s="236">
        <v>1981535</v>
      </c>
      <c r="C80" s="235" t="s">
        <v>2984</v>
      </c>
    </row>
    <row r="81" spans="1:3">
      <c r="A81" s="236" t="s">
        <v>2807</v>
      </c>
      <c r="B81" s="236">
        <v>1979149</v>
      </c>
      <c r="C81" s="235" t="s">
        <v>2984</v>
      </c>
    </row>
    <row r="82" spans="1:3">
      <c r="A82" s="236" t="s">
        <v>2807</v>
      </c>
      <c r="B82" s="236">
        <v>2049835</v>
      </c>
      <c r="C82" s="235" t="s">
        <v>2984</v>
      </c>
    </row>
    <row r="83" spans="1:3">
      <c r="A83" s="236" t="s">
        <v>2807</v>
      </c>
      <c r="B83" s="236">
        <v>2071102</v>
      </c>
      <c r="C83" s="235" t="s">
        <v>2984</v>
      </c>
    </row>
    <row r="84" spans="1:3">
      <c r="A84" s="236" t="s">
        <v>2807</v>
      </c>
      <c r="B84" s="236">
        <v>1920903</v>
      </c>
      <c r="C84" s="235" t="s">
        <v>2984</v>
      </c>
    </row>
    <row r="85" spans="1:3">
      <c r="A85" s="236" t="s">
        <v>2807</v>
      </c>
      <c r="B85" s="236">
        <v>1836570</v>
      </c>
      <c r="C85" s="235" t="s">
        <v>2984</v>
      </c>
    </row>
    <row r="86" spans="1:3">
      <c r="A86" s="236" t="s">
        <v>2807</v>
      </c>
      <c r="B86" s="236">
        <v>1837375</v>
      </c>
      <c r="C86" s="235" t="s">
        <v>2984</v>
      </c>
    </row>
    <row r="87" spans="1:3">
      <c r="A87" s="236" t="s">
        <v>2807</v>
      </c>
      <c r="B87" s="236">
        <v>1878169</v>
      </c>
      <c r="C87" s="235" t="s">
        <v>2984</v>
      </c>
    </row>
    <row r="88" spans="1:3">
      <c r="A88" s="236" t="s">
        <v>2807</v>
      </c>
      <c r="B88" s="236">
        <v>1868962</v>
      </c>
      <c r="C88" s="235" t="s">
        <v>2984</v>
      </c>
    </row>
    <row r="89" spans="1:3">
      <c r="A89" s="236" t="s">
        <v>2807</v>
      </c>
      <c r="B89" s="236">
        <v>1878094</v>
      </c>
      <c r="C89" s="235" t="s">
        <v>2984</v>
      </c>
    </row>
    <row r="90" spans="1:3">
      <c r="A90" s="236" t="s">
        <v>2807</v>
      </c>
      <c r="B90" s="236">
        <v>1929509</v>
      </c>
      <c r="C90" s="235" t="s">
        <v>2984</v>
      </c>
    </row>
    <row r="91" spans="1:3">
      <c r="A91" s="236" t="s">
        <v>2807</v>
      </c>
      <c r="B91" s="236">
        <v>2068624</v>
      </c>
      <c r="C91" s="235" t="s">
        <v>2984</v>
      </c>
    </row>
    <row r="92" spans="1:3">
      <c r="A92" s="236" t="s">
        <v>2807</v>
      </c>
      <c r="B92" s="236">
        <v>1948964</v>
      </c>
      <c r="C92" s="235" t="s">
        <v>2984</v>
      </c>
    </row>
    <row r="93" spans="1:3">
      <c r="A93" s="236" t="s">
        <v>2807</v>
      </c>
      <c r="B93" s="236">
        <v>1971626</v>
      </c>
      <c r="C93" s="235" t="s">
        <v>2984</v>
      </c>
    </row>
    <row r="94" spans="1:3">
      <c r="A94" s="236" t="s">
        <v>2807</v>
      </c>
      <c r="B94" s="236">
        <v>1965540</v>
      </c>
      <c r="C94" s="235" t="s">
        <v>2984</v>
      </c>
    </row>
    <row r="95" spans="1:3">
      <c r="A95" s="236" t="s">
        <v>2807</v>
      </c>
      <c r="B95" s="236">
        <v>2163783</v>
      </c>
      <c r="C95" s="235" t="s">
        <v>2984</v>
      </c>
    </row>
    <row r="96" spans="1:3">
      <c r="A96" s="236" t="s">
        <v>2807</v>
      </c>
      <c r="B96" s="236">
        <v>1884311</v>
      </c>
      <c r="C96" s="235" t="s">
        <v>2984</v>
      </c>
    </row>
    <row r="97" spans="1:3">
      <c r="A97" s="236" t="s">
        <v>2807</v>
      </c>
      <c r="B97" s="236">
        <v>2016004</v>
      </c>
      <c r="C97" s="235" t="s">
        <v>2984</v>
      </c>
    </row>
    <row r="98" spans="1:3">
      <c r="A98" s="236" t="s">
        <v>2807</v>
      </c>
      <c r="B98" s="236">
        <v>2010530</v>
      </c>
      <c r="C98" s="235" t="s">
        <v>2984</v>
      </c>
    </row>
    <row r="99" spans="1:3">
      <c r="A99" s="236" t="s">
        <v>2807</v>
      </c>
      <c r="B99" s="236">
        <v>2016247</v>
      </c>
      <c r="C99" s="235" t="s">
        <v>2984</v>
      </c>
    </row>
    <row r="100" spans="1:3">
      <c r="A100" s="236" t="s">
        <v>2807</v>
      </c>
      <c r="B100" s="236">
        <v>2050990</v>
      </c>
      <c r="C100" s="235" t="s">
        <v>2984</v>
      </c>
    </row>
    <row r="101" spans="1:3">
      <c r="A101" s="236" t="s">
        <v>2807</v>
      </c>
      <c r="B101" s="236">
        <v>2050991</v>
      </c>
      <c r="C101" s="235" t="s">
        <v>2984</v>
      </c>
    </row>
    <row r="102" spans="1:3">
      <c r="A102" s="236" t="s">
        <v>2807</v>
      </c>
      <c r="B102" s="236">
        <v>2025670</v>
      </c>
      <c r="C102" s="235" t="s">
        <v>2984</v>
      </c>
    </row>
    <row r="103" spans="1:3">
      <c r="A103" s="236" t="s">
        <v>2807</v>
      </c>
      <c r="B103" s="236">
        <v>2093305</v>
      </c>
      <c r="C103" s="235" t="s">
        <v>2984</v>
      </c>
    </row>
    <row r="104" spans="1:3">
      <c r="A104" s="236" t="s">
        <v>2807</v>
      </c>
      <c r="B104" s="236">
        <v>1819881</v>
      </c>
      <c r="C104" s="235" t="s">
        <v>2984</v>
      </c>
    </row>
    <row r="105" spans="1:3">
      <c r="A105" s="236" t="s">
        <v>2807</v>
      </c>
      <c r="B105" s="236">
        <v>1905691</v>
      </c>
      <c r="C105" s="235" t="s">
        <v>2984</v>
      </c>
    </row>
    <row r="106" spans="1:3">
      <c r="A106" s="236" t="s">
        <v>2807</v>
      </c>
      <c r="B106" s="236">
        <v>1819882</v>
      </c>
      <c r="C106" s="235" t="s">
        <v>2984</v>
      </c>
    </row>
    <row r="107" spans="1:3">
      <c r="A107" s="236" t="s">
        <v>2807</v>
      </c>
      <c r="B107" s="236">
        <v>1853882</v>
      </c>
      <c r="C107" s="235" t="s">
        <v>2984</v>
      </c>
    </row>
    <row r="108" spans="1:3">
      <c r="A108" s="236" t="s">
        <v>2807</v>
      </c>
      <c r="B108" s="236">
        <v>1853883</v>
      </c>
      <c r="C108" s="235" t="s">
        <v>2984</v>
      </c>
    </row>
    <row r="109" spans="1:3">
      <c r="A109" s="236" t="s">
        <v>2807</v>
      </c>
      <c r="B109" s="236">
        <v>1833798</v>
      </c>
      <c r="C109" s="235" t="s">
        <v>2984</v>
      </c>
    </row>
    <row r="110" spans="1:3">
      <c r="A110" s="236" t="s">
        <v>2807</v>
      </c>
      <c r="B110" s="236">
        <v>1933312</v>
      </c>
      <c r="C110" s="235" t="s">
        <v>2984</v>
      </c>
    </row>
    <row r="111" spans="1:3">
      <c r="A111" s="236" t="s">
        <v>2807</v>
      </c>
      <c r="B111" s="236">
        <v>1902487</v>
      </c>
      <c r="C111" s="235" t="s">
        <v>2984</v>
      </c>
    </row>
    <row r="112" spans="1:3">
      <c r="A112" s="236" t="s">
        <v>2807</v>
      </c>
      <c r="B112" s="236">
        <v>1896841</v>
      </c>
      <c r="C112" s="235" t="s">
        <v>2984</v>
      </c>
    </row>
    <row r="113" spans="1:3">
      <c r="A113" s="236" t="s">
        <v>2807</v>
      </c>
      <c r="B113" s="236">
        <v>1933313</v>
      </c>
      <c r="C113" s="235" t="s">
        <v>2984</v>
      </c>
    </row>
    <row r="114" spans="1:3">
      <c r="A114" s="236" t="s">
        <v>2807</v>
      </c>
      <c r="B114" s="236">
        <v>1933347</v>
      </c>
      <c r="C114" s="235" t="s">
        <v>2984</v>
      </c>
    </row>
    <row r="115" spans="1:3">
      <c r="A115" s="236" t="s">
        <v>2807</v>
      </c>
      <c r="B115" s="236">
        <v>1978233</v>
      </c>
      <c r="C115" s="235" t="s">
        <v>2984</v>
      </c>
    </row>
    <row r="116" spans="1:3">
      <c r="A116" s="236" t="s">
        <v>2807</v>
      </c>
      <c r="B116" s="236">
        <v>2089052</v>
      </c>
      <c r="C116" s="235" t="s">
        <v>2984</v>
      </c>
    </row>
    <row r="117" spans="1:3">
      <c r="A117" s="236" t="s">
        <v>2807</v>
      </c>
      <c r="B117" s="236">
        <v>2133405</v>
      </c>
      <c r="C117" s="235" t="s">
        <v>2984</v>
      </c>
    </row>
    <row r="118" spans="1:3">
      <c r="A118" s="236" t="s">
        <v>2807</v>
      </c>
      <c r="B118" s="236">
        <v>1835922</v>
      </c>
      <c r="C118" s="235" t="s">
        <v>2984</v>
      </c>
    </row>
    <row r="119" spans="1:3">
      <c r="A119" s="236" t="s">
        <v>2807</v>
      </c>
      <c r="B119" s="236">
        <v>1823731</v>
      </c>
      <c r="C119" s="235" t="s">
        <v>2984</v>
      </c>
    </row>
    <row r="120" spans="1:3">
      <c r="A120" s="236" t="s">
        <v>2807</v>
      </c>
      <c r="B120" s="236">
        <v>2004769</v>
      </c>
      <c r="C120" s="235" t="s">
        <v>2984</v>
      </c>
    </row>
    <row r="121" spans="1:3">
      <c r="A121" s="236" t="s">
        <v>2807</v>
      </c>
      <c r="B121" s="236">
        <v>1895396</v>
      </c>
      <c r="C121" s="235" t="s">
        <v>2984</v>
      </c>
    </row>
    <row r="122" spans="1:3">
      <c r="A122" s="236" t="s">
        <v>2807</v>
      </c>
      <c r="B122" s="236">
        <v>1892551</v>
      </c>
      <c r="C122" s="235" t="s">
        <v>2984</v>
      </c>
    </row>
    <row r="123" spans="1:3">
      <c r="A123" s="236" t="s">
        <v>2807</v>
      </c>
      <c r="B123" s="236">
        <v>1970393</v>
      </c>
      <c r="C123" s="235" t="s">
        <v>2984</v>
      </c>
    </row>
    <row r="124" spans="1:3">
      <c r="A124" s="236" t="s">
        <v>2807</v>
      </c>
      <c r="B124" s="236">
        <v>2048516</v>
      </c>
      <c r="C124" s="235" t="s">
        <v>2984</v>
      </c>
    </row>
    <row r="125" spans="1:3">
      <c r="A125" s="236" t="s">
        <v>2807</v>
      </c>
      <c r="B125" s="236">
        <v>1822737</v>
      </c>
      <c r="C125" s="235" t="s">
        <v>2984</v>
      </c>
    </row>
    <row r="126" spans="1:3">
      <c r="A126" s="236" t="s">
        <v>2807</v>
      </c>
      <c r="B126" s="236">
        <v>1822738</v>
      </c>
      <c r="C126" s="235" t="s">
        <v>2984</v>
      </c>
    </row>
    <row r="127" spans="1:3">
      <c r="A127" s="236" t="s">
        <v>2807</v>
      </c>
      <c r="B127" s="236">
        <v>1888075</v>
      </c>
      <c r="C127" s="235" t="s">
        <v>2984</v>
      </c>
    </row>
    <row r="128" spans="1:3">
      <c r="A128" s="236" t="s">
        <v>2807</v>
      </c>
      <c r="B128" s="236">
        <v>2053163</v>
      </c>
      <c r="C128" s="235" t="s">
        <v>2984</v>
      </c>
    </row>
    <row r="129" spans="1:3">
      <c r="A129" s="236" t="s">
        <v>2807</v>
      </c>
      <c r="B129" s="236">
        <v>1899591</v>
      </c>
      <c r="C129" s="235" t="s">
        <v>2984</v>
      </c>
    </row>
    <row r="130" spans="1:3">
      <c r="A130" s="236" t="s">
        <v>2807</v>
      </c>
      <c r="B130" s="236">
        <v>1830533</v>
      </c>
      <c r="C130" s="235" t="s">
        <v>2984</v>
      </c>
    </row>
    <row r="131" spans="1:3">
      <c r="A131" s="236" t="s">
        <v>2807</v>
      </c>
      <c r="B131" s="236">
        <v>1834864</v>
      </c>
      <c r="C131" s="235" t="s">
        <v>2984</v>
      </c>
    </row>
    <row r="132" spans="1:3">
      <c r="A132" s="236" t="s">
        <v>2807</v>
      </c>
      <c r="B132" s="236">
        <v>1933348</v>
      </c>
      <c r="C132" s="235" t="s">
        <v>2984</v>
      </c>
    </row>
    <row r="133" spans="1:3">
      <c r="A133" s="236" t="s">
        <v>2807</v>
      </c>
      <c r="B133" s="236">
        <v>1874235</v>
      </c>
      <c r="C133" s="235" t="s">
        <v>2984</v>
      </c>
    </row>
    <row r="134" spans="1:3">
      <c r="A134" s="236" t="s">
        <v>2807</v>
      </c>
      <c r="B134" s="236">
        <v>1931592</v>
      </c>
      <c r="C134" s="235" t="s">
        <v>2984</v>
      </c>
    </row>
    <row r="135" spans="1:3">
      <c r="A135" s="236" t="s">
        <v>2807</v>
      </c>
      <c r="B135" s="236">
        <v>1950608</v>
      </c>
      <c r="C135" s="235" t="s">
        <v>2984</v>
      </c>
    </row>
    <row r="136" spans="1:3">
      <c r="A136" s="236" t="s">
        <v>2807</v>
      </c>
      <c r="B136" s="236">
        <v>1959526</v>
      </c>
      <c r="C136" s="235" t="s">
        <v>2984</v>
      </c>
    </row>
    <row r="137" spans="1:3">
      <c r="A137" s="236" t="s">
        <v>2807</v>
      </c>
      <c r="B137" s="236">
        <v>1892663</v>
      </c>
      <c r="C137" s="235" t="s">
        <v>2984</v>
      </c>
    </row>
    <row r="138" spans="1:3">
      <c r="A138" s="236" t="s">
        <v>2807</v>
      </c>
      <c r="B138" s="236">
        <v>1906636</v>
      </c>
      <c r="C138" s="236" t="s">
        <v>2985</v>
      </c>
    </row>
    <row r="139" spans="1:3">
      <c r="A139" s="236" t="s">
        <v>2807</v>
      </c>
      <c r="B139" s="236">
        <v>1981535</v>
      </c>
      <c r="C139" s="236" t="s">
        <v>2985</v>
      </c>
    </row>
    <row r="140" spans="1:3">
      <c r="A140" s="236" t="s">
        <v>2807</v>
      </c>
      <c r="B140" s="236">
        <v>1962059</v>
      </c>
      <c r="C140" s="236" t="s">
        <v>2985</v>
      </c>
    </row>
    <row r="141" spans="1:3">
      <c r="A141" s="236" t="s">
        <v>2807</v>
      </c>
      <c r="B141" s="236">
        <v>1964907</v>
      </c>
      <c r="C141" s="236" t="s">
        <v>2985</v>
      </c>
    </row>
    <row r="142" spans="1:3">
      <c r="A142" s="236" t="s">
        <v>2807</v>
      </c>
      <c r="B142" s="236">
        <v>1869308</v>
      </c>
      <c r="C142" s="236" t="s">
        <v>2985</v>
      </c>
    </row>
    <row r="143" spans="1:3">
      <c r="A143" s="236" t="s">
        <v>2807</v>
      </c>
      <c r="B143" s="236">
        <v>2133398</v>
      </c>
      <c r="C143" s="236" t="s">
        <v>2985</v>
      </c>
    </row>
    <row r="144" spans="1:3">
      <c r="A144" s="236" t="s">
        <v>2807</v>
      </c>
      <c r="B144" s="236">
        <v>2133399</v>
      </c>
      <c r="C144" s="236" t="s">
        <v>2985</v>
      </c>
    </row>
    <row r="145" spans="1:3">
      <c r="A145" s="236" t="s">
        <v>2807</v>
      </c>
      <c r="B145" s="236">
        <v>2081880</v>
      </c>
      <c r="C145" s="236" t="s">
        <v>2985</v>
      </c>
    </row>
    <row r="146" spans="1:3">
      <c r="A146" s="236" t="s">
        <v>2807</v>
      </c>
      <c r="B146" s="236">
        <v>2133382</v>
      </c>
      <c r="C146" s="236" t="s">
        <v>2985</v>
      </c>
    </row>
    <row r="147" spans="1:3">
      <c r="A147" s="236" t="s">
        <v>2807</v>
      </c>
      <c r="B147" s="236">
        <v>1883648</v>
      </c>
      <c r="C147" s="236" t="s">
        <v>2985</v>
      </c>
    </row>
    <row r="148" spans="1:3">
      <c r="A148" s="236" t="s">
        <v>2807</v>
      </c>
      <c r="B148" s="236">
        <v>1895983</v>
      </c>
      <c r="C148" s="236" t="s">
        <v>2985</v>
      </c>
    </row>
    <row r="149" spans="1:3">
      <c r="A149" s="236" t="s">
        <v>2807</v>
      </c>
      <c r="B149" s="236">
        <v>1900600</v>
      </c>
      <c r="C149" s="236" t="s">
        <v>2985</v>
      </c>
    </row>
    <row r="150" spans="1:3">
      <c r="A150" s="236" t="s">
        <v>2807</v>
      </c>
      <c r="B150" s="236">
        <v>1947929</v>
      </c>
      <c r="C150" s="236" t="s">
        <v>2985</v>
      </c>
    </row>
    <row r="151" spans="1:3">
      <c r="A151" s="236" t="s">
        <v>2807</v>
      </c>
      <c r="B151" s="236">
        <v>1957995</v>
      </c>
      <c r="C151" s="236" t="s">
        <v>2985</v>
      </c>
    </row>
    <row r="152" spans="1:3">
      <c r="A152" s="236" t="s">
        <v>2807</v>
      </c>
      <c r="B152" s="236">
        <v>1895982</v>
      </c>
      <c r="C152" s="236" t="s">
        <v>2985</v>
      </c>
    </row>
    <row r="153" spans="1:3">
      <c r="A153" s="236" t="s">
        <v>2807</v>
      </c>
      <c r="B153" s="236">
        <v>1979149</v>
      </c>
      <c r="C153" s="236" t="s">
        <v>2985</v>
      </c>
    </row>
    <row r="154" spans="1:3">
      <c r="A154" s="236" t="s">
        <v>2807</v>
      </c>
      <c r="B154" s="236">
        <v>2049835</v>
      </c>
      <c r="C154" s="236" t="s">
        <v>2985</v>
      </c>
    </row>
    <row r="155" spans="1:3">
      <c r="A155" s="236" t="s">
        <v>334</v>
      </c>
      <c r="B155" s="236">
        <v>2012194</v>
      </c>
      <c r="C155" s="236" t="s">
        <v>2986</v>
      </c>
    </row>
    <row r="156" spans="1:3">
      <c r="A156" s="236" t="s">
        <v>334</v>
      </c>
      <c r="B156" s="236">
        <v>1976439</v>
      </c>
      <c r="C156" s="236" t="s">
        <v>2986</v>
      </c>
    </row>
    <row r="157" spans="1:3">
      <c r="A157" s="236" t="s">
        <v>334</v>
      </c>
      <c r="B157" s="236">
        <v>2003760</v>
      </c>
      <c r="C157" s="236" t="s">
        <v>2986</v>
      </c>
    </row>
    <row r="158" spans="1:3">
      <c r="A158" s="236" t="s">
        <v>334</v>
      </c>
      <c r="B158" s="236">
        <v>2003739</v>
      </c>
      <c r="C158" s="236" t="s">
        <v>2986</v>
      </c>
    </row>
    <row r="159" spans="1:3">
      <c r="A159" s="271" t="s">
        <v>686</v>
      </c>
      <c r="B159" s="271">
        <v>1807340</v>
      </c>
      <c r="C159" s="236" t="s">
        <v>2986</v>
      </c>
    </row>
    <row r="160" spans="1:3">
      <c r="A160" s="271" t="s">
        <v>686</v>
      </c>
      <c r="B160" s="271">
        <v>1805874</v>
      </c>
      <c r="C160" s="236" t="s">
        <v>2986</v>
      </c>
    </row>
    <row r="161" spans="1:3">
      <c r="A161" s="236" t="s">
        <v>686</v>
      </c>
      <c r="B161" s="271">
        <v>1891369</v>
      </c>
      <c r="C161" s="236" t="s">
        <v>2986</v>
      </c>
    </row>
    <row r="162" spans="1:3">
      <c r="A162" s="271" t="s">
        <v>686</v>
      </c>
      <c r="B162" s="271">
        <v>1810367</v>
      </c>
      <c r="C162" s="236" t="s">
        <v>2986</v>
      </c>
    </row>
    <row r="163" spans="1:3">
      <c r="A163" s="236" t="s">
        <v>686</v>
      </c>
      <c r="B163" s="271">
        <v>1818721</v>
      </c>
      <c r="C163" s="236" t="s">
        <v>2986</v>
      </c>
    </row>
    <row r="164" spans="1:3">
      <c r="A164" s="236" t="s">
        <v>686</v>
      </c>
      <c r="B164" s="271">
        <v>1887522</v>
      </c>
      <c r="C164" s="236" t="s">
        <v>2986</v>
      </c>
    </row>
    <row r="165" spans="1:3">
      <c r="A165" s="271" t="s">
        <v>686</v>
      </c>
      <c r="B165" s="271">
        <v>1890305</v>
      </c>
      <c r="C165" s="236" t="s">
        <v>2986</v>
      </c>
    </row>
    <row r="166" spans="1:3">
      <c r="A166" s="271" t="s">
        <v>686</v>
      </c>
      <c r="B166" s="271">
        <v>1890306</v>
      </c>
      <c r="C166" s="236" t="s">
        <v>2986</v>
      </c>
    </row>
    <row r="167" spans="1:3">
      <c r="A167" s="236" t="s">
        <v>686</v>
      </c>
      <c r="B167" s="271">
        <v>1818693</v>
      </c>
      <c r="C167" s="236" t="s">
        <v>2986</v>
      </c>
    </row>
    <row r="168" spans="1:3">
      <c r="A168" s="236" t="s">
        <v>686</v>
      </c>
      <c r="B168" s="271">
        <v>1887320</v>
      </c>
      <c r="C168" s="236" t="s">
        <v>2986</v>
      </c>
    </row>
    <row r="169" spans="1:3">
      <c r="A169" s="271" t="s">
        <v>686</v>
      </c>
      <c r="B169" s="271">
        <v>1890518</v>
      </c>
      <c r="C169" s="236" t="s">
        <v>2986</v>
      </c>
    </row>
    <row r="170" spans="1:3">
      <c r="A170" s="236" t="s">
        <v>686</v>
      </c>
      <c r="B170" s="271">
        <v>1837231</v>
      </c>
      <c r="C170" s="236" t="s">
        <v>2986</v>
      </c>
    </row>
    <row r="171" spans="1:3">
      <c r="A171" s="271" t="s">
        <v>686</v>
      </c>
      <c r="B171" s="271">
        <v>2020302</v>
      </c>
      <c r="C171" s="236" t="s">
        <v>2986</v>
      </c>
    </row>
    <row r="172" spans="1:3">
      <c r="A172" s="236" t="s">
        <v>686</v>
      </c>
      <c r="B172" s="271">
        <v>1913586</v>
      </c>
      <c r="C172" s="236" t="s">
        <v>2986</v>
      </c>
    </row>
    <row r="173" spans="1:3">
      <c r="A173" s="236" t="s">
        <v>686</v>
      </c>
      <c r="B173" s="271">
        <v>1856774</v>
      </c>
      <c r="C173" s="236" t="s">
        <v>2986</v>
      </c>
    </row>
    <row r="174" spans="1:3">
      <c r="A174" s="236" t="s">
        <v>686</v>
      </c>
      <c r="B174" s="271">
        <v>1858675</v>
      </c>
      <c r="C174" s="236" t="s">
        <v>2986</v>
      </c>
    </row>
    <row r="175" spans="1:3">
      <c r="A175" s="236" t="s">
        <v>686</v>
      </c>
      <c r="B175" s="271">
        <v>1892802</v>
      </c>
      <c r="C175" s="236" t="s">
        <v>2986</v>
      </c>
    </row>
    <row r="176" spans="1:3">
      <c r="A176" s="236" t="s">
        <v>686</v>
      </c>
      <c r="B176" s="271">
        <v>1893840</v>
      </c>
      <c r="C176" s="236" t="s">
        <v>2986</v>
      </c>
    </row>
    <row r="177" spans="1:3">
      <c r="A177" s="236" t="s">
        <v>686</v>
      </c>
      <c r="B177" s="271">
        <v>1902874</v>
      </c>
      <c r="C177" s="236" t="s">
        <v>2986</v>
      </c>
    </row>
    <row r="178" spans="1:3">
      <c r="A178" s="236" t="s">
        <v>686</v>
      </c>
      <c r="B178" s="271">
        <v>1902655</v>
      </c>
      <c r="C178" s="236" t="s">
        <v>2986</v>
      </c>
    </row>
    <row r="179" spans="1:3">
      <c r="A179" s="236" t="s">
        <v>686</v>
      </c>
      <c r="B179" s="271">
        <v>1960479</v>
      </c>
      <c r="C179" s="236" t="s">
        <v>2986</v>
      </c>
    </row>
    <row r="180" spans="1:3">
      <c r="A180" s="271" t="s">
        <v>686</v>
      </c>
      <c r="B180" s="271">
        <v>1920743</v>
      </c>
      <c r="C180" s="236" t="s">
        <v>2986</v>
      </c>
    </row>
    <row r="181" spans="1:3">
      <c r="A181" s="236" t="s">
        <v>2808</v>
      </c>
      <c r="B181" s="236">
        <v>2021872</v>
      </c>
      <c r="C181" s="236" t="s">
        <v>2987</v>
      </c>
    </row>
    <row r="182" spans="1:3">
      <c r="A182" s="236" t="s">
        <v>2808</v>
      </c>
      <c r="B182" s="236">
        <v>2049442</v>
      </c>
      <c r="C182" s="236" t="s">
        <v>2987</v>
      </c>
    </row>
    <row r="183" spans="1:3">
      <c r="A183" s="236" t="s">
        <v>2808</v>
      </c>
      <c r="B183" s="236">
        <v>1935529</v>
      </c>
      <c r="C183" s="236" t="s">
        <v>2987</v>
      </c>
    </row>
    <row r="184" spans="1:3">
      <c r="A184" s="236" t="s">
        <v>2808</v>
      </c>
      <c r="B184" s="236">
        <v>1941647</v>
      </c>
      <c r="C184" s="236" t="s">
        <v>2987</v>
      </c>
    </row>
    <row r="185" spans="1:3">
      <c r="A185" s="236" t="s">
        <v>2808</v>
      </c>
      <c r="B185" s="236">
        <v>1894162</v>
      </c>
      <c r="C185" s="236" t="s">
        <v>2987</v>
      </c>
    </row>
    <row r="186" spans="1:3">
      <c r="A186" s="236" t="s">
        <v>2809</v>
      </c>
      <c r="B186" s="236">
        <v>2094557</v>
      </c>
      <c r="C186" s="236" t="s">
        <v>2988</v>
      </c>
    </row>
    <row r="187" spans="1:3">
      <c r="A187" s="236" t="s">
        <v>2809</v>
      </c>
      <c r="B187" s="236">
        <v>2047192</v>
      </c>
      <c r="C187" s="236" t="s">
        <v>2988</v>
      </c>
    </row>
    <row r="188" spans="1:3">
      <c r="A188" s="236" t="s">
        <v>2809</v>
      </c>
      <c r="B188" s="236">
        <v>2146200</v>
      </c>
      <c r="C188" s="236" t="s">
        <v>2988</v>
      </c>
    </row>
    <row r="189" spans="1:3">
      <c r="A189" s="236" t="s">
        <v>2809</v>
      </c>
      <c r="B189" s="236">
        <v>2205369</v>
      </c>
      <c r="C189" s="236" t="s">
        <v>2988</v>
      </c>
    </row>
    <row r="190" spans="1:3">
      <c r="A190" s="236" t="s">
        <v>2809</v>
      </c>
      <c r="B190" s="236">
        <v>2137151</v>
      </c>
      <c r="C190" s="236" t="s">
        <v>2988</v>
      </c>
    </row>
    <row r="191" spans="1:3">
      <c r="A191" s="236" t="s">
        <v>2809</v>
      </c>
      <c r="B191" s="236">
        <v>1913076</v>
      </c>
      <c r="C191" s="236" t="s">
        <v>2986</v>
      </c>
    </row>
    <row r="192" spans="1:3">
      <c r="A192" s="236" t="s">
        <v>2810</v>
      </c>
      <c r="B192" s="236">
        <v>2042834</v>
      </c>
      <c r="C192" s="236" t="s">
        <v>2986</v>
      </c>
    </row>
    <row r="193" spans="1:3">
      <c r="A193" s="236" t="s">
        <v>2810</v>
      </c>
      <c r="B193" s="236">
        <v>1907247</v>
      </c>
      <c r="C193" s="236" t="s">
        <v>2986</v>
      </c>
    </row>
    <row r="194" spans="1:3">
      <c r="A194" s="236" t="s">
        <v>2810</v>
      </c>
      <c r="B194" s="236">
        <v>1915929</v>
      </c>
      <c r="C194" s="236" t="s">
        <v>2986</v>
      </c>
    </row>
    <row r="195" spans="1:3">
      <c r="A195" s="236" t="s">
        <v>2810</v>
      </c>
      <c r="B195" s="236">
        <v>1970935</v>
      </c>
      <c r="C195" s="236" t="s">
        <v>2986</v>
      </c>
    </row>
    <row r="196" spans="1:3">
      <c r="A196" s="236" t="s">
        <v>2810</v>
      </c>
      <c r="B196" s="236">
        <v>2032476</v>
      </c>
      <c r="C196" s="236" t="s">
        <v>2986</v>
      </c>
    </row>
    <row r="197" spans="1:3">
      <c r="A197" s="236" t="s">
        <v>2810</v>
      </c>
      <c r="B197" s="236">
        <v>1992666</v>
      </c>
      <c r="C197" s="236" t="s">
        <v>2986</v>
      </c>
    </row>
    <row r="198" spans="1:3">
      <c r="A198" s="236" t="s">
        <v>2810</v>
      </c>
      <c r="B198" s="236">
        <v>2055457</v>
      </c>
      <c r="C198" s="236" t="s">
        <v>2986</v>
      </c>
    </row>
    <row r="199" spans="1:3">
      <c r="A199" s="236" t="s">
        <v>2810</v>
      </c>
      <c r="B199" s="236">
        <v>2001676</v>
      </c>
      <c r="C199" s="236" t="s">
        <v>2987</v>
      </c>
    </row>
    <row r="200" spans="1:3">
      <c r="A200" s="236" t="s">
        <v>2810</v>
      </c>
      <c r="B200" s="236">
        <v>2042149</v>
      </c>
      <c r="C200" s="236" t="s">
        <v>2987</v>
      </c>
    </row>
    <row r="201" spans="1:3">
      <c r="A201" s="236" t="s">
        <v>2810</v>
      </c>
      <c r="B201" s="236">
        <v>2021598</v>
      </c>
      <c r="C201" s="236" t="s">
        <v>2987</v>
      </c>
    </row>
    <row r="202" spans="1:3">
      <c r="A202" s="246" t="s">
        <v>2810</v>
      </c>
      <c r="B202" s="246">
        <v>1920435</v>
      </c>
      <c r="C202" s="246" t="s">
        <v>2986</v>
      </c>
    </row>
    <row r="203" spans="1:3">
      <c r="A203" s="246" t="s">
        <v>2810</v>
      </c>
      <c r="B203" s="246">
        <v>2049887</v>
      </c>
      <c r="C203" s="246" t="s">
        <v>2986</v>
      </c>
    </row>
    <row r="204" spans="1:3">
      <c r="A204" s="246" t="s">
        <v>2810</v>
      </c>
      <c r="B204" s="246">
        <v>1959403</v>
      </c>
      <c r="C204" s="246" t="s">
        <v>2986</v>
      </c>
    </row>
    <row r="205" spans="1:3">
      <c r="A205" s="246" t="s">
        <v>2810</v>
      </c>
      <c r="B205" s="246">
        <v>1959732</v>
      </c>
      <c r="C205" s="246" t="s">
        <v>2986</v>
      </c>
    </row>
    <row r="206" spans="1:3">
      <c r="A206" s="246" t="s">
        <v>2810</v>
      </c>
      <c r="B206" s="246">
        <v>2015106</v>
      </c>
      <c r="C206" s="246" t="s">
        <v>2986</v>
      </c>
    </row>
    <row r="207" spans="1:3">
      <c r="A207" s="246" t="s">
        <v>2810</v>
      </c>
      <c r="B207" s="246">
        <v>1910352</v>
      </c>
      <c r="C207" s="246" t="s">
        <v>2986</v>
      </c>
    </row>
    <row r="208" spans="1:3">
      <c r="A208" s="246" t="s">
        <v>2810</v>
      </c>
      <c r="B208" s="246">
        <v>1960227</v>
      </c>
      <c r="C208" s="246" t="s">
        <v>2986</v>
      </c>
    </row>
    <row r="209" spans="1:3">
      <c r="A209" s="246" t="s">
        <v>2810</v>
      </c>
      <c r="B209" s="246">
        <v>1971725</v>
      </c>
      <c r="C209" s="246" t="s">
        <v>2986</v>
      </c>
    </row>
    <row r="210" spans="1:3">
      <c r="A210" s="246" t="s">
        <v>2810</v>
      </c>
      <c r="B210" s="246">
        <v>1938207</v>
      </c>
      <c r="C210" s="246" t="s">
        <v>2986</v>
      </c>
    </row>
    <row r="211" spans="1:3">
      <c r="A211" s="246" t="s">
        <v>2810</v>
      </c>
      <c r="B211" s="246">
        <v>1937084</v>
      </c>
      <c r="C211" s="246" t="s">
        <v>2986</v>
      </c>
    </row>
    <row r="212" spans="1:3">
      <c r="A212" s="246" t="s">
        <v>2810</v>
      </c>
      <c r="B212" s="246">
        <v>1940237</v>
      </c>
      <c r="C212" s="246" t="s">
        <v>2986</v>
      </c>
    </row>
    <row r="213" spans="1:3">
      <c r="A213" s="246" t="s">
        <v>2810</v>
      </c>
      <c r="B213" s="246">
        <v>1937539</v>
      </c>
      <c r="C213" s="246" t="s">
        <v>2986</v>
      </c>
    </row>
    <row r="214" spans="1:3">
      <c r="A214" s="246" t="s">
        <v>2810</v>
      </c>
      <c r="B214" s="246">
        <v>1984319</v>
      </c>
      <c r="C214" s="246" t="s">
        <v>2986</v>
      </c>
    </row>
    <row r="215" spans="1:3">
      <c r="A215" s="246" t="s">
        <v>2810</v>
      </c>
      <c r="B215" s="246">
        <v>2171967</v>
      </c>
      <c r="C215" s="246" t="s">
        <v>2986</v>
      </c>
    </row>
    <row r="216" spans="1:3">
      <c r="A216" s="246" t="s">
        <v>2810</v>
      </c>
      <c r="B216" s="246">
        <v>2001676</v>
      </c>
      <c r="C216" s="246" t="s">
        <v>2986</v>
      </c>
    </row>
    <row r="217" spans="1:3">
      <c r="A217" s="246" t="s">
        <v>2810</v>
      </c>
      <c r="B217" s="246">
        <v>1955718</v>
      </c>
      <c r="C217" s="246" t="s">
        <v>2986</v>
      </c>
    </row>
    <row r="218" spans="1:3">
      <c r="A218" s="246" t="s">
        <v>2810</v>
      </c>
      <c r="B218" s="246">
        <v>1941296</v>
      </c>
      <c r="C218" s="246" t="s">
        <v>2986</v>
      </c>
    </row>
    <row r="219" spans="1:3">
      <c r="A219" s="246" t="s">
        <v>2810</v>
      </c>
      <c r="B219" s="246">
        <v>1941296</v>
      </c>
      <c r="C219" s="246" t="s">
        <v>2986</v>
      </c>
    </row>
    <row r="220" spans="1:3">
      <c r="A220" s="246" t="s">
        <v>2810</v>
      </c>
      <c r="B220" s="246">
        <v>2004219</v>
      </c>
      <c r="C220" s="246" t="s">
        <v>2986</v>
      </c>
    </row>
    <row r="221" spans="1:3">
      <c r="A221" s="246" t="s">
        <v>2810</v>
      </c>
      <c r="B221" s="246">
        <v>1949854</v>
      </c>
      <c r="C221" s="246" t="s">
        <v>2986</v>
      </c>
    </row>
    <row r="222" spans="1:3">
      <c r="A222" s="246" t="s">
        <v>2810</v>
      </c>
      <c r="B222" s="246">
        <v>1931051</v>
      </c>
      <c r="C222" s="246" t="s">
        <v>2986</v>
      </c>
    </row>
    <row r="223" spans="1:3">
      <c r="A223" s="246" t="s">
        <v>2810</v>
      </c>
      <c r="B223" s="246">
        <v>1977676</v>
      </c>
      <c r="C223" s="246" t="s">
        <v>2986</v>
      </c>
    </row>
    <row r="224" spans="1:3">
      <c r="A224" s="246" t="s">
        <v>2810</v>
      </c>
      <c r="B224" s="246">
        <v>2044539</v>
      </c>
      <c r="C224" s="246" t="s">
        <v>2986</v>
      </c>
    </row>
    <row r="225" spans="1:3">
      <c r="A225" s="246" t="s">
        <v>2810</v>
      </c>
      <c r="B225" s="246">
        <v>2042149</v>
      </c>
      <c r="C225" s="246" t="s">
        <v>2986</v>
      </c>
    </row>
    <row r="226" spans="1:3">
      <c r="A226" s="246" t="s">
        <v>2810</v>
      </c>
      <c r="B226" s="246">
        <v>1998364</v>
      </c>
      <c r="C226" s="246" t="s">
        <v>2986</v>
      </c>
    </row>
    <row r="227" spans="1:3">
      <c r="A227" s="246" t="s">
        <v>2810</v>
      </c>
      <c r="B227" s="246">
        <v>2018460</v>
      </c>
      <c r="C227" s="246" t="s">
        <v>2986</v>
      </c>
    </row>
    <row r="228" spans="1:3">
      <c r="A228" s="246" t="s">
        <v>2810</v>
      </c>
      <c r="B228" s="246">
        <v>2030944</v>
      </c>
      <c r="C228" s="246" t="s">
        <v>2986</v>
      </c>
    </row>
    <row r="229" spans="1:3">
      <c r="A229" s="246" t="s">
        <v>2810</v>
      </c>
      <c r="B229" s="246">
        <v>2034990</v>
      </c>
      <c r="C229" s="246" t="s">
        <v>2986</v>
      </c>
    </row>
    <row r="230" spans="1:3">
      <c r="A230" s="246" t="s">
        <v>2810</v>
      </c>
      <c r="B230" s="246">
        <v>2021598</v>
      </c>
      <c r="C230" s="246" t="s">
        <v>2986</v>
      </c>
    </row>
    <row r="231" spans="1:3">
      <c r="A231" s="246" t="s">
        <v>2810</v>
      </c>
      <c r="B231" s="246">
        <v>2033301</v>
      </c>
      <c r="C231" s="246" t="s">
        <v>2986</v>
      </c>
    </row>
    <row r="232" spans="1:3">
      <c r="A232" s="246" t="s">
        <v>2810</v>
      </c>
      <c r="B232" s="246">
        <v>2202528</v>
      </c>
      <c r="C232" s="246" t="s">
        <v>2986</v>
      </c>
    </row>
    <row r="233" spans="1:3">
      <c r="A233" s="246" t="s">
        <v>2810</v>
      </c>
      <c r="B233" s="246">
        <v>2005461</v>
      </c>
      <c r="C233" s="246" t="s">
        <v>2986</v>
      </c>
    </row>
    <row r="234" spans="1:3">
      <c r="A234" s="246" t="s">
        <v>2810</v>
      </c>
      <c r="B234" s="246">
        <v>2080223</v>
      </c>
      <c r="C234" s="246" t="s">
        <v>2986</v>
      </c>
    </row>
    <row r="235" spans="1:3">
      <c r="A235" s="236" t="s">
        <v>1771</v>
      </c>
      <c r="B235" s="272">
        <v>1907947</v>
      </c>
    </row>
    <row r="236" spans="1:3">
      <c r="A236" s="236" t="s">
        <v>1771</v>
      </c>
      <c r="B236" s="236">
        <v>1907951</v>
      </c>
    </row>
    <row r="237" spans="1:3">
      <c r="A237" s="236" t="s">
        <v>1771</v>
      </c>
      <c r="B237" s="236">
        <v>2081220</v>
      </c>
    </row>
    <row r="238" spans="1:3">
      <c r="A238" s="236" t="s">
        <v>1771</v>
      </c>
      <c r="B238" s="236">
        <v>1235112</v>
      </c>
    </row>
    <row r="239" spans="1:3">
      <c r="A239" s="236" t="s">
        <v>1771</v>
      </c>
      <c r="B239" s="236">
        <v>1577971</v>
      </c>
    </row>
    <row r="240" spans="1:3">
      <c r="A240" s="236" t="s">
        <v>1771</v>
      </c>
      <c r="B240" s="236">
        <v>1562688</v>
      </c>
    </row>
    <row r="241" spans="1:2">
      <c r="A241" s="236" t="s">
        <v>1771</v>
      </c>
      <c r="B241" s="236">
        <v>1585893</v>
      </c>
    </row>
    <row r="242" spans="1:2">
      <c r="A242" s="236" t="s">
        <v>1771</v>
      </c>
      <c r="B242" s="236">
        <v>1560129</v>
      </c>
    </row>
    <row r="243" spans="1:2">
      <c r="A243" s="236" t="s">
        <v>1771</v>
      </c>
      <c r="B243" s="236">
        <v>1596959</v>
      </c>
    </row>
    <row r="244" spans="1:2">
      <c r="A244" s="236" t="s">
        <v>1771</v>
      </c>
      <c r="B244" s="236">
        <v>1603874</v>
      </c>
    </row>
    <row r="245" spans="1:2">
      <c r="A245" s="236" t="s">
        <v>1771</v>
      </c>
      <c r="B245" s="236">
        <v>1629018</v>
      </c>
    </row>
    <row r="246" spans="1:2">
      <c r="A246" s="236" t="s">
        <v>1771</v>
      </c>
      <c r="B246" s="236">
        <v>1579903</v>
      </c>
    </row>
    <row r="247" spans="1:2">
      <c r="A247" s="236" t="s">
        <v>1771</v>
      </c>
      <c r="B247" s="236">
        <v>1662984</v>
      </c>
    </row>
    <row r="248" spans="1:2">
      <c r="A248" s="236" t="s">
        <v>1771</v>
      </c>
      <c r="B248" s="236">
        <v>1828857</v>
      </c>
    </row>
    <row r="249" spans="1:2">
      <c r="A249" s="236" t="s">
        <v>1771</v>
      </c>
      <c r="B249" s="236">
        <v>1740003</v>
      </c>
    </row>
    <row r="250" spans="1:2">
      <c r="A250" s="236" t="s">
        <v>1771</v>
      </c>
      <c r="B250" s="236">
        <v>1764473</v>
      </c>
    </row>
    <row r="251" spans="1:2">
      <c r="A251" s="236" t="s">
        <v>1771</v>
      </c>
      <c r="B251" s="236">
        <v>1946454</v>
      </c>
    </row>
    <row r="252" spans="1:2">
      <c r="A252" s="236" t="s">
        <v>1771</v>
      </c>
      <c r="B252" s="236">
        <v>1970596</v>
      </c>
    </row>
    <row r="253" spans="1:2">
      <c r="A253" s="236" t="s">
        <v>1771</v>
      </c>
      <c r="B253" s="236">
        <v>1959344</v>
      </c>
    </row>
    <row r="254" spans="1:2">
      <c r="A254" s="236" t="s">
        <v>1771</v>
      </c>
      <c r="B254" s="236">
        <v>1887736</v>
      </c>
    </row>
    <row r="255" spans="1:2">
      <c r="A255" s="236" t="s">
        <v>1771</v>
      </c>
      <c r="B255" s="236">
        <v>1801673</v>
      </c>
    </row>
    <row r="256" spans="1:2">
      <c r="A256" s="236" t="s">
        <v>1771</v>
      </c>
      <c r="B256" s="236">
        <v>1900588</v>
      </c>
    </row>
    <row r="257" spans="1:3">
      <c r="A257" s="236" t="s">
        <v>1771</v>
      </c>
      <c r="B257" s="236">
        <v>1909493</v>
      </c>
    </row>
    <row r="258" spans="1:3">
      <c r="A258" s="236" t="s">
        <v>1771</v>
      </c>
      <c r="B258" s="236">
        <v>1957320</v>
      </c>
    </row>
    <row r="259" spans="1:3">
      <c r="A259" s="236" t="s">
        <v>1771</v>
      </c>
      <c r="B259" s="236">
        <v>2046769</v>
      </c>
    </row>
    <row r="260" spans="1:3">
      <c r="A260" s="236" t="s">
        <v>1771</v>
      </c>
      <c r="B260" s="236">
        <v>2046770</v>
      </c>
    </row>
    <row r="261" spans="1:3">
      <c r="A261" s="236" t="s">
        <v>1771</v>
      </c>
      <c r="B261" s="236">
        <v>2081221</v>
      </c>
    </row>
    <row r="262" spans="1:3">
      <c r="A262" s="236" t="s">
        <v>1771</v>
      </c>
      <c r="B262" s="236">
        <v>2030050</v>
      </c>
    </row>
    <row r="263" spans="1:3">
      <c r="A263" s="236" t="s">
        <v>2906</v>
      </c>
      <c r="B263" s="236">
        <v>2002991</v>
      </c>
      <c r="C263" s="236"/>
    </row>
    <row r="264" spans="1:3">
      <c r="A264" s="236" t="s">
        <v>1691</v>
      </c>
      <c r="B264" s="236">
        <v>2029094</v>
      </c>
      <c r="C264" s="236"/>
    </row>
    <row r="265" spans="1:3">
      <c r="A265" s="236" t="s">
        <v>2736</v>
      </c>
      <c r="B265" s="236">
        <v>1981224</v>
      </c>
      <c r="C265" s="236"/>
    </row>
    <row r="266" spans="1:3">
      <c r="A266" s="236" t="s">
        <v>2736</v>
      </c>
      <c r="B266" s="236">
        <v>1962979</v>
      </c>
      <c r="C266" s="236"/>
    </row>
    <row r="267" spans="1:3">
      <c r="A267" s="236" t="s">
        <v>2811</v>
      </c>
      <c r="B267" s="236">
        <v>1908080</v>
      </c>
      <c r="C267" s="236" t="s">
        <v>2986</v>
      </c>
    </row>
    <row r="268" spans="1:3">
      <c r="A268" s="236" t="s">
        <v>2811</v>
      </c>
      <c r="B268" s="236">
        <v>1908081</v>
      </c>
      <c r="C268" s="236" t="s">
        <v>2986</v>
      </c>
    </row>
    <row r="269" spans="1:3">
      <c r="A269" s="236" t="s">
        <v>2812</v>
      </c>
      <c r="B269" s="246">
        <v>1900140</v>
      </c>
      <c r="C269" s="246" t="s">
        <v>2987</v>
      </c>
    </row>
    <row r="270" spans="1:3">
      <c r="A270" s="236" t="s">
        <v>2812</v>
      </c>
      <c r="B270" s="246">
        <v>1924892</v>
      </c>
      <c r="C270" s="246" t="s">
        <v>2987</v>
      </c>
    </row>
    <row r="271" spans="1:3">
      <c r="A271" s="236" t="s">
        <v>2812</v>
      </c>
      <c r="B271" s="246">
        <v>1923043</v>
      </c>
      <c r="C271" s="246" t="s">
        <v>2987</v>
      </c>
    </row>
    <row r="272" spans="1:3">
      <c r="A272" s="236" t="s">
        <v>2812</v>
      </c>
      <c r="B272" s="246">
        <v>1971737</v>
      </c>
      <c r="C272" s="246" t="s">
        <v>2987</v>
      </c>
    </row>
    <row r="273" spans="1:3">
      <c r="A273" s="236" t="s">
        <v>2812</v>
      </c>
      <c r="B273" s="246">
        <v>2085877</v>
      </c>
      <c r="C273" s="246" t="s">
        <v>2987</v>
      </c>
    </row>
    <row r="274" spans="1:3">
      <c r="A274" s="236" t="s">
        <v>2812</v>
      </c>
      <c r="B274" s="246">
        <v>2085878</v>
      </c>
      <c r="C274" s="246" t="s">
        <v>2987</v>
      </c>
    </row>
    <row r="275" spans="1:3">
      <c r="A275" s="236" t="s">
        <v>2812</v>
      </c>
      <c r="B275" s="246">
        <v>1924890</v>
      </c>
      <c r="C275" s="246" t="s">
        <v>2987</v>
      </c>
    </row>
    <row r="276" spans="1:3">
      <c r="A276" s="236" t="s">
        <v>2812</v>
      </c>
      <c r="B276" s="246">
        <v>1939738</v>
      </c>
      <c r="C276" s="246" t="s">
        <v>2987</v>
      </c>
    </row>
    <row r="277" spans="1:3">
      <c r="A277" s="236" t="s">
        <v>2812</v>
      </c>
      <c r="B277" s="246">
        <v>1924901</v>
      </c>
      <c r="C277" s="246" t="s">
        <v>2987</v>
      </c>
    </row>
    <row r="278" spans="1:3">
      <c r="A278" s="236" t="s">
        <v>2812</v>
      </c>
      <c r="B278" s="246">
        <v>1928714</v>
      </c>
      <c r="C278" s="246" t="s">
        <v>2987</v>
      </c>
    </row>
    <row r="279" spans="1:3">
      <c r="A279" s="236" t="s">
        <v>2812</v>
      </c>
      <c r="B279" s="246">
        <v>1900034</v>
      </c>
      <c r="C279" s="246" t="s">
        <v>2987</v>
      </c>
    </row>
    <row r="280" spans="1:3">
      <c r="A280" s="236" t="s">
        <v>2812</v>
      </c>
      <c r="B280" s="246">
        <v>1974935</v>
      </c>
      <c r="C280" s="246" t="s">
        <v>2987</v>
      </c>
    </row>
    <row r="281" spans="1:3">
      <c r="A281" s="236" t="s">
        <v>2812</v>
      </c>
      <c r="B281" s="246">
        <v>1951043</v>
      </c>
      <c r="C281" s="246" t="s">
        <v>2987</v>
      </c>
    </row>
    <row r="282" spans="1:3">
      <c r="A282" s="236" t="s">
        <v>2812</v>
      </c>
      <c r="B282" s="246">
        <v>1928709</v>
      </c>
      <c r="C282" s="246" t="s">
        <v>2987</v>
      </c>
    </row>
    <row r="283" spans="1:3">
      <c r="A283" s="236" t="s">
        <v>2812</v>
      </c>
      <c r="B283" s="246">
        <v>1968112</v>
      </c>
      <c r="C283" s="246" t="s">
        <v>2987</v>
      </c>
    </row>
    <row r="284" spans="1:3">
      <c r="A284" s="236" t="s">
        <v>2812</v>
      </c>
      <c r="B284" s="246">
        <v>2044864</v>
      </c>
      <c r="C284" s="246" t="s">
        <v>2987</v>
      </c>
    </row>
    <row r="285" spans="1:3">
      <c r="A285" s="236" t="s">
        <v>2812</v>
      </c>
      <c r="B285" s="246">
        <v>2013116</v>
      </c>
      <c r="C285" s="246" t="s">
        <v>2987</v>
      </c>
    </row>
    <row r="286" spans="1:3">
      <c r="A286" s="236" t="s">
        <v>2812</v>
      </c>
      <c r="B286" s="246">
        <v>1923764</v>
      </c>
      <c r="C286" s="246" t="s">
        <v>2987</v>
      </c>
    </row>
    <row r="287" spans="1:3">
      <c r="A287" s="236" t="s">
        <v>2812</v>
      </c>
      <c r="B287" s="246">
        <v>1926255</v>
      </c>
      <c r="C287" s="246" t="s">
        <v>2987</v>
      </c>
    </row>
    <row r="288" spans="1:3">
      <c r="A288" s="236" t="s">
        <v>2812</v>
      </c>
      <c r="B288" s="246">
        <v>1910492</v>
      </c>
      <c r="C288" s="246" t="s">
        <v>2987</v>
      </c>
    </row>
    <row r="289" spans="1:3">
      <c r="A289" s="236" t="s">
        <v>2812</v>
      </c>
      <c r="B289" s="246">
        <v>2000058</v>
      </c>
      <c r="C289" s="246" t="s">
        <v>2987</v>
      </c>
    </row>
    <row r="290" spans="1:3">
      <c r="A290" s="236" t="s">
        <v>2812</v>
      </c>
      <c r="B290" s="246">
        <v>1957128</v>
      </c>
      <c r="C290" s="246" t="s">
        <v>2987</v>
      </c>
    </row>
    <row r="291" spans="1:3">
      <c r="A291" s="236" t="s">
        <v>2812</v>
      </c>
      <c r="B291" s="246">
        <v>2044810</v>
      </c>
      <c r="C291" s="246" t="s">
        <v>2987</v>
      </c>
    </row>
    <row r="292" spans="1:3">
      <c r="A292" s="236" t="s">
        <v>2812</v>
      </c>
      <c r="B292" s="246">
        <v>2059199</v>
      </c>
      <c r="C292" s="246" t="s">
        <v>2987</v>
      </c>
    </row>
    <row r="293" spans="1:3">
      <c r="A293" s="236" t="s">
        <v>2812</v>
      </c>
      <c r="B293" s="246">
        <v>2072091</v>
      </c>
      <c r="C293" s="246" t="s">
        <v>2987</v>
      </c>
    </row>
    <row r="294" spans="1:3">
      <c r="A294" s="236" t="s">
        <v>2812</v>
      </c>
      <c r="B294" s="246">
        <v>2107623</v>
      </c>
      <c r="C294" s="246" t="s">
        <v>2987</v>
      </c>
    </row>
    <row r="295" spans="1:3">
      <c r="A295" s="236" t="s">
        <v>2812</v>
      </c>
      <c r="B295" s="246">
        <v>1919673</v>
      </c>
      <c r="C295" s="246" t="s">
        <v>2987</v>
      </c>
    </row>
    <row r="296" spans="1:3">
      <c r="A296" s="236" t="s">
        <v>2812</v>
      </c>
      <c r="B296" s="246">
        <v>2032401</v>
      </c>
      <c r="C296" s="246" t="s">
        <v>2987</v>
      </c>
    </row>
    <row r="297" spans="1:3">
      <c r="A297" s="236" t="s">
        <v>2812</v>
      </c>
      <c r="B297" s="246">
        <v>2063016</v>
      </c>
      <c r="C297" s="246" t="s">
        <v>2987</v>
      </c>
    </row>
    <row r="298" spans="1:3">
      <c r="A298" s="236" t="s">
        <v>2812</v>
      </c>
      <c r="B298" s="246">
        <v>1954512</v>
      </c>
      <c r="C298" s="246" t="s">
        <v>2987</v>
      </c>
    </row>
    <row r="299" spans="1:3">
      <c r="A299" s="236" t="s">
        <v>2812</v>
      </c>
      <c r="B299" s="246">
        <v>1963510</v>
      </c>
      <c r="C299" s="246" t="s">
        <v>2987</v>
      </c>
    </row>
    <row r="300" spans="1:3">
      <c r="A300" s="236" t="s">
        <v>2812</v>
      </c>
      <c r="B300" s="246">
        <v>2047943</v>
      </c>
      <c r="C300" s="246" t="s">
        <v>2987</v>
      </c>
    </row>
    <row r="301" spans="1:3">
      <c r="A301" s="236" t="s">
        <v>2812</v>
      </c>
      <c r="B301" s="246">
        <v>1978979</v>
      </c>
      <c r="C301" s="246" t="s">
        <v>2987</v>
      </c>
    </row>
    <row r="302" spans="1:3">
      <c r="A302" s="236" t="s">
        <v>2812</v>
      </c>
      <c r="B302" s="246">
        <v>1993576</v>
      </c>
      <c r="C302" s="246" t="s">
        <v>2987</v>
      </c>
    </row>
    <row r="303" spans="1:3">
      <c r="A303" s="236" t="s">
        <v>2812</v>
      </c>
      <c r="B303" s="246">
        <v>2098441</v>
      </c>
      <c r="C303" s="246" t="s">
        <v>2987</v>
      </c>
    </row>
    <row r="304" spans="1:3">
      <c r="A304" s="236" t="s">
        <v>2812</v>
      </c>
      <c r="B304" s="246">
        <v>2098442</v>
      </c>
      <c r="C304" s="246" t="s">
        <v>2987</v>
      </c>
    </row>
    <row r="305" spans="1:3">
      <c r="A305" s="236" t="s">
        <v>2812</v>
      </c>
      <c r="B305" s="246">
        <v>2068879</v>
      </c>
      <c r="C305" s="246" t="s">
        <v>2987</v>
      </c>
    </row>
    <row r="306" spans="1:3">
      <c r="A306" s="236" t="s">
        <v>2812</v>
      </c>
      <c r="B306" s="246">
        <v>2027411</v>
      </c>
      <c r="C306" s="246" t="s">
        <v>2987</v>
      </c>
    </row>
    <row r="307" spans="1:3">
      <c r="A307" s="236" t="s">
        <v>2812</v>
      </c>
      <c r="B307" s="246">
        <v>2059426</v>
      </c>
      <c r="C307" s="246" t="s">
        <v>2987</v>
      </c>
    </row>
    <row r="308" spans="1:3">
      <c r="A308" s="236" t="s">
        <v>2812</v>
      </c>
      <c r="B308" s="246">
        <v>2075909</v>
      </c>
      <c r="C308" s="246" t="s">
        <v>2987</v>
      </c>
    </row>
    <row r="309" spans="1:3">
      <c r="A309" s="236" t="s">
        <v>2812</v>
      </c>
      <c r="B309" s="246">
        <v>2079470</v>
      </c>
      <c r="C309" s="246" t="s">
        <v>2987</v>
      </c>
    </row>
    <row r="310" spans="1:3">
      <c r="A310" s="236" t="s">
        <v>2812</v>
      </c>
      <c r="B310" s="246">
        <v>2046320</v>
      </c>
      <c r="C310" s="246" t="s">
        <v>2987</v>
      </c>
    </row>
    <row r="311" spans="1:3">
      <c r="A311" s="236" t="s">
        <v>2812</v>
      </c>
      <c r="B311" s="236">
        <v>1954346</v>
      </c>
      <c r="C311" s="236" t="s">
        <v>2987</v>
      </c>
    </row>
    <row r="312" spans="1:3">
      <c r="A312" s="236" t="s">
        <v>2812</v>
      </c>
      <c r="B312" s="236">
        <v>1969479</v>
      </c>
      <c r="C312" s="236" t="s">
        <v>2987</v>
      </c>
    </row>
    <row r="313" spans="1:3">
      <c r="A313" s="236" t="s">
        <v>2812</v>
      </c>
      <c r="B313" s="236">
        <v>1897866</v>
      </c>
      <c r="C313" s="236" t="s">
        <v>2987</v>
      </c>
    </row>
    <row r="314" spans="1:3">
      <c r="A314" s="236" t="s">
        <v>2812</v>
      </c>
      <c r="B314" s="236">
        <v>1900869</v>
      </c>
      <c r="C314" s="236" t="s">
        <v>2987</v>
      </c>
    </row>
    <row r="315" spans="1:3">
      <c r="A315" s="236" t="s">
        <v>2812</v>
      </c>
      <c r="B315" s="236">
        <v>1969469</v>
      </c>
      <c r="C315" s="236" t="s">
        <v>2987</v>
      </c>
    </row>
    <row r="316" spans="1:3">
      <c r="A316" s="236" t="s">
        <v>2812</v>
      </c>
      <c r="B316" s="236">
        <v>2059884</v>
      </c>
      <c r="C316" s="236" t="s">
        <v>2987</v>
      </c>
    </row>
    <row r="317" spans="1:3">
      <c r="A317" s="236" t="s">
        <v>2812</v>
      </c>
      <c r="B317" s="236">
        <v>2019718</v>
      </c>
      <c r="C317" s="236" t="s">
        <v>2987</v>
      </c>
    </row>
    <row r="318" spans="1:3">
      <c r="A318" s="236" t="s">
        <v>2812</v>
      </c>
      <c r="B318" s="236">
        <v>1997493</v>
      </c>
      <c r="C318" s="236" t="s">
        <v>2986</v>
      </c>
    </row>
    <row r="319" spans="1:3">
      <c r="A319" s="236" t="s">
        <v>2812</v>
      </c>
      <c r="B319" s="236">
        <v>1980941</v>
      </c>
      <c r="C319" s="236" t="s">
        <v>2986</v>
      </c>
    </row>
    <row r="320" spans="1:3">
      <c r="A320" s="236" t="s">
        <v>2812</v>
      </c>
      <c r="B320" s="236">
        <v>1954452</v>
      </c>
      <c r="C320" s="236" t="s">
        <v>2986</v>
      </c>
    </row>
    <row r="321" spans="1:3">
      <c r="A321" s="236" t="s">
        <v>2812</v>
      </c>
      <c r="B321" s="236">
        <v>1976300</v>
      </c>
      <c r="C321" s="236" t="s">
        <v>2986</v>
      </c>
    </row>
    <row r="322" spans="1:3">
      <c r="A322" s="236" t="s">
        <v>2812</v>
      </c>
      <c r="B322" s="236">
        <v>1912661</v>
      </c>
      <c r="C322" s="236" t="s">
        <v>2986</v>
      </c>
    </row>
    <row r="323" spans="1:3">
      <c r="A323" s="236" t="s">
        <v>2812</v>
      </c>
      <c r="B323" s="236">
        <v>2008989</v>
      </c>
      <c r="C323" s="236" t="s">
        <v>2986</v>
      </c>
    </row>
    <row r="324" spans="1:3">
      <c r="A324" s="236" t="s">
        <v>2812</v>
      </c>
      <c r="B324" s="236">
        <v>2039691</v>
      </c>
      <c r="C324" s="236" t="s">
        <v>2986</v>
      </c>
    </row>
    <row r="325" spans="1:3">
      <c r="A325" s="236" t="s">
        <v>2812</v>
      </c>
      <c r="B325" s="236">
        <v>1997325</v>
      </c>
      <c r="C325" s="236" t="s">
        <v>2986</v>
      </c>
    </row>
    <row r="326" spans="1:3">
      <c r="A326" s="236" t="s">
        <v>2812</v>
      </c>
      <c r="B326" s="236">
        <v>2047282</v>
      </c>
      <c r="C326" s="236" t="s">
        <v>2986</v>
      </c>
    </row>
    <row r="327" spans="1:3">
      <c r="A327" s="236" t="s">
        <v>2812</v>
      </c>
      <c r="B327" s="236">
        <v>2058409</v>
      </c>
      <c r="C327" s="236" t="s">
        <v>2986</v>
      </c>
    </row>
    <row r="328" spans="1:3">
      <c r="A328" s="236" t="s">
        <v>2813</v>
      </c>
      <c r="B328" s="236">
        <v>2046260</v>
      </c>
      <c r="C328" s="236" t="s">
        <v>2986</v>
      </c>
    </row>
    <row r="329" spans="1:3">
      <c r="A329" s="236" t="s">
        <v>2813</v>
      </c>
      <c r="B329" s="236">
        <v>2025698</v>
      </c>
      <c r="C329" s="236" t="s">
        <v>2986</v>
      </c>
    </row>
    <row r="330" spans="1:3">
      <c r="A330" s="236" t="s">
        <v>2813</v>
      </c>
      <c r="B330" s="236">
        <v>2047099</v>
      </c>
      <c r="C330" s="236" t="s">
        <v>2986</v>
      </c>
    </row>
    <row r="331" spans="1:3">
      <c r="A331" s="236" t="s">
        <v>2813</v>
      </c>
      <c r="B331" s="236">
        <v>1806240</v>
      </c>
      <c r="C331" s="236" t="s">
        <v>2986</v>
      </c>
    </row>
    <row r="332" spans="1:3">
      <c r="A332" s="236" t="s">
        <v>2813</v>
      </c>
      <c r="B332" s="236">
        <v>2055158</v>
      </c>
      <c r="C332" s="236" t="s">
        <v>2986</v>
      </c>
    </row>
    <row r="333" spans="1:3">
      <c r="A333" s="236" t="s">
        <v>2813</v>
      </c>
      <c r="B333" s="236">
        <v>2065987</v>
      </c>
      <c r="C333" s="236" t="s">
        <v>2986</v>
      </c>
    </row>
    <row r="334" spans="1:3">
      <c r="A334" s="236" t="s">
        <v>2813</v>
      </c>
      <c r="B334" s="236">
        <v>1992889</v>
      </c>
      <c r="C334" s="236" t="s">
        <v>2986</v>
      </c>
    </row>
    <row r="335" spans="1:3">
      <c r="A335" s="236" t="s">
        <v>2813</v>
      </c>
      <c r="B335" s="236">
        <v>2060694</v>
      </c>
      <c r="C335" s="236" t="s">
        <v>2986</v>
      </c>
    </row>
    <row r="336" spans="1:3">
      <c r="A336" s="236" t="s">
        <v>2813</v>
      </c>
      <c r="B336" s="236">
        <v>2078129</v>
      </c>
      <c r="C336" s="236" t="s">
        <v>2986</v>
      </c>
    </row>
    <row r="337" spans="1:3">
      <c r="A337" s="236" t="s">
        <v>2813</v>
      </c>
      <c r="B337" s="236">
        <v>2018608</v>
      </c>
      <c r="C337" s="236" t="s">
        <v>2986</v>
      </c>
    </row>
    <row r="338" spans="1:3">
      <c r="A338" s="236" t="s">
        <v>2813</v>
      </c>
      <c r="B338" s="236">
        <v>2017779</v>
      </c>
      <c r="C338" s="236" t="s">
        <v>2986</v>
      </c>
    </row>
    <row r="339" spans="1:3">
      <c r="A339" s="236" t="s">
        <v>2813</v>
      </c>
      <c r="B339" s="236">
        <v>2067324</v>
      </c>
      <c r="C339" s="236" t="s">
        <v>2986</v>
      </c>
    </row>
    <row r="340" spans="1:3">
      <c r="A340" s="236" t="s">
        <v>2813</v>
      </c>
      <c r="B340" s="236">
        <v>2067325</v>
      </c>
      <c r="C340" s="236" t="s">
        <v>2986</v>
      </c>
    </row>
    <row r="341" spans="1:3">
      <c r="A341" s="236" t="s">
        <v>2813</v>
      </c>
      <c r="B341" s="236">
        <v>2090454</v>
      </c>
      <c r="C341" s="236" t="s">
        <v>2986</v>
      </c>
    </row>
    <row r="342" spans="1:3">
      <c r="A342" s="236" t="s">
        <v>2813</v>
      </c>
      <c r="B342" s="236">
        <v>2005650</v>
      </c>
      <c r="C342" s="236" t="s">
        <v>2986</v>
      </c>
    </row>
    <row r="343" spans="1:3">
      <c r="A343" s="236" t="s">
        <v>2813</v>
      </c>
      <c r="B343" s="236">
        <v>2074256</v>
      </c>
      <c r="C343" s="236" t="s">
        <v>2986</v>
      </c>
    </row>
    <row r="344" spans="1:3">
      <c r="A344" s="236" t="s">
        <v>2813</v>
      </c>
      <c r="B344" s="236">
        <v>2043163</v>
      </c>
      <c r="C344" s="236" t="s">
        <v>2986</v>
      </c>
    </row>
    <row r="345" spans="1:3">
      <c r="A345" s="236" t="s">
        <v>2813</v>
      </c>
      <c r="B345" s="236">
        <v>1992486</v>
      </c>
      <c r="C345" s="236" t="s">
        <v>2986</v>
      </c>
    </row>
    <row r="346" spans="1:3">
      <c r="A346" s="236" t="s">
        <v>2813</v>
      </c>
      <c r="B346" s="236">
        <v>2048656</v>
      </c>
      <c r="C346" s="236" t="s">
        <v>2986</v>
      </c>
    </row>
    <row r="347" spans="1:3">
      <c r="A347" s="236" t="s">
        <v>2813</v>
      </c>
      <c r="B347" s="236">
        <v>2041516</v>
      </c>
      <c r="C347" s="236" t="s">
        <v>2986</v>
      </c>
    </row>
    <row r="348" spans="1:3">
      <c r="A348" s="236" t="s">
        <v>2813</v>
      </c>
      <c r="B348" s="236">
        <v>2012587</v>
      </c>
      <c r="C348" s="236" t="s">
        <v>2986</v>
      </c>
    </row>
    <row r="349" spans="1:3">
      <c r="A349" s="236" t="s">
        <v>2813</v>
      </c>
      <c r="B349" s="236">
        <v>2062971</v>
      </c>
      <c r="C349" s="236" t="s">
        <v>2986</v>
      </c>
    </row>
    <row r="350" spans="1:3">
      <c r="A350" s="236" t="s">
        <v>2813</v>
      </c>
      <c r="B350" s="236">
        <v>2026353</v>
      </c>
      <c r="C350" s="236" t="s">
        <v>2986</v>
      </c>
    </row>
    <row r="351" spans="1:3">
      <c r="A351" s="236" t="s">
        <v>2813</v>
      </c>
      <c r="B351" s="236">
        <v>2157019</v>
      </c>
      <c r="C351" s="236" t="s">
        <v>2986</v>
      </c>
    </row>
    <row r="352" spans="1:3">
      <c r="A352" s="236" t="s">
        <v>2813</v>
      </c>
      <c r="B352" s="236">
        <v>2037592</v>
      </c>
      <c r="C352" s="236" t="s">
        <v>2986</v>
      </c>
    </row>
    <row r="353" spans="1:3">
      <c r="A353" s="236" t="s">
        <v>2813</v>
      </c>
      <c r="B353" s="236">
        <v>2061776</v>
      </c>
      <c r="C353" s="236" t="s">
        <v>2986</v>
      </c>
    </row>
    <row r="354" spans="1:3">
      <c r="A354" s="236" t="s">
        <v>2813</v>
      </c>
      <c r="B354" s="236">
        <v>2065984</v>
      </c>
      <c r="C354" s="236" t="s">
        <v>2986</v>
      </c>
    </row>
    <row r="355" spans="1:3">
      <c r="A355" s="236" t="s">
        <v>2813</v>
      </c>
      <c r="B355" s="236">
        <v>1993345</v>
      </c>
      <c r="C355" s="236" t="s">
        <v>2986</v>
      </c>
    </row>
    <row r="356" spans="1:3">
      <c r="A356" s="236" t="s">
        <v>2813</v>
      </c>
      <c r="B356" s="236">
        <v>2117025</v>
      </c>
      <c r="C356" s="236" t="s">
        <v>2986</v>
      </c>
    </row>
    <row r="357" spans="1:3">
      <c r="A357" s="236" t="s">
        <v>2813</v>
      </c>
      <c r="B357" s="236">
        <v>2010200</v>
      </c>
      <c r="C357" s="236" t="s">
        <v>2986</v>
      </c>
    </row>
    <row r="358" spans="1:3">
      <c r="A358" s="236" t="s">
        <v>2813</v>
      </c>
      <c r="B358" s="236">
        <v>2020189</v>
      </c>
      <c r="C358" s="236" t="s">
        <v>2986</v>
      </c>
    </row>
    <row r="359" spans="1:3">
      <c r="A359" s="236" t="s">
        <v>2813</v>
      </c>
      <c r="B359" s="236">
        <v>2012892</v>
      </c>
      <c r="C359" s="236" t="s">
        <v>2986</v>
      </c>
    </row>
    <row r="360" spans="1:3">
      <c r="A360" s="236" t="s">
        <v>2813</v>
      </c>
      <c r="B360" s="236">
        <v>2041659</v>
      </c>
      <c r="C360" s="236" t="s">
        <v>2986</v>
      </c>
    </row>
    <row r="361" spans="1:3">
      <c r="A361" s="236" t="s">
        <v>2813</v>
      </c>
      <c r="B361" s="236">
        <v>2057058</v>
      </c>
      <c r="C361" s="236" t="s">
        <v>2986</v>
      </c>
    </row>
    <row r="362" spans="1:3">
      <c r="A362" s="236" t="s">
        <v>2813</v>
      </c>
      <c r="B362" s="236">
        <v>2058973</v>
      </c>
      <c r="C362" s="236" t="s">
        <v>2986</v>
      </c>
    </row>
    <row r="363" spans="1:3">
      <c r="A363" s="236" t="s">
        <v>2813</v>
      </c>
      <c r="B363" s="236">
        <v>2120943</v>
      </c>
      <c r="C363" s="236" t="s">
        <v>2986</v>
      </c>
    </row>
    <row r="364" spans="1:3">
      <c r="A364" s="236" t="s">
        <v>2814</v>
      </c>
      <c r="B364" s="236">
        <v>2092095</v>
      </c>
      <c r="C364" s="236" t="s">
        <v>2988</v>
      </c>
    </row>
    <row r="365" spans="1:3">
      <c r="A365" s="236" t="s">
        <v>2814</v>
      </c>
      <c r="B365" s="236">
        <v>2103794</v>
      </c>
      <c r="C365" s="236" t="s">
        <v>2988</v>
      </c>
    </row>
    <row r="366" spans="1:3">
      <c r="A366" s="236" t="s">
        <v>2814</v>
      </c>
      <c r="B366" s="236">
        <v>2036223</v>
      </c>
      <c r="C366" s="236" t="s">
        <v>2988</v>
      </c>
    </row>
    <row r="367" spans="1:3">
      <c r="A367" s="236" t="s">
        <v>2814</v>
      </c>
      <c r="B367" s="236">
        <v>2039071</v>
      </c>
      <c r="C367" s="236" t="s">
        <v>2988</v>
      </c>
    </row>
    <row r="368" spans="1:3">
      <c r="A368" s="236" t="s">
        <v>2814</v>
      </c>
      <c r="B368" s="236">
        <v>2162533</v>
      </c>
      <c r="C368" s="236" t="s">
        <v>2988</v>
      </c>
    </row>
    <row r="369" spans="1:3">
      <c r="A369" s="236" t="s">
        <v>2814</v>
      </c>
      <c r="B369" s="236">
        <v>2061301</v>
      </c>
      <c r="C369" s="236" t="s">
        <v>2988</v>
      </c>
    </row>
    <row r="370" spans="1:3">
      <c r="A370" s="236" t="s">
        <v>2814</v>
      </c>
      <c r="B370" s="236">
        <v>2068402</v>
      </c>
      <c r="C370" s="236" t="s">
        <v>2988</v>
      </c>
    </row>
    <row r="371" spans="1:3">
      <c r="A371" s="236" t="s">
        <v>2814</v>
      </c>
      <c r="B371" s="236">
        <v>2044133</v>
      </c>
      <c r="C371" s="236" t="s">
        <v>2988</v>
      </c>
    </row>
    <row r="372" spans="1:3">
      <c r="A372" s="236" t="s">
        <v>2814</v>
      </c>
      <c r="B372" s="236">
        <v>2094379</v>
      </c>
      <c r="C372" s="236" t="s">
        <v>2988</v>
      </c>
    </row>
    <row r="373" spans="1:3">
      <c r="A373" s="236" t="s">
        <v>2814</v>
      </c>
      <c r="B373" s="236">
        <v>2030127</v>
      </c>
      <c r="C373" s="236" t="s">
        <v>2988</v>
      </c>
    </row>
    <row r="374" spans="1:3">
      <c r="A374" s="236" t="s">
        <v>2814</v>
      </c>
      <c r="B374" s="236">
        <v>2162534</v>
      </c>
      <c r="C374" s="236" t="s">
        <v>2988</v>
      </c>
    </row>
    <row r="375" spans="1:3">
      <c r="A375" s="236" t="s">
        <v>2814</v>
      </c>
      <c r="B375" s="236">
        <v>2068422</v>
      </c>
      <c r="C375" s="236" t="s">
        <v>2988</v>
      </c>
    </row>
    <row r="376" spans="1:3">
      <c r="A376" s="236" t="s">
        <v>2814</v>
      </c>
      <c r="B376" s="236">
        <v>2261678</v>
      </c>
      <c r="C376" s="236" t="s">
        <v>2988</v>
      </c>
    </row>
    <row r="377" spans="1:3">
      <c r="A377" s="236" t="s">
        <v>2814</v>
      </c>
      <c r="B377" s="236">
        <v>2130896</v>
      </c>
      <c r="C377" s="236" t="s">
        <v>2988</v>
      </c>
    </row>
    <row r="378" spans="1:3">
      <c r="A378" s="236" t="s">
        <v>2814</v>
      </c>
      <c r="B378" s="236">
        <v>2078691</v>
      </c>
      <c r="C378" s="236" t="s">
        <v>2988</v>
      </c>
    </row>
    <row r="379" spans="1:3">
      <c r="A379" s="236" t="s">
        <v>2814</v>
      </c>
      <c r="B379" s="236">
        <v>2042183</v>
      </c>
      <c r="C379" s="236" t="s">
        <v>2988</v>
      </c>
    </row>
    <row r="380" spans="1:3">
      <c r="A380" s="236" t="s">
        <v>2814</v>
      </c>
      <c r="B380" s="236">
        <v>2032137</v>
      </c>
      <c r="C380" s="236" t="s">
        <v>2988</v>
      </c>
    </row>
    <row r="381" spans="1:3">
      <c r="A381" s="236" t="s">
        <v>2814</v>
      </c>
      <c r="B381" s="236">
        <v>2061945</v>
      </c>
      <c r="C381" s="236" t="s">
        <v>2988</v>
      </c>
    </row>
    <row r="382" spans="1:3">
      <c r="A382" s="236" t="s">
        <v>2814</v>
      </c>
      <c r="B382" s="236">
        <v>2080612</v>
      </c>
      <c r="C382" s="236" t="s">
        <v>2988</v>
      </c>
    </row>
    <row r="383" spans="1:3">
      <c r="A383" s="236" t="s">
        <v>2814</v>
      </c>
      <c r="B383" s="236">
        <v>2134593</v>
      </c>
      <c r="C383" s="236" t="s">
        <v>2988</v>
      </c>
    </row>
    <row r="384" spans="1:3">
      <c r="A384" s="236" t="s">
        <v>2814</v>
      </c>
      <c r="B384" s="236">
        <v>2044142</v>
      </c>
      <c r="C384" s="236" t="s">
        <v>2988</v>
      </c>
    </row>
    <row r="385" spans="1:3">
      <c r="A385" s="236" t="s">
        <v>2814</v>
      </c>
      <c r="B385" s="236">
        <v>2066938</v>
      </c>
      <c r="C385" s="236" t="s">
        <v>2988</v>
      </c>
    </row>
    <row r="386" spans="1:3">
      <c r="A386" s="236" t="s">
        <v>2814</v>
      </c>
      <c r="B386" s="236">
        <v>2036307</v>
      </c>
      <c r="C386" s="236" t="s">
        <v>2988</v>
      </c>
    </row>
    <row r="387" spans="1:3">
      <c r="A387" s="236" t="s">
        <v>2814</v>
      </c>
      <c r="B387" s="236">
        <v>2095772</v>
      </c>
      <c r="C387" s="236" t="s">
        <v>2988</v>
      </c>
    </row>
    <row r="388" spans="1:3">
      <c r="A388" s="236" t="s">
        <v>2814</v>
      </c>
      <c r="B388" s="236">
        <v>2108560</v>
      </c>
      <c r="C388" s="236" t="s">
        <v>2988</v>
      </c>
    </row>
    <row r="389" spans="1:3">
      <c r="A389" s="236" t="s">
        <v>2814</v>
      </c>
      <c r="B389" s="236">
        <v>2078642</v>
      </c>
      <c r="C389" s="236" t="s">
        <v>2988</v>
      </c>
    </row>
    <row r="390" spans="1:3">
      <c r="A390" s="236" t="s">
        <v>2814</v>
      </c>
      <c r="B390" s="236">
        <v>2027235</v>
      </c>
      <c r="C390" s="236" t="s">
        <v>2988</v>
      </c>
    </row>
    <row r="391" spans="1:3">
      <c r="A391" s="236" t="s">
        <v>2814</v>
      </c>
      <c r="B391" s="236">
        <v>2055991</v>
      </c>
      <c r="C391" s="236" t="s">
        <v>2988</v>
      </c>
    </row>
    <row r="392" spans="1:3">
      <c r="A392" s="236" t="s">
        <v>2814</v>
      </c>
      <c r="B392" s="236">
        <v>2067673</v>
      </c>
      <c r="C392" s="236" t="s">
        <v>2988</v>
      </c>
    </row>
    <row r="393" spans="1:3">
      <c r="A393" s="236" t="s">
        <v>2814</v>
      </c>
      <c r="B393" s="236">
        <v>2067648</v>
      </c>
      <c r="C393" s="236" t="s">
        <v>2988</v>
      </c>
    </row>
    <row r="394" spans="1:3">
      <c r="A394" s="236" t="s">
        <v>1380</v>
      </c>
      <c r="B394" s="236">
        <v>1776720</v>
      </c>
      <c r="C394" s="236" t="s">
        <v>2986</v>
      </c>
    </row>
    <row r="395" spans="1:3">
      <c r="A395" s="236" t="s">
        <v>1380</v>
      </c>
      <c r="B395" s="236">
        <v>1917734</v>
      </c>
      <c r="C395" s="236" t="s">
        <v>2986</v>
      </c>
    </row>
    <row r="396" spans="1:3">
      <c r="A396" s="236" t="s">
        <v>1380</v>
      </c>
      <c r="B396" s="236">
        <v>1893393</v>
      </c>
      <c r="C396" s="236" t="s">
        <v>2986</v>
      </c>
    </row>
    <row r="397" spans="1:3">
      <c r="A397" s="236" t="s">
        <v>1380</v>
      </c>
      <c r="B397" s="236">
        <v>1895424</v>
      </c>
      <c r="C397" s="236" t="s">
        <v>2986</v>
      </c>
    </row>
    <row r="398" spans="1:3">
      <c r="A398" s="236" t="s">
        <v>1380</v>
      </c>
      <c r="B398" s="236">
        <v>1892588</v>
      </c>
      <c r="C398" s="236" t="s">
        <v>2986</v>
      </c>
    </row>
    <row r="399" spans="1:3">
      <c r="A399" s="236" t="s">
        <v>1380</v>
      </c>
      <c r="B399" s="236">
        <v>2057695</v>
      </c>
      <c r="C399" s="236" t="s">
        <v>2986</v>
      </c>
    </row>
    <row r="400" spans="1:3">
      <c r="A400" s="236" t="s">
        <v>1380</v>
      </c>
      <c r="B400" s="236">
        <v>2020662</v>
      </c>
      <c r="C400" s="236" t="s">
        <v>2986</v>
      </c>
    </row>
    <row r="401" spans="1:3">
      <c r="A401" s="236" t="s">
        <v>1380</v>
      </c>
      <c r="B401" s="236">
        <v>2024398</v>
      </c>
      <c r="C401" s="236" t="s">
        <v>2986</v>
      </c>
    </row>
    <row r="402" spans="1:3">
      <c r="A402" s="236" t="s">
        <v>1380</v>
      </c>
      <c r="B402" s="236">
        <v>1779012</v>
      </c>
      <c r="C402" s="236" t="s">
        <v>2987</v>
      </c>
    </row>
    <row r="403" spans="1:3">
      <c r="A403" s="236" t="s">
        <v>1380</v>
      </c>
      <c r="B403" s="236">
        <v>1843051</v>
      </c>
      <c r="C403" s="236" t="s">
        <v>2987</v>
      </c>
    </row>
    <row r="404" spans="1:3">
      <c r="A404" s="236" t="s">
        <v>1380</v>
      </c>
      <c r="B404" s="236">
        <v>1762077</v>
      </c>
      <c r="C404" s="236" t="s">
        <v>2987</v>
      </c>
    </row>
    <row r="405" spans="1:3">
      <c r="A405" s="236" t="s">
        <v>1380</v>
      </c>
      <c r="B405" s="236">
        <v>1776721</v>
      </c>
      <c r="C405" s="236" t="s">
        <v>2987</v>
      </c>
    </row>
    <row r="406" spans="1:3">
      <c r="A406" s="236" t="s">
        <v>1380</v>
      </c>
      <c r="B406" s="236">
        <v>1938864</v>
      </c>
      <c r="C406" s="236" t="s">
        <v>2987</v>
      </c>
    </row>
    <row r="407" spans="1:3">
      <c r="A407" s="236" t="s">
        <v>1380</v>
      </c>
      <c r="B407" s="236">
        <v>1946332</v>
      </c>
      <c r="C407" s="236" t="s">
        <v>2987</v>
      </c>
    </row>
    <row r="408" spans="1:3">
      <c r="A408" s="236" t="s">
        <v>1380</v>
      </c>
      <c r="B408" s="236">
        <v>1986360</v>
      </c>
      <c r="C408" s="236" t="s">
        <v>2987</v>
      </c>
    </row>
    <row r="409" spans="1:3">
      <c r="A409" s="236" t="s">
        <v>1380</v>
      </c>
      <c r="B409" s="236">
        <v>1831728</v>
      </c>
      <c r="C409" s="236" t="s">
        <v>2987</v>
      </c>
    </row>
    <row r="410" spans="1:3">
      <c r="A410" s="236" t="s">
        <v>1380</v>
      </c>
      <c r="B410" s="236">
        <v>1965490</v>
      </c>
      <c r="C410" s="236" t="s">
        <v>2987</v>
      </c>
    </row>
    <row r="411" spans="1:3">
      <c r="A411" s="236" t="s">
        <v>1380</v>
      </c>
      <c r="B411" s="236">
        <v>1934005</v>
      </c>
      <c r="C411" s="236" t="s">
        <v>2987</v>
      </c>
    </row>
    <row r="412" spans="1:3">
      <c r="A412" s="236" t="s">
        <v>1380</v>
      </c>
      <c r="B412" s="236">
        <v>1903397</v>
      </c>
      <c r="C412" s="236" t="s">
        <v>2987</v>
      </c>
    </row>
    <row r="413" spans="1:3">
      <c r="A413" s="236" t="s">
        <v>1380</v>
      </c>
      <c r="B413" s="236">
        <v>1982186</v>
      </c>
      <c r="C413" s="236" t="s">
        <v>2987</v>
      </c>
    </row>
    <row r="414" spans="1:3">
      <c r="A414" s="236" t="s">
        <v>1380</v>
      </c>
      <c r="B414" s="236">
        <v>1859240</v>
      </c>
      <c r="C414" s="236" t="s">
        <v>2987</v>
      </c>
    </row>
    <row r="415" spans="1:3">
      <c r="A415" s="236" t="s">
        <v>1380</v>
      </c>
      <c r="B415" s="236">
        <v>1936718</v>
      </c>
      <c r="C415" s="236" t="s">
        <v>2987</v>
      </c>
    </row>
    <row r="416" spans="1:3">
      <c r="A416" s="236" t="s">
        <v>1380</v>
      </c>
      <c r="B416" s="236">
        <v>2020496</v>
      </c>
      <c r="C416" s="236" t="s">
        <v>2987</v>
      </c>
    </row>
    <row r="417" spans="1:3">
      <c r="A417" s="236" t="s">
        <v>1380</v>
      </c>
      <c r="B417" s="236">
        <v>2019494</v>
      </c>
      <c r="C417" s="236" t="s">
        <v>2987</v>
      </c>
    </row>
    <row r="418" spans="1:3">
      <c r="A418" s="236" t="s">
        <v>1380</v>
      </c>
      <c r="B418" s="236">
        <v>2020517</v>
      </c>
      <c r="C418" s="236" t="s">
        <v>2987</v>
      </c>
    </row>
    <row r="419" spans="1:3">
      <c r="A419" s="236" t="s">
        <v>1380</v>
      </c>
      <c r="B419" s="236">
        <v>2039739</v>
      </c>
      <c r="C419" s="236" t="s">
        <v>2987</v>
      </c>
    </row>
    <row r="420" spans="1:3">
      <c r="A420" s="236" t="s">
        <v>1380</v>
      </c>
      <c r="B420" s="236">
        <v>1884899</v>
      </c>
      <c r="C420" s="236" t="s">
        <v>2986</v>
      </c>
    </row>
    <row r="421" spans="1:3">
      <c r="A421" s="236" t="s">
        <v>1380</v>
      </c>
      <c r="B421" s="236">
        <v>2165651</v>
      </c>
      <c r="C421" s="236" t="s">
        <v>2986</v>
      </c>
    </row>
    <row r="422" spans="1:3">
      <c r="A422" s="236" t="s">
        <v>1380</v>
      </c>
      <c r="B422" s="236">
        <v>2285854</v>
      </c>
      <c r="C422" s="236" t="s">
        <v>2986</v>
      </c>
    </row>
    <row r="423" spans="1:3">
      <c r="A423" s="236" t="s">
        <v>2815</v>
      </c>
      <c r="B423" s="236">
        <v>1525302</v>
      </c>
      <c r="C423" s="236"/>
    </row>
    <row r="424" spans="1:3">
      <c r="A424" s="236" t="s">
        <v>2815</v>
      </c>
      <c r="B424" s="236">
        <v>1620244</v>
      </c>
      <c r="C424" s="236"/>
    </row>
    <row r="425" spans="1:3">
      <c r="A425" s="236" t="s">
        <v>2815</v>
      </c>
      <c r="B425" s="236">
        <v>1600115</v>
      </c>
      <c r="C425" s="236"/>
    </row>
    <row r="426" spans="1:3">
      <c r="A426" s="236" t="s">
        <v>2815</v>
      </c>
      <c r="B426" s="236">
        <v>1592580</v>
      </c>
      <c r="C426" s="236"/>
    </row>
    <row r="427" spans="1:3">
      <c r="A427" s="236" t="s">
        <v>2815</v>
      </c>
      <c r="B427" s="236">
        <v>1700222</v>
      </c>
      <c r="C427" s="236"/>
    </row>
    <row r="428" spans="1:3">
      <c r="A428" s="236" t="s">
        <v>2815</v>
      </c>
      <c r="B428" s="236">
        <v>1558473</v>
      </c>
      <c r="C428" s="236"/>
    </row>
    <row r="429" spans="1:3">
      <c r="A429" s="236" t="s">
        <v>2815</v>
      </c>
      <c r="B429" s="236">
        <v>1609931</v>
      </c>
      <c r="C429" s="236"/>
    </row>
    <row r="430" spans="1:3">
      <c r="A430" s="236" t="s">
        <v>2815</v>
      </c>
      <c r="B430" s="236">
        <v>1620020</v>
      </c>
      <c r="C430" s="236"/>
    </row>
    <row r="431" spans="1:3">
      <c r="A431" s="236" t="s">
        <v>2815</v>
      </c>
      <c r="B431" s="236">
        <v>1786134</v>
      </c>
      <c r="C431" s="236"/>
    </row>
    <row r="432" spans="1:3">
      <c r="A432" s="236" t="s">
        <v>2815</v>
      </c>
      <c r="B432" s="236">
        <v>1549882</v>
      </c>
      <c r="C432" s="236"/>
    </row>
    <row r="433" spans="1:3">
      <c r="A433" s="236" t="s">
        <v>2815</v>
      </c>
      <c r="B433" s="246">
        <v>1718538</v>
      </c>
      <c r="C433" s="236"/>
    </row>
    <row r="434" spans="1:3">
      <c r="A434" s="236" t="s">
        <v>2815</v>
      </c>
      <c r="B434" s="236">
        <v>1700259</v>
      </c>
      <c r="C434" s="236"/>
    </row>
    <row r="435" spans="1:3">
      <c r="A435" s="236" t="s">
        <v>2815</v>
      </c>
      <c r="B435" s="236">
        <v>1534160</v>
      </c>
      <c r="C435" s="236"/>
    </row>
    <row r="436" spans="1:3">
      <c r="A436" s="236" t="s">
        <v>2815</v>
      </c>
      <c r="B436" s="236">
        <v>1655109</v>
      </c>
      <c r="C436" s="236"/>
    </row>
    <row r="437" spans="1:3">
      <c r="A437" s="236" t="s">
        <v>2815</v>
      </c>
      <c r="B437" s="236">
        <v>1618974</v>
      </c>
      <c r="C437" s="236"/>
    </row>
    <row r="438" spans="1:3">
      <c r="A438" s="236" t="s">
        <v>2815</v>
      </c>
      <c r="B438" s="236">
        <v>1706735</v>
      </c>
      <c r="C438" s="236"/>
    </row>
    <row r="439" spans="1:3">
      <c r="A439" s="236" t="s">
        <v>2815</v>
      </c>
      <c r="B439" s="236">
        <v>1609118</v>
      </c>
      <c r="C439" s="236"/>
    </row>
    <row r="440" spans="1:3">
      <c r="A440" s="236" t="s">
        <v>2815</v>
      </c>
      <c r="B440" s="236">
        <v>1657259</v>
      </c>
      <c r="C440" s="236"/>
    </row>
    <row r="441" spans="1:3">
      <c r="A441" s="236" t="s">
        <v>2815</v>
      </c>
      <c r="B441" s="236">
        <v>1818069</v>
      </c>
      <c r="C441" s="236"/>
    </row>
    <row r="442" spans="1:3">
      <c r="A442" s="236" t="s">
        <v>2815</v>
      </c>
      <c r="B442" s="236">
        <v>1757357</v>
      </c>
      <c r="C442" s="236"/>
    </row>
    <row r="443" spans="1:3">
      <c r="A443" s="236" t="s">
        <v>2815</v>
      </c>
      <c r="B443" s="236">
        <v>1860670</v>
      </c>
      <c r="C443" s="236"/>
    </row>
    <row r="444" spans="1:3">
      <c r="A444" s="236" t="s">
        <v>2815</v>
      </c>
      <c r="B444" s="236">
        <v>1934842</v>
      </c>
      <c r="C444" s="236"/>
    </row>
    <row r="445" spans="1:3">
      <c r="A445" s="236" t="s">
        <v>2815</v>
      </c>
      <c r="B445" s="236">
        <v>1827939</v>
      </c>
      <c r="C445" s="236"/>
    </row>
    <row r="446" spans="1:3">
      <c r="A446" s="236" t="s">
        <v>2815</v>
      </c>
      <c r="B446" s="236">
        <v>1742468</v>
      </c>
      <c r="C446" s="236"/>
    </row>
    <row r="447" spans="1:3">
      <c r="A447" s="236" t="s">
        <v>2815</v>
      </c>
      <c r="B447" s="236">
        <v>1800719</v>
      </c>
      <c r="C447" s="236"/>
    </row>
    <row r="448" spans="1:3">
      <c r="A448" s="236" t="s">
        <v>2815</v>
      </c>
      <c r="B448" s="236">
        <v>1932328</v>
      </c>
      <c r="C448" s="236"/>
    </row>
    <row r="449" spans="1:3">
      <c r="A449" s="236" t="s">
        <v>2815</v>
      </c>
      <c r="B449" s="236">
        <v>1828027</v>
      </c>
      <c r="C449" s="236"/>
    </row>
    <row r="450" spans="1:3">
      <c r="A450" s="236" t="s">
        <v>2815</v>
      </c>
      <c r="B450" s="236">
        <v>1841582</v>
      </c>
      <c r="C450" s="236"/>
    </row>
    <row r="451" spans="1:3">
      <c r="A451" s="236" t="s">
        <v>2815</v>
      </c>
      <c r="B451" s="236">
        <v>1853664</v>
      </c>
      <c r="C451" s="236"/>
    </row>
    <row r="452" spans="1:3">
      <c r="A452" s="236" t="s">
        <v>2815</v>
      </c>
      <c r="B452" s="236">
        <v>1769130</v>
      </c>
      <c r="C452" s="236"/>
    </row>
    <row r="453" spans="1:3">
      <c r="A453" s="236" t="s">
        <v>2815</v>
      </c>
      <c r="B453" s="236">
        <v>1780172</v>
      </c>
      <c r="C453" s="236"/>
    </row>
    <row r="454" spans="1:3">
      <c r="A454" s="236" t="s">
        <v>2815</v>
      </c>
      <c r="B454" s="236">
        <v>1878631</v>
      </c>
      <c r="C454" s="236"/>
    </row>
    <row r="455" spans="1:3">
      <c r="A455" s="236" t="s">
        <v>2815</v>
      </c>
      <c r="B455" s="236">
        <v>1855940</v>
      </c>
      <c r="C455" s="236"/>
    </row>
    <row r="456" spans="1:3">
      <c r="A456" s="236" t="s">
        <v>2815</v>
      </c>
      <c r="B456" s="236">
        <v>1848872</v>
      </c>
      <c r="C456" s="236"/>
    </row>
    <row r="457" spans="1:3">
      <c r="A457" s="236" t="s">
        <v>2815</v>
      </c>
      <c r="B457" s="236">
        <v>1951661</v>
      </c>
      <c r="C457" s="236"/>
    </row>
    <row r="458" spans="1:3">
      <c r="A458" s="236" t="s">
        <v>2815</v>
      </c>
      <c r="B458" s="236">
        <v>1853213</v>
      </c>
      <c r="C458" s="236"/>
    </row>
    <row r="459" spans="1:3">
      <c r="A459" s="236" t="s">
        <v>2815</v>
      </c>
      <c r="B459" s="236">
        <v>1911360</v>
      </c>
      <c r="C459" s="236"/>
    </row>
    <row r="460" spans="1:3">
      <c r="A460" s="236" t="s">
        <v>2815</v>
      </c>
      <c r="B460" s="236">
        <v>1895540</v>
      </c>
      <c r="C460" s="236"/>
    </row>
    <row r="461" spans="1:3">
      <c r="A461" s="236" t="s">
        <v>2815</v>
      </c>
      <c r="B461" s="236">
        <v>1959814</v>
      </c>
      <c r="C461" s="236"/>
    </row>
    <row r="462" spans="1:3">
      <c r="A462" s="236" t="s">
        <v>2815</v>
      </c>
      <c r="B462" s="236">
        <v>1883579</v>
      </c>
      <c r="C462" s="236"/>
    </row>
    <row r="463" spans="1:3">
      <c r="A463" s="236" t="s">
        <v>2815</v>
      </c>
      <c r="B463" s="236">
        <v>1911989</v>
      </c>
      <c r="C463" s="236"/>
    </row>
    <row r="464" spans="1:3">
      <c r="A464" s="236" t="s">
        <v>2815</v>
      </c>
      <c r="B464" s="236">
        <v>1930724</v>
      </c>
      <c r="C464" s="236"/>
    </row>
    <row r="465" spans="1:3">
      <c r="A465" s="236" t="s">
        <v>2815</v>
      </c>
      <c r="B465" s="236">
        <v>1951925</v>
      </c>
      <c r="C465" s="236"/>
    </row>
    <row r="466" spans="1:3">
      <c r="A466" s="236" t="s">
        <v>2815</v>
      </c>
      <c r="B466" s="236">
        <v>1966918</v>
      </c>
      <c r="C466" s="236"/>
    </row>
    <row r="467" spans="1:3">
      <c r="A467" s="236" t="s">
        <v>2815</v>
      </c>
      <c r="B467" s="236">
        <v>1966919</v>
      </c>
      <c r="C467" s="236"/>
    </row>
    <row r="468" spans="1:3">
      <c r="A468" s="236" t="s">
        <v>2815</v>
      </c>
      <c r="B468" s="236">
        <v>1928310</v>
      </c>
      <c r="C468" s="236"/>
    </row>
    <row r="469" spans="1:3">
      <c r="A469" s="236" t="s">
        <v>2815</v>
      </c>
      <c r="B469" s="236">
        <v>1939876</v>
      </c>
      <c r="C469" s="236"/>
    </row>
    <row r="470" spans="1:3">
      <c r="A470" s="236" t="s">
        <v>2815</v>
      </c>
      <c r="B470" s="236">
        <v>1947069</v>
      </c>
      <c r="C470" s="236"/>
    </row>
    <row r="471" spans="1:3">
      <c r="A471" s="236" t="s">
        <v>2815</v>
      </c>
      <c r="B471" s="236">
        <v>2001600</v>
      </c>
      <c r="C471" s="236"/>
    </row>
    <row r="472" spans="1:3">
      <c r="A472" s="236" t="s">
        <v>2815</v>
      </c>
      <c r="B472" s="236">
        <v>1983121</v>
      </c>
      <c r="C472" s="236"/>
    </row>
    <row r="473" spans="1:3">
      <c r="A473" s="236" t="s">
        <v>2815</v>
      </c>
      <c r="B473" s="236">
        <v>1973342</v>
      </c>
      <c r="C473" s="236"/>
    </row>
    <row r="474" spans="1:3">
      <c r="A474" s="236" t="s">
        <v>2815</v>
      </c>
      <c r="B474" s="236">
        <v>2003545</v>
      </c>
      <c r="C474" s="236"/>
    </row>
    <row r="475" spans="1:3">
      <c r="A475" s="236" t="s">
        <v>2815</v>
      </c>
      <c r="B475" s="236">
        <v>1984464</v>
      </c>
      <c r="C475" s="236"/>
    </row>
    <row r="476" spans="1:3">
      <c r="A476" s="236" t="s">
        <v>2815</v>
      </c>
      <c r="B476" s="236">
        <v>1992161</v>
      </c>
      <c r="C476" s="236"/>
    </row>
    <row r="477" spans="1:3">
      <c r="A477" s="236" t="s">
        <v>2815</v>
      </c>
      <c r="B477" s="236">
        <v>1995669</v>
      </c>
      <c r="C477" s="236"/>
    </row>
    <row r="478" spans="1:3">
      <c r="A478" s="236" t="s">
        <v>2815</v>
      </c>
      <c r="B478" s="236">
        <v>2064620</v>
      </c>
      <c r="C478" s="236"/>
    </row>
    <row r="479" spans="1:3">
      <c r="A479" s="236" t="s">
        <v>2815</v>
      </c>
      <c r="B479" s="236">
        <v>2010584</v>
      </c>
      <c r="C479" s="236"/>
    </row>
    <row r="480" spans="1:3">
      <c r="A480" s="236" t="s">
        <v>2815</v>
      </c>
      <c r="B480" s="236">
        <v>1991845</v>
      </c>
      <c r="C480" s="236"/>
    </row>
    <row r="481" spans="1:3">
      <c r="A481" s="236" t="s">
        <v>2815</v>
      </c>
      <c r="B481" s="236">
        <v>1991846</v>
      </c>
      <c r="C481" s="236"/>
    </row>
    <row r="482" spans="1:3">
      <c r="A482" s="236" t="s">
        <v>2815</v>
      </c>
      <c r="B482" s="236">
        <v>2016854</v>
      </c>
      <c r="C482" s="236"/>
    </row>
    <row r="483" spans="1:3">
      <c r="A483" s="236" t="s">
        <v>2830</v>
      </c>
      <c r="B483" s="236">
        <v>1764714</v>
      </c>
    </row>
    <row r="484" spans="1:3">
      <c r="A484" s="236" t="s">
        <v>2830</v>
      </c>
      <c r="B484" s="236">
        <v>1721853</v>
      </c>
    </row>
    <row r="485" spans="1:3">
      <c r="A485" s="236" t="s">
        <v>2830</v>
      </c>
      <c r="B485" s="236">
        <v>1709457</v>
      </c>
    </row>
    <row r="486" spans="1:3">
      <c r="A486" s="236" t="s">
        <v>2830</v>
      </c>
      <c r="B486" s="236">
        <v>1869840</v>
      </c>
    </row>
    <row r="487" spans="1:3">
      <c r="A487" s="236" t="s">
        <v>2830</v>
      </c>
      <c r="B487" s="236">
        <v>1801947</v>
      </c>
    </row>
    <row r="488" spans="1:3">
      <c r="A488" s="236" t="s">
        <v>2830</v>
      </c>
      <c r="B488" s="236">
        <v>1801948</v>
      </c>
    </row>
    <row r="489" spans="1:3">
      <c r="A489" s="236" t="s">
        <v>2830</v>
      </c>
      <c r="B489" s="236">
        <v>1890293</v>
      </c>
    </row>
    <row r="490" spans="1:3">
      <c r="A490" s="236" t="s">
        <v>2830</v>
      </c>
      <c r="B490" s="236">
        <v>2004662</v>
      </c>
    </row>
    <row r="491" spans="1:3">
      <c r="A491" s="236" t="s">
        <v>2830</v>
      </c>
      <c r="B491" s="236">
        <v>1885578</v>
      </c>
    </row>
    <row r="492" spans="1:3">
      <c r="A492" s="236" t="s">
        <v>2830</v>
      </c>
      <c r="B492" s="236">
        <v>1940387</v>
      </c>
    </row>
    <row r="493" spans="1:3">
      <c r="A493" s="236" t="s">
        <v>2830</v>
      </c>
      <c r="B493" s="236">
        <v>1996055</v>
      </c>
    </row>
    <row r="494" spans="1:3">
      <c r="A494" s="236" t="s">
        <v>2830</v>
      </c>
      <c r="B494" s="236">
        <v>2008058</v>
      </c>
    </row>
    <row r="495" spans="1:3">
      <c r="A495" s="236" t="s">
        <v>2830</v>
      </c>
      <c r="B495" s="236">
        <v>1973042</v>
      </c>
    </row>
    <row r="496" spans="1:3">
      <c r="A496" s="236" t="s">
        <v>2830</v>
      </c>
      <c r="B496" s="236">
        <v>2029700</v>
      </c>
    </row>
    <row r="497" spans="1:2">
      <c r="A497" s="236" t="s">
        <v>2830</v>
      </c>
      <c r="B497" s="236">
        <v>2202955</v>
      </c>
    </row>
    <row r="498" spans="1:2">
      <c r="A498" s="236" t="s">
        <v>2830</v>
      </c>
      <c r="B498" s="236">
        <v>2203460</v>
      </c>
    </row>
    <row r="499" spans="1:2">
      <c r="A499" s="236" t="s">
        <v>2830</v>
      </c>
      <c r="B499" s="236">
        <v>1931282</v>
      </c>
    </row>
    <row r="500" spans="1:2">
      <c r="A500" s="236" t="s">
        <v>2830</v>
      </c>
      <c r="B500" s="236">
        <v>2108766</v>
      </c>
    </row>
    <row r="501" spans="1:2">
      <c r="A501" s="236" t="s">
        <v>2830</v>
      </c>
      <c r="B501" s="236">
        <v>2217255</v>
      </c>
    </row>
    <row r="502" spans="1:2">
      <c r="A502" s="236" t="s">
        <v>2830</v>
      </c>
      <c r="B502" s="236">
        <v>2003929</v>
      </c>
    </row>
    <row r="503" spans="1:2">
      <c r="A503" s="236" t="s">
        <v>2830</v>
      </c>
      <c r="B503" s="236">
        <v>2069605</v>
      </c>
    </row>
    <row r="504" spans="1:2">
      <c r="A504" s="236" t="s">
        <v>2830</v>
      </c>
      <c r="B504" s="236">
        <v>2219967</v>
      </c>
    </row>
    <row r="505" spans="1:2">
      <c r="A505" s="236" t="s">
        <v>2830</v>
      </c>
      <c r="B505" s="236">
        <v>1997412</v>
      </c>
    </row>
    <row r="506" spans="1:2">
      <c r="A506" s="236" t="s">
        <v>2830</v>
      </c>
      <c r="B506" s="236">
        <v>2014965</v>
      </c>
    </row>
    <row r="507" spans="1:2">
      <c r="A507" s="236" t="s">
        <v>2830</v>
      </c>
      <c r="B507" s="236">
        <v>2003930</v>
      </c>
    </row>
    <row r="508" spans="1:2">
      <c r="A508" s="236" t="s">
        <v>2830</v>
      </c>
      <c r="B508" s="236">
        <v>2340524</v>
      </c>
    </row>
    <row r="509" spans="1:2">
      <c r="A509" s="236" t="s">
        <v>2830</v>
      </c>
      <c r="B509" s="236">
        <v>2340524</v>
      </c>
    </row>
    <row r="510" spans="1:2">
      <c r="A510" s="236" t="s">
        <v>2830</v>
      </c>
      <c r="B510" s="236">
        <v>2115498</v>
      </c>
    </row>
    <row r="511" spans="1:2">
      <c r="A511" s="236" t="s">
        <v>2830</v>
      </c>
      <c r="B511" s="236">
        <v>2039878</v>
      </c>
    </row>
    <row r="512" spans="1:2">
      <c r="A512" s="236" t="s">
        <v>2830</v>
      </c>
      <c r="B512" s="236">
        <v>2046998</v>
      </c>
    </row>
    <row r="513" spans="1:2">
      <c r="A513" s="236" t="s">
        <v>2830</v>
      </c>
      <c r="B513" s="236">
        <v>2005530</v>
      </c>
    </row>
    <row r="514" spans="1:2">
      <c r="A514" s="236" t="s">
        <v>2830</v>
      </c>
      <c r="B514" s="236">
        <v>2016857</v>
      </c>
    </row>
    <row r="515" spans="1:2">
      <c r="A515" s="236" t="s">
        <v>2830</v>
      </c>
      <c r="B515" s="236">
        <v>2110622</v>
      </c>
    </row>
    <row r="516" spans="1:2">
      <c r="A516" s="236" t="s">
        <v>2830</v>
      </c>
      <c r="B516" s="236">
        <v>2158584</v>
      </c>
    </row>
    <row r="517" spans="1:2">
      <c r="A517" s="236" t="s">
        <v>2830</v>
      </c>
      <c r="B517" s="236">
        <v>2134132</v>
      </c>
    </row>
    <row r="518" spans="1:2">
      <c r="A518" s="236" t="s">
        <v>2830</v>
      </c>
      <c r="B518" s="236">
        <v>2051837</v>
      </c>
    </row>
    <row r="519" spans="1:2">
      <c r="A519" s="236" t="s">
        <v>2830</v>
      </c>
      <c r="B519" s="236">
        <v>2191250</v>
      </c>
    </row>
    <row r="520" spans="1:2">
      <c r="A520" s="236" t="s">
        <v>2830</v>
      </c>
      <c r="B520" s="236">
        <v>2133670</v>
      </c>
    </row>
    <row r="521" spans="1:2">
      <c r="A521" s="236" t="s">
        <v>2830</v>
      </c>
      <c r="B521" s="236">
        <v>1419993</v>
      </c>
    </row>
    <row r="522" spans="1:2">
      <c r="A522" s="236" t="s">
        <v>2830</v>
      </c>
      <c r="B522" s="236">
        <v>1465668</v>
      </c>
    </row>
    <row r="523" spans="1:2">
      <c r="A523" s="236" t="s">
        <v>2830</v>
      </c>
      <c r="B523" s="236">
        <v>1553130</v>
      </c>
    </row>
    <row r="524" spans="1:2">
      <c r="A524" s="236" t="s">
        <v>2830</v>
      </c>
      <c r="B524" s="236">
        <v>1505763</v>
      </c>
    </row>
    <row r="525" spans="1:2">
      <c r="A525" s="236" t="s">
        <v>2830</v>
      </c>
      <c r="B525" s="236">
        <v>1532697</v>
      </c>
    </row>
    <row r="526" spans="1:2">
      <c r="A526" s="236" t="s">
        <v>2830</v>
      </c>
      <c r="B526" s="236">
        <v>1543975</v>
      </c>
    </row>
    <row r="527" spans="1:2">
      <c r="A527" s="236" t="s">
        <v>2830</v>
      </c>
      <c r="B527" s="236">
        <v>1562806</v>
      </c>
    </row>
    <row r="528" spans="1:2">
      <c r="A528" s="236" t="s">
        <v>2830</v>
      </c>
      <c r="B528" s="236">
        <v>1510293</v>
      </c>
    </row>
    <row r="529" spans="1:2">
      <c r="A529" s="236" t="s">
        <v>2830</v>
      </c>
      <c r="B529" s="236">
        <v>1631716</v>
      </c>
    </row>
    <row r="530" spans="1:2">
      <c r="A530" s="236" t="s">
        <v>2830</v>
      </c>
      <c r="B530" s="236">
        <v>1653628</v>
      </c>
    </row>
    <row r="531" spans="1:2">
      <c r="A531" s="236" t="s">
        <v>2830</v>
      </c>
      <c r="B531" s="236">
        <v>1652859</v>
      </c>
    </row>
    <row r="532" spans="1:2">
      <c r="A532" s="236" t="s">
        <v>2830</v>
      </c>
      <c r="B532" s="236">
        <v>1814804</v>
      </c>
    </row>
    <row r="533" spans="1:2">
      <c r="A533" s="236" t="s">
        <v>2830</v>
      </c>
      <c r="B533" s="236">
        <v>1472000</v>
      </c>
    </row>
    <row r="534" spans="1:2">
      <c r="A534" s="236" t="s">
        <v>2830</v>
      </c>
      <c r="B534" s="236">
        <v>1567043</v>
      </c>
    </row>
    <row r="535" spans="1:2">
      <c r="A535" s="236" t="s">
        <v>2830</v>
      </c>
      <c r="B535" s="236">
        <v>1631721</v>
      </c>
    </row>
    <row r="536" spans="1:2">
      <c r="A536" s="236" t="s">
        <v>2830</v>
      </c>
      <c r="B536" s="236">
        <v>1750889</v>
      </c>
    </row>
    <row r="537" spans="1:2">
      <c r="A537" s="236" t="s">
        <v>2830</v>
      </c>
      <c r="B537" s="236">
        <v>1806280</v>
      </c>
    </row>
    <row r="538" spans="1:2">
      <c r="A538" s="236" t="s">
        <v>2830</v>
      </c>
      <c r="B538" s="236">
        <v>1906278</v>
      </c>
    </row>
    <row r="539" spans="1:2">
      <c r="A539" s="236" t="s">
        <v>2830</v>
      </c>
      <c r="B539" s="236">
        <v>1586648</v>
      </c>
    </row>
    <row r="540" spans="1:2">
      <c r="A540" s="236" t="s">
        <v>2830</v>
      </c>
      <c r="B540" s="236">
        <v>1791949</v>
      </c>
    </row>
    <row r="541" spans="1:2">
      <c r="A541" s="236" t="s">
        <v>2830</v>
      </c>
      <c r="B541" s="236">
        <v>1688326</v>
      </c>
    </row>
    <row r="542" spans="1:2">
      <c r="A542" s="236" t="s">
        <v>2830</v>
      </c>
      <c r="B542" s="236">
        <v>1782027</v>
      </c>
    </row>
    <row r="543" spans="1:2">
      <c r="A543" s="236" t="s">
        <v>2830</v>
      </c>
      <c r="B543" s="236">
        <v>1893896</v>
      </c>
    </row>
    <row r="544" spans="1:2">
      <c r="A544" s="236" t="s">
        <v>2830</v>
      </c>
      <c r="B544" s="236">
        <v>1723757</v>
      </c>
    </row>
    <row r="545" spans="1:2">
      <c r="A545" s="236" t="s">
        <v>2830</v>
      </c>
      <c r="B545" s="236">
        <v>1797399</v>
      </c>
    </row>
    <row r="546" spans="1:2">
      <c r="A546" s="236" t="s">
        <v>2830</v>
      </c>
      <c r="B546" s="236">
        <v>1821870</v>
      </c>
    </row>
    <row r="547" spans="1:2">
      <c r="A547" s="236" t="s">
        <v>2830</v>
      </c>
      <c r="B547" s="236">
        <v>1874233</v>
      </c>
    </row>
    <row r="548" spans="1:2">
      <c r="A548" s="236" t="s">
        <v>2830</v>
      </c>
      <c r="B548" s="236">
        <v>1837066</v>
      </c>
    </row>
    <row r="549" spans="1:2">
      <c r="A549" s="236" t="s">
        <v>2830</v>
      </c>
      <c r="B549" s="236">
        <v>1822401</v>
      </c>
    </row>
    <row r="550" spans="1:2">
      <c r="A550" s="236" t="s">
        <v>2830</v>
      </c>
      <c r="B550" s="236">
        <v>1856364</v>
      </c>
    </row>
    <row r="551" spans="1:2">
      <c r="A551" s="236" t="s">
        <v>2830</v>
      </c>
      <c r="B551" s="236">
        <v>1897742</v>
      </c>
    </row>
    <row r="552" spans="1:2">
      <c r="A552" s="236" t="s">
        <v>2830</v>
      </c>
      <c r="B552" s="236">
        <v>1955037</v>
      </c>
    </row>
    <row r="553" spans="1:2">
      <c r="A553" s="236" t="s">
        <v>2830</v>
      </c>
      <c r="B553" s="236">
        <v>2068938</v>
      </c>
    </row>
    <row r="554" spans="1:2">
      <c r="A554" s="236" t="s">
        <v>2830</v>
      </c>
      <c r="B554" s="236">
        <v>1929266</v>
      </c>
    </row>
    <row r="555" spans="1:2">
      <c r="A555" s="236" t="s">
        <v>2830</v>
      </c>
      <c r="B555" s="236">
        <v>1898348</v>
      </c>
    </row>
    <row r="556" spans="1:2">
      <c r="A556" s="236" t="s">
        <v>2830</v>
      </c>
      <c r="B556" s="236">
        <v>1967157</v>
      </c>
    </row>
    <row r="557" spans="1:2">
      <c r="A557" s="236" t="s">
        <v>2830</v>
      </c>
      <c r="B557" s="236">
        <v>2013932</v>
      </c>
    </row>
    <row r="558" spans="1:2">
      <c r="A558" s="236" t="s">
        <v>2830</v>
      </c>
      <c r="B558" s="236">
        <v>1959987</v>
      </c>
    </row>
    <row r="559" spans="1:2">
      <c r="A559" s="236" t="s">
        <v>2830</v>
      </c>
      <c r="B559" s="236">
        <v>2206018</v>
      </c>
    </row>
    <row r="560" spans="1:2">
      <c r="A560" s="236" t="s">
        <v>2830</v>
      </c>
      <c r="B560" s="236">
        <v>2051820</v>
      </c>
    </row>
    <row r="561" spans="1:3">
      <c r="A561" s="236" t="s">
        <v>2830</v>
      </c>
      <c r="B561" s="236">
        <v>2092685</v>
      </c>
    </row>
    <row r="562" spans="1:3">
      <c r="A562" s="236" t="s">
        <v>2830</v>
      </c>
      <c r="B562" s="236">
        <v>2017183</v>
      </c>
    </row>
    <row r="563" spans="1:3">
      <c r="A563" s="236" t="s">
        <v>2830</v>
      </c>
      <c r="B563" s="236">
        <v>2127735</v>
      </c>
    </row>
    <row r="564" spans="1:3">
      <c r="A564" s="236" t="s">
        <v>2830</v>
      </c>
      <c r="B564" s="236">
        <v>2031709</v>
      </c>
    </row>
    <row r="565" spans="1:3">
      <c r="A565" s="236" t="s">
        <v>2830</v>
      </c>
      <c r="B565" s="236">
        <v>2132573</v>
      </c>
    </row>
    <row r="566" spans="1:3">
      <c r="A566" s="236" t="s">
        <v>2830</v>
      </c>
      <c r="B566" s="236">
        <v>2093218</v>
      </c>
    </row>
    <row r="567" spans="1:3">
      <c r="A567" s="236" t="s">
        <v>2830</v>
      </c>
      <c r="B567" s="236">
        <v>2156104</v>
      </c>
    </row>
    <row r="568" spans="1:3">
      <c r="A568" s="236" t="s">
        <v>2830</v>
      </c>
      <c r="B568" s="236">
        <v>2006682</v>
      </c>
    </row>
    <row r="569" spans="1:3">
      <c r="A569" s="236" t="s">
        <v>2830</v>
      </c>
      <c r="B569" s="236">
        <v>2156132</v>
      </c>
    </row>
    <row r="570" spans="1:3">
      <c r="A570" s="236" t="s">
        <v>2830</v>
      </c>
      <c r="B570" s="236">
        <v>2156129</v>
      </c>
    </row>
    <row r="571" spans="1:3">
      <c r="A571" s="236" t="s">
        <v>2830</v>
      </c>
      <c r="B571" s="236">
        <v>2036229</v>
      </c>
    </row>
    <row r="572" spans="1:3">
      <c r="A572" s="236" t="s">
        <v>2830</v>
      </c>
      <c r="B572" s="236">
        <v>2234001</v>
      </c>
    </row>
    <row r="573" spans="1:3">
      <c r="A573" s="236" t="s">
        <v>2830</v>
      </c>
      <c r="B573" s="236">
        <v>2297550</v>
      </c>
    </row>
    <row r="574" spans="1:3">
      <c r="A574" s="236" t="s">
        <v>2830</v>
      </c>
      <c r="B574" s="236">
        <v>2081741</v>
      </c>
    </row>
    <row r="575" spans="1:3">
      <c r="A575" s="236" t="s">
        <v>2786</v>
      </c>
      <c r="B575" s="236">
        <v>1456313</v>
      </c>
      <c r="C575" s="236" t="s">
        <v>2986</v>
      </c>
    </row>
    <row r="576" spans="1:3">
      <c r="A576" s="236" t="s">
        <v>2786</v>
      </c>
      <c r="B576" s="236">
        <v>1749977</v>
      </c>
      <c r="C576" s="236" t="s">
        <v>2986</v>
      </c>
    </row>
    <row r="577" spans="1:3">
      <c r="A577" s="236" t="s">
        <v>2786</v>
      </c>
      <c r="B577" s="236">
        <v>1620098</v>
      </c>
      <c r="C577" s="236" t="s">
        <v>2986</v>
      </c>
    </row>
    <row r="578" spans="1:3">
      <c r="A578" s="236" t="s">
        <v>2786</v>
      </c>
      <c r="B578" s="236">
        <v>1752071</v>
      </c>
      <c r="C578" s="236" t="s">
        <v>2986</v>
      </c>
    </row>
    <row r="579" spans="1:3">
      <c r="A579" s="236" t="s">
        <v>2786</v>
      </c>
      <c r="B579" s="236">
        <v>1905875</v>
      </c>
      <c r="C579" s="236" t="s">
        <v>2986</v>
      </c>
    </row>
    <row r="580" spans="1:3">
      <c r="A580" s="236" t="s">
        <v>2786</v>
      </c>
      <c r="B580" s="236">
        <v>1879438</v>
      </c>
      <c r="C580" s="236" t="s">
        <v>2986</v>
      </c>
    </row>
    <row r="581" spans="1:3">
      <c r="A581" s="236" t="s">
        <v>2786</v>
      </c>
      <c r="B581" s="236">
        <v>2038963</v>
      </c>
      <c r="C581" s="236" t="s">
        <v>2986</v>
      </c>
    </row>
    <row r="582" spans="1:3">
      <c r="A582" s="236" t="s">
        <v>2786</v>
      </c>
      <c r="B582" s="236">
        <v>2039544</v>
      </c>
      <c r="C582" s="236" t="s">
        <v>2986</v>
      </c>
    </row>
    <row r="583" spans="1:3">
      <c r="A583" s="236" t="s">
        <v>2786</v>
      </c>
      <c r="B583" s="236">
        <v>2088300</v>
      </c>
      <c r="C583" s="236" t="s">
        <v>2986</v>
      </c>
    </row>
    <row r="584" spans="1:3">
      <c r="A584" s="236" t="s">
        <v>2786</v>
      </c>
      <c r="B584" s="236">
        <v>2118318</v>
      </c>
      <c r="C584" s="236" t="s">
        <v>2986</v>
      </c>
    </row>
    <row r="585" spans="1:3">
      <c r="A585" s="236" t="s">
        <v>2786</v>
      </c>
      <c r="B585" s="236">
        <v>2065075</v>
      </c>
      <c r="C585" s="236" t="s">
        <v>2986</v>
      </c>
    </row>
    <row r="586" spans="1:3">
      <c r="A586" s="236" t="s">
        <v>2786</v>
      </c>
      <c r="B586" s="236">
        <v>2088154</v>
      </c>
      <c r="C586" s="236" t="s">
        <v>2986</v>
      </c>
    </row>
    <row r="587" spans="1:3">
      <c r="A587" s="236" t="s">
        <v>2786</v>
      </c>
      <c r="B587" s="236">
        <v>2114534</v>
      </c>
      <c r="C587" s="236" t="s">
        <v>2986</v>
      </c>
    </row>
    <row r="588" spans="1:3">
      <c r="A588" s="236" t="s">
        <v>2786</v>
      </c>
      <c r="B588" s="236">
        <v>2061875</v>
      </c>
      <c r="C588" s="236" t="s">
        <v>2986</v>
      </c>
    </row>
    <row r="589" spans="1:3">
      <c r="A589" s="236" t="s">
        <v>2786</v>
      </c>
      <c r="B589" s="236">
        <v>2137111</v>
      </c>
      <c r="C589" s="236" t="s">
        <v>2986</v>
      </c>
    </row>
    <row r="590" spans="1:3">
      <c r="A590" s="236" t="s">
        <v>2786</v>
      </c>
      <c r="B590" s="236">
        <v>2198422</v>
      </c>
      <c r="C590" s="236" t="s">
        <v>2986</v>
      </c>
    </row>
    <row r="591" spans="1:3">
      <c r="A591" s="236" t="s">
        <v>2786</v>
      </c>
      <c r="B591" s="236">
        <v>2168302</v>
      </c>
      <c r="C591" s="236" t="s">
        <v>2986</v>
      </c>
    </row>
    <row r="592" spans="1:3">
      <c r="A592" s="236" t="s">
        <v>2786</v>
      </c>
      <c r="B592" s="236">
        <v>2268716</v>
      </c>
      <c r="C592" s="236" t="s">
        <v>2986</v>
      </c>
    </row>
    <row r="593" spans="1:3">
      <c r="A593" s="236" t="s">
        <v>2786</v>
      </c>
      <c r="B593" s="236">
        <v>2328043</v>
      </c>
      <c r="C593" s="236" t="s">
        <v>2986</v>
      </c>
    </row>
    <row r="594" spans="1:3">
      <c r="A594" s="236" t="s">
        <v>2786</v>
      </c>
      <c r="B594" s="236">
        <v>2162191</v>
      </c>
      <c r="C594" s="236" t="s">
        <v>2986</v>
      </c>
    </row>
    <row r="595" spans="1:3">
      <c r="A595" s="236" t="s">
        <v>2786</v>
      </c>
      <c r="B595" s="236">
        <v>2262783</v>
      </c>
      <c r="C595" s="236" t="s">
        <v>2986</v>
      </c>
    </row>
    <row r="596" spans="1:3">
      <c r="A596" s="236" t="s">
        <v>2786</v>
      </c>
      <c r="B596" s="236">
        <v>2190555</v>
      </c>
      <c r="C596" s="236" t="s">
        <v>2986</v>
      </c>
    </row>
    <row r="597" spans="1:3">
      <c r="A597" s="236" t="s">
        <v>2816</v>
      </c>
      <c r="B597" s="236">
        <v>2119669</v>
      </c>
      <c r="C597" s="236" t="s">
        <v>2986</v>
      </c>
    </row>
    <row r="598" spans="1:3">
      <c r="A598" s="236" t="s">
        <v>2816</v>
      </c>
      <c r="B598" s="236">
        <v>2123129</v>
      </c>
      <c r="C598" s="236" t="s">
        <v>2986</v>
      </c>
    </row>
    <row r="599" spans="1:3">
      <c r="A599" s="236" t="s">
        <v>2816</v>
      </c>
      <c r="B599" s="236">
        <v>2123130</v>
      </c>
      <c r="C599" s="236" t="s">
        <v>2986</v>
      </c>
    </row>
    <row r="600" spans="1:3">
      <c r="A600" s="236" t="s">
        <v>2816</v>
      </c>
      <c r="B600" s="236">
        <v>2123101</v>
      </c>
      <c r="C600" s="236" t="s">
        <v>2986</v>
      </c>
    </row>
    <row r="601" spans="1:3">
      <c r="A601" s="236" t="s">
        <v>2816</v>
      </c>
      <c r="B601" s="236">
        <v>2122810</v>
      </c>
      <c r="C601" s="236" t="s">
        <v>2986</v>
      </c>
    </row>
    <row r="602" spans="1:3">
      <c r="A602" s="236" t="s">
        <v>2816</v>
      </c>
      <c r="B602" s="236">
        <v>2123099</v>
      </c>
      <c r="C602" s="236" t="s">
        <v>2986</v>
      </c>
    </row>
    <row r="603" spans="1:3">
      <c r="A603" s="236" t="s">
        <v>2816</v>
      </c>
      <c r="B603" s="236">
        <v>2123100</v>
      </c>
      <c r="C603" s="236" t="s">
        <v>2986</v>
      </c>
    </row>
    <row r="604" spans="1:3">
      <c r="A604" s="236" t="s">
        <v>2816</v>
      </c>
      <c r="B604" s="236">
        <v>2132002</v>
      </c>
      <c r="C604" s="236" t="s">
        <v>2986</v>
      </c>
    </row>
    <row r="605" spans="1:3">
      <c r="A605" s="236" t="s">
        <v>2816</v>
      </c>
      <c r="B605" s="236">
        <v>2126372</v>
      </c>
      <c r="C605" s="236" t="s">
        <v>2986</v>
      </c>
    </row>
    <row r="606" spans="1:3">
      <c r="A606" s="236" t="s">
        <v>2816</v>
      </c>
      <c r="B606" s="236">
        <v>2162072</v>
      </c>
      <c r="C606" s="236" t="s">
        <v>2986</v>
      </c>
    </row>
    <row r="607" spans="1:3">
      <c r="A607" s="236" t="s">
        <v>2816</v>
      </c>
      <c r="B607" s="236">
        <v>2195589</v>
      </c>
      <c r="C607" s="236" t="s">
        <v>2986</v>
      </c>
    </row>
    <row r="608" spans="1:3">
      <c r="A608" s="236" t="s">
        <v>2816</v>
      </c>
      <c r="B608" s="236">
        <v>2161740</v>
      </c>
      <c r="C608" s="236" t="s">
        <v>2986</v>
      </c>
    </row>
    <row r="609" spans="1:3">
      <c r="A609" s="236" t="s">
        <v>2816</v>
      </c>
      <c r="B609" s="236">
        <v>2179656</v>
      </c>
      <c r="C609" s="236" t="s">
        <v>2986</v>
      </c>
    </row>
    <row r="610" spans="1:3">
      <c r="A610" s="236" t="s">
        <v>2816</v>
      </c>
      <c r="B610" s="236">
        <v>2267588</v>
      </c>
      <c r="C610" s="236" t="s">
        <v>2986</v>
      </c>
    </row>
    <row r="611" spans="1:3">
      <c r="A611" s="236" t="s">
        <v>2816</v>
      </c>
      <c r="B611" s="236">
        <v>2161904</v>
      </c>
      <c r="C611" s="236" t="s">
        <v>2986</v>
      </c>
    </row>
    <row r="612" spans="1:3">
      <c r="A612" s="236" t="s">
        <v>2816</v>
      </c>
      <c r="B612" s="236">
        <v>2120631</v>
      </c>
      <c r="C612" s="236" t="s">
        <v>2986</v>
      </c>
    </row>
    <row r="613" spans="1:3">
      <c r="A613" s="236" t="s">
        <v>2816</v>
      </c>
      <c r="B613" s="236">
        <v>2159911</v>
      </c>
      <c r="C613" s="236" t="s">
        <v>2986</v>
      </c>
    </row>
    <row r="614" spans="1:3">
      <c r="A614" s="236" t="s">
        <v>2816</v>
      </c>
      <c r="B614" s="236">
        <v>2155667</v>
      </c>
      <c r="C614" s="236" t="s">
        <v>2986</v>
      </c>
    </row>
    <row r="615" spans="1:3">
      <c r="A615" s="236" t="s">
        <v>2816</v>
      </c>
      <c r="B615" s="236">
        <v>2120595</v>
      </c>
      <c r="C615" s="236" t="s">
        <v>2986</v>
      </c>
    </row>
    <row r="616" spans="1:3">
      <c r="A616" s="236" t="s">
        <v>2816</v>
      </c>
      <c r="B616" s="236">
        <v>2143456</v>
      </c>
      <c r="C616" s="236" t="s">
        <v>2986</v>
      </c>
    </row>
    <row r="617" spans="1:3">
      <c r="A617" s="236" t="s">
        <v>2816</v>
      </c>
      <c r="B617" s="236">
        <v>2164883</v>
      </c>
      <c r="C617" s="236" t="s">
        <v>2986</v>
      </c>
    </row>
    <row r="618" spans="1:3">
      <c r="A618" s="236" t="s">
        <v>2816</v>
      </c>
      <c r="B618" s="236">
        <v>2170647</v>
      </c>
      <c r="C618" s="236" t="s">
        <v>2986</v>
      </c>
    </row>
    <row r="619" spans="1:3">
      <c r="A619" s="236" t="s">
        <v>2816</v>
      </c>
      <c r="B619" s="236">
        <v>2174639</v>
      </c>
      <c r="C619" s="236" t="s">
        <v>2986</v>
      </c>
    </row>
    <row r="620" spans="1:3">
      <c r="A620" s="236" t="s">
        <v>2816</v>
      </c>
      <c r="B620" s="236">
        <v>2120632</v>
      </c>
      <c r="C620" s="236" t="s">
        <v>2986</v>
      </c>
    </row>
    <row r="621" spans="1:3">
      <c r="A621" s="236" t="s">
        <v>2816</v>
      </c>
      <c r="B621" s="236">
        <v>2120633</v>
      </c>
      <c r="C621" s="236" t="s">
        <v>2986</v>
      </c>
    </row>
    <row r="622" spans="1:3">
      <c r="A622" s="236" t="s">
        <v>2816</v>
      </c>
      <c r="B622" s="236">
        <v>2131186</v>
      </c>
      <c r="C622" s="236" t="s">
        <v>2986</v>
      </c>
    </row>
    <row r="623" spans="1:3">
      <c r="A623" s="236" t="s">
        <v>2816</v>
      </c>
      <c r="B623" s="236">
        <v>2174611</v>
      </c>
      <c r="C623" s="236" t="s">
        <v>2986</v>
      </c>
    </row>
    <row r="624" spans="1:3">
      <c r="A624" s="236" t="s">
        <v>2816</v>
      </c>
      <c r="B624" s="236">
        <v>2134419</v>
      </c>
      <c r="C624" s="236" t="s">
        <v>2986</v>
      </c>
    </row>
    <row r="625" spans="1:3">
      <c r="A625" s="236" t="s">
        <v>2816</v>
      </c>
      <c r="B625" s="236">
        <v>2154014</v>
      </c>
      <c r="C625" s="236" t="s">
        <v>2986</v>
      </c>
    </row>
    <row r="626" spans="1:3">
      <c r="A626" s="236" t="s">
        <v>2816</v>
      </c>
      <c r="B626" s="236">
        <v>2141457</v>
      </c>
      <c r="C626" s="236" t="s">
        <v>2986</v>
      </c>
    </row>
    <row r="627" spans="1:3">
      <c r="A627" s="236" t="s">
        <v>2816</v>
      </c>
      <c r="B627" s="236">
        <v>2154004</v>
      </c>
      <c r="C627" s="236" t="s">
        <v>2986</v>
      </c>
    </row>
    <row r="628" spans="1:3">
      <c r="A628" s="236" t="s">
        <v>2816</v>
      </c>
      <c r="B628" s="236">
        <v>2185347</v>
      </c>
      <c r="C628" s="236" t="s">
        <v>2986</v>
      </c>
    </row>
    <row r="629" spans="1:3">
      <c r="A629" s="236" t="s">
        <v>2816</v>
      </c>
      <c r="B629" s="236">
        <v>2143445</v>
      </c>
      <c r="C629" s="236" t="s">
        <v>2986</v>
      </c>
    </row>
    <row r="630" spans="1:3">
      <c r="A630" s="236" t="s">
        <v>2816</v>
      </c>
      <c r="B630" s="236">
        <v>2165863</v>
      </c>
      <c r="C630" s="236" t="s">
        <v>2986</v>
      </c>
    </row>
    <row r="631" spans="1:3">
      <c r="A631" s="236" t="s">
        <v>2816</v>
      </c>
      <c r="B631" s="236">
        <v>2143457</v>
      </c>
      <c r="C631" s="236" t="s">
        <v>2986</v>
      </c>
    </row>
    <row r="632" spans="1:3">
      <c r="A632" s="236" t="s">
        <v>2816</v>
      </c>
      <c r="B632" s="236">
        <v>2139833</v>
      </c>
      <c r="C632" s="236" t="s">
        <v>2986</v>
      </c>
    </row>
    <row r="633" spans="1:3">
      <c r="A633" s="236" t="s">
        <v>2816</v>
      </c>
      <c r="B633" s="236">
        <v>2136447</v>
      </c>
      <c r="C633" s="236" t="s">
        <v>2986</v>
      </c>
    </row>
    <row r="634" spans="1:3">
      <c r="A634" s="236" t="s">
        <v>2816</v>
      </c>
      <c r="B634" s="236">
        <v>2123614</v>
      </c>
      <c r="C634" s="236" t="s">
        <v>2986</v>
      </c>
    </row>
    <row r="635" spans="1:3">
      <c r="A635" s="236" t="s">
        <v>2816</v>
      </c>
      <c r="B635" s="236">
        <v>2145377</v>
      </c>
      <c r="C635" s="236" t="s">
        <v>2986</v>
      </c>
    </row>
    <row r="636" spans="1:3">
      <c r="A636" s="236" t="s">
        <v>2816</v>
      </c>
      <c r="B636" s="236">
        <v>2181020</v>
      </c>
      <c r="C636" s="236" t="s">
        <v>2986</v>
      </c>
    </row>
    <row r="637" spans="1:3">
      <c r="A637" s="236" t="s">
        <v>2816</v>
      </c>
      <c r="B637" s="236">
        <v>2154016</v>
      </c>
      <c r="C637" s="236" t="s">
        <v>2986</v>
      </c>
    </row>
    <row r="638" spans="1:3">
      <c r="A638" s="236" t="s">
        <v>2816</v>
      </c>
      <c r="B638" s="236">
        <v>2159900</v>
      </c>
      <c r="C638" s="236" t="s">
        <v>2986</v>
      </c>
    </row>
    <row r="639" spans="1:3">
      <c r="A639" s="236" t="s">
        <v>2816</v>
      </c>
      <c r="B639" s="236">
        <v>2181848</v>
      </c>
      <c r="C639" s="236" t="s">
        <v>2986</v>
      </c>
    </row>
    <row r="640" spans="1:3">
      <c r="A640" s="236" t="s">
        <v>2816</v>
      </c>
      <c r="B640" s="236">
        <v>2174640</v>
      </c>
      <c r="C640" s="236" t="s">
        <v>2986</v>
      </c>
    </row>
    <row r="641" spans="1:3">
      <c r="A641" s="236" t="s">
        <v>2816</v>
      </c>
      <c r="B641" s="236">
        <v>2181028</v>
      </c>
      <c r="C641" s="236" t="s">
        <v>2986</v>
      </c>
    </row>
    <row r="642" spans="1:3">
      <c r="A642" s="236" t="s">
        <v>2816</v>
      </c>
      <c r="B642" s="236">
        <v>2251754</v>
      </c>
      <c r="C642" s="236" t="s">
        <v>2986</v>
      </c>
    </row>
    <row r="643" spans="1:3">
      <c r="A643" s="236" t="s">
        <v>2816</v>
      </c>
      <c r="B643" s="236">
        <v>2151568</v>
      </c>
      <c r="C643" s="236" t="s">
        <v>2986</v>
      </c>
    </row>
    <row r="644" spans="1:3">
      <c r="A644" s="236" t="s">
        <v>2816</v>
      </c>
      <c r="B644" s="236">
        <v>2198883</v>
      </c>
      <c r="C644" s="236" t="s">
        <v>2986</v>
      </c>
    </row>
    <row r="645" spans="1:3">
      <c r="A645" s="236" t="s">
        <v>2816</v>
      </c>
      <c r="B645" s="236">
        <v>2150510</v>
      </c>
      <c r="C645" s="236" t="s">
        <v>2986</v>
      </c>
    </row>
    <row r="646" spans="1:3">
      <c r="A646" s="236" t="s">
        <v>2816</v>
      </c>
      <c r="B646" s="236">
        <v>2159880</v>
      </c>
      <c r="C646" s="236" t="s">
        <v>2986</v>
      </c>
    </row>
    <row r="647" spans="1:3">
      <c r="A647" s="236" t="s">
        <v>2816</v>
      </c>
      <c r="B647" s="236">
        <v>2170617</v>
      </c>
      <c r="C647" s="236" t="s">
        <v>2986</v>
      </c>
    </row>
    <row r="648" spans="1:3">
      <c r="A648" s="236" t="s">
        <v>2816</v>
      </c>
      <c r="B648" s="236">
        <v>2170661</v>
      </c>
      <c r="C648" s="236" t="s">
        <v>2986</v>
      </c>
    </row>
    <row r="649" spans="1:3">
      <c r="A649" s="236" t="s">
        <v>2816</v>
      </c>
      <c r="B649" s="236">
        <v>2188477</v>
      </c>
      <c r="C649" s="236" t="s">
        <v>2986</v>
      </c>
    </row>
    <row r="650" spans="1:3">
      <c r="A650" s="236" t="s">
        <v>2816</v>
      </c>
      <c r="B650" s="236">
        <v>2213265</v>
      </c>
      <c r="C650" s="236" t="s">
        <v>2986</v>
      </c>
    </row>
    <row r="651" spans="1:3">
      <c r="A651" s="236" t="s">
        <v>2816</v>
      </c>
      <c r="B651" s="236">
        <v>2178143</v>
      </c>
      <c r="C651" s="236" t="s">
        <v>2986</v>
      </c>
    </row>
    <row r="652" spans="1:3">
      <c r="A652" s="236" t="s">
        <v>2816</v>
      </c>
      <c r="B652" s="236">
        <v>2200569</v>
      </c>
      <c r="C652" s="236" t="s">
        <v>2986</v>
      </c>
    </row>
    <row r="653" spans="1:3">
      <c r="A653" s="236" t="s">
        <v>2816</v>
      </c>
      <c r="B653" s="236">
        <v>2223472</v>
      </c>
      <c r="C653" s="236" t="s">
        <v>2986</v>
      </c>
    </row>
    <row r="654" spans="1:3">
      <c r="A654" s="236" t="s">
        <v>2816</v>
      </c>
      <c r="B654" s="236">
        <v>2161351</v>
      </c>
      <c r="C654" s="236" t="s">
        <v>2986</v>
      </c>
    </row>
    <row r="655" spans="1:3">
      <c r="A655" s="236" t="s">
        <v>2816</v>
      </c>
      <c r="B655" s="236">
        <v>2161381</v>
      </c>
      <c r="C655" s="236" t="s">
        <v>2986</v>
      </c>
    </row>
    <row r="656" spans="1:3">
      <c r="A656" s="236" t="s">
        <v>2816</v>
      </c>
      <c r="B656" s="236">
        <v>2191762</v>
      </c>
      <c r="C656" s="236" t="s">
        <v>2986</v>
      </c>
    </row>
    <row r="657" spans="1:3">
      <c r="A657" s="236" t="s">
        <v>2816</v>
      </c>
      <c r="B657" s="236">
        <v>2127600</v>
      </c>
      <c r="C657" s="236" t="s">
        <v>2986</v>
      </c>
    </row>
    <row r="658" spans="1:3">
      <c r="A658" s="236" t="s">
        <v>2816</v>
      </c>
      <c r="B658" s="236">
        <v>2119991</v>
      </c>
      <c r="C658" s="236" t="s">
        <v>2986</v>
      </c>
    </row>
    <row r="659" spans="1:3">
      <c r="A659" s="236" t="s">
        <v>2816</v>
      </c>
      <c r="B659" s="236">
        <v>2157175</v>
      </c>
      <c r="C659" s="236" t="s">
        <v>2986</v>
      </c>
    </row>
    <row r="660" spans="1:3">
      <c r="A660" s="236" t="s">
        <v>2816</v>
      </c>
      <c r="B660" s="236">
        <v>2127597</v>
      </c>
      <c r="C660" s="236" t="s">
        <v>2986</v>
      </c>
    </row>
    <row r="661" spans="1:3">
      <c r="A661" s="236" t="s">
        <v>2816</v>
      </c>
      <c r="B661" s="236">
        <v>2174087</v>
      </c>
      <c r="C661" s="236" t="s">
        <v>2986</v>
      </c>
    </row>
    <row r="662" spans="1:3">
      <c r="A662" s="236" t="s">
        <v>2816</v>
      </c>
      <c r="B662" s="236">
        <v>2137288</v>
      </c>
      <c r="C662" s="236" t="s">
        <v>2986</v>
      </c>
    </row>
    <row r="663" spans="1:3">
      <c r="A663" s="236" t="s">
        <v>2816</v>
      </c>
      <c r="B663" s="236">
        <v>2133144</v>
      </c>
      <c r="C663" s="236" t="s">
        <v>2986</v>
      </c>
    </row>
    <row r="664" spans="1:3">
      <c r="A664" s="236" t="s">
        <v>2816</v>
      </c>
      <c r="B664" s="236">
        <v>2127220</v>
      </c>
      <c r="C664" s="236" t="s">
        <v>2986</v>
      </c>
    </row>
    <row r="665" spans="1:3">
      <c r="A665" s="236" t="s">
        <v>2816</v>
      </c>
      <c r="B665" s="236">
        <v>2121199</v>
      </c>
      <c r="C665" s="236" t="s">
        <v>2986</v>
      </c>
    </row>
    <row r="666" spans="1:3">
      <c r="A666" s="236" t="s">
        <v>2816</v>
      </c>
      <c r="B666" s="236">
        <v>2133454</v>
      </c>
      <c r="C666" s="236" t="s">
        <v>2986</v>
      </c>
    </row>
    <row r="667" spans="1:3">
      <c r="A667" s="236" t="s">
        <v>2816</v>
      </c>
      <c r="B667" s="236">
        <v>2183220</v>
      </c>
      <c r="C667" s="236" t="s">
        <v>2986</v>
      </c>
    </row>
    <row r="668" spans="1:3">
      <c r="A668" s="236" t="s">
        <v>2816</v>
      </c>
      <c r="B668" s="236">
        <v>2158125</v>
      </c>
      <c r="C668" s="236" t="s">
        <v>2986</v>
      </c>
    </row>
    <row r="669" spans="1:3">
      <c r="A669" s="236" t="s">
        <v>2816</v>
      </c>
      <c r="B669" s="236">
        <v>2185875</v>
      </c>
      <c r="C669" s="236" t="s">
        <v>2986</v>
      </c>
    </row>
    <row r="670" spans="1:3">
      <c r="A670" s="236" t="s">
        <v>2816</v>
      </c>
      <c r="B670" s="236">
        <v>2217086</v>
      </c>
      <c r="C670" s="236" t="s">
        <v>2986</v>
      </c>
    </row>
    <row r="671" spans="1:3">
      <c r="A671" s="236" t="s">
        <v>2816</v>
      </c>
      <c r="B671" s="236">
        <v>2133142</v>
      </c>
      <c r="C671" s="236" t="s">
        <v>2986</v>
      </c>
    </row>
    <row r="672" spans="1:3">
      <c r="A672" s="236" t="s">
        <v>2816</v>
      </c>
      <c r="B672" s="236">
        <v>2127598</v>
      </c>
      <c r="C672" s="236" t="s">
        <v>2986</v>
      </c>
    </row>
    <row r="673" spans="1:3">
      <c r="A673" s="236" t="s">
        <v>2816</v>
      </c>
      <c r="B673" s="236">
        <v>2125756</v>
      </c>
      <c r="C673" s="236" t="s">
        <v>2986</v>
      </c>
    </row>
    <row r="674" spans="1:3">
      <c r="A674" s="236" t="s">
        <v>2816</v>
      </c>
      <c r="B674" s="236">
        <v>2130392</v>
      </c>
      <c r="C674" s="236" t="s">
        <v>2986</v>
      </c>
    </row>
    <row r="675" spans="1:3">
      <c r="A675" s="236" t="s">
        <v>2816</v>
      </c>
      <c r="B675" s="236">
        <v>2169047</v>
      </c>
      <c r="C675" s="236" t="s">
        <v>2986</v>
      </c>
    </row>
    <row r="676" spans="1:3">
      <c r="A676" s="236" t="s">
        <v>2816</v>
      </c>
      <c r="B676" s="236">
        <v>2127599</v>
      </c>
      <c r="C676" s="236" t="s">
        <v>2986</v>
      </c>
    </row>
    <row r="677" spans="1:3">
      <c r="A677" s="236" t="s">
        <v>2816</v>
      </c>
      <c r="B677" s="236">
        <v>2158126</v>
      </c>
      <c r="C677" s="236" t="s">
        <v>2986</v>
      </c>
    </row>
    <row r="678" spans="1:3">
      <c r="A678" s="236" t="s">
        <v>2816</v>
      </c>
      <c r="B678" s="236">
        <v>2187032</v>
      </c>
      <c r="C678" s="236" t="s">
        <v>2986</v>
      </c>
    </row>
    <row r="679" spans="1:3">
      <c r="A679" s="236" t="s">
        <v>2816</v>
      </c>
      <c r="B679" s="236">
        <v>2205652</v>
      </c>
      <c r="C679" s="236" t="s">
        <v>2986</v>
      </c>
    </row>
    <row r="680" spans="1:3">
      <c r="A680" s="236" t="s">
        <v>2816</v>
      </c>
      <c r="B680" s="236">
        <v>2198721</v>
      </c>
      <c r="C680" s="236" t="s">
        <v>2986</v>
      </c>
    </row>
    <row r="681" spans="1:3">
      <c r="A681" s="236" t="s">
        <v>2816</v>
      </c>
      <c r="B681" s="236">
        <v>2248707</v>
      </c>
      <c r="C681" s="236" t="s">
        <v>2986</v>
      </c>
    </row>
    <row r="682" spans="1:3">
      <c r="A682" s="236" t="s">
        <v>2816</v>
      </c>
      <c r="B682" s="236">
        <v>2202102</v>
      </c>
      <c r="C682" s="236" t="s">
        <v>2986</v>
      </c>
    </row>
    <row r="683" spans="1:3">
      <c r="A683" s="236" t="s">
        <v>2816</v>
      </c>
      <c r="B683" s="236">
        <v>2205653</v>
      </c>
      <c r="C683" s="236" t="s">
        <v>2986</v>
      </c>
    </row>
    <row r="684" spans="1:3">
      <c r="A684" s="236" t="s">
        <v>2816</v>
      </c>
      <c r="B684" s="236">
        <v>2200361</v>
      </c>
      <c r="C684" s="236" t="s">
        <v>2986</v>
      </c>
    </row>
    <row r="685" spans="1:3">
      <c r="A685" s="236" t="s">
        <v>2816</v>
      </c>
      <c r="B685" s="236">
        <v>2202490</v>
      </c>
      <c r="C685" s="236" t="s">
        <v>2986</v>
      </c>
    </row>
    <row r="686" spans="1:3">
      <c r="A686" s="236" t="s">
        <v>2816</v>
      </c>
      <c r="B686" s="236">
        <v>2213861</v>
      </c>
      <c r="C686" s="236" t="s">
        <v>2986</v>
      </c>
    </row>
    <row r="687" spans="1:3">
      <c r="A687" s="236" t="s">
        <v>2737</v>
      </c>
      <c r="B687" s="236">
        <v>1732661</v>
      </c>
    </row>
    <row r="688" spans="1:3">
      <c r="A688" s="236" t="s">
        <v>2737</v>
      </c>
      <c r="B688" s="236">
        <v>1689892</v>
      </c>
    </row>
    <row r="689" spans="1:2">
      <c r="A689" s="236" t="s">
        <v>2737</v>
      </c>
      <c r="B689" s="236">
        <v>1980309</v>
      </c>
    </row>
    <row r="690" spans="1:2">
      <c r="A690" s="236" t="s">
        <v>2737</v>
      </c>
      <c r="B690" s="236">
        <v>1831323</v>
      </c>
    </row>
    <row r="691" spans="1:2">
      <c r="A691" s="236" t="s">
        <v>2737</v>
      </c>
      <c r="B691" s="236">
        <v>1883408</v>
      </c>
    </row>
    <row r="692" spans="1:2">
      <c r="A692" s="236" t="s">
        <v>2737</v>
      </c>
      <c r="B692" s="236">
        <v>1896594</v>
      </c>
    </row>
    <row r="693" spans="1:2">
      <c r="A693" s="236" t="s">
        <v>2737</v>
      </c>
      <c r="B693" s="236">
        <v>1864763</v>
      </c>
    </row>
    <row r="694" spans="1:2">
      <c r="A694" s="236" t="s">
        <v>2737</v>
      </c>
      <c r="B694" s="236">
        <v>1950417</v>
      </c>
    </row>
    <row r="695" spans="1:2">
      <c r="A695" s="236" t="s">
        <v>2737</v>
      </c>
      <c r="B695" s="236">
        <v>1976191</v>
      </c>
    </row>
    <row r="696" spans="1:2">
      <c r="A696" s="236" t="s">
        <v>2737</v>
      </c>
      <c r="B696" s="236">
        <v>1893611</v>
      </c>
    </row>
    <row r="697" spans="1:2">
      <c r="A697" s="236" t="s">
        <v>2737</v>
      </c>
      <c r="B697" s="236">
        <v>1991527</v>
      </c>
    </row>
    <row r="698" spans="1:2">
      <c r="A698" s="236" t="s">
        <v>2737</v>
      </c>
      <c r="B698" s="236">
        <v>1991528</v>
      </c>
    </row>
    <row r="699" spans="1:2">
      <c r="A699" s="236" t="s">
        <v>2737</v>
      </c>
      <c r="B699" s="236">
        <v>1969164</v>
      </c>
    </row>
    <row r="700" spans="1:2">
      <c r="A700" s="236" t="s">
        <v>2737</v>
      </c>
      <c r="B700" s="236">
        <v>1936913</v>
      </c>
    </row>
    <row r="701" spans="1:2">
      <c r="A701" s="236" t="s">
        <v>2737</v>
      </c>
      <c r="B701" s="236">
        <v>1878316</v>
      </c>
    </row>
    <row r="702" spans="1:2">
      <c r="A702" s="236" t="s">
        <v>2737</v>
      </c>
      <c r="B702" s="236">
        <v>2037331</v>
      </c>
    </row>
    <row r="703" spans="1:2">
      <c r="A703" s="236" t="s">
        <v>2737</v>
      </c>
      <c r="B703" s="236">
        <v>2069252</v>
      </c>
    </row>
    <row r="704" spans="1:2">
      <c r="A704" s="236" t="s">
        <v>2737</v>
      </c>
      <c r="B704" s="236">
        <v>2077112</v>
      </c>
    </row>
    <row r="705" spans="1:3">
      <c r="A705" s="236" t="s">
        <v>2737</v>
      </c>
      <c r="B705" s="236">
        <v>2124703</v>
      </c>
    </row>
    <row r="706" spans="1:3">
      <c r="A706" s="236" t="s">
        <v>2737</v>
      </c>
      <c r="B706" s="236">
        <v>2154954</v>
      </c>
    </row>
    <row r="707" spans="1:3">
      <c r="A707" s="236" t="s">
        <v>2817</v>
      </c>
      <c r="B707" s="236">
        <v>2150102</v>
      </c>
      <c r="C707" s="236" t="s">
        <v>2986</v>
      </c>
    </row>
    <row r="708" spans="1:3">
      <c r="A708" s="236" t="s">
        <v>2817</v>
      </c>
      <c r="B708" s="236">
        <v>2176227</v>
      </c>
      <c r="C708" s="236" t="s">
        <v>2986</v>
      </c>
    </row>
    <row r="709" spans="1:3">
      <c r="A709" s="236" t="s">
        <v>2818</v>
      </c>
      <c r="B709" s="236">
        <v>1739049</v>
      </c>
      <c r="C709" s="236" t="s">
        <v>2986</v>
      </c>
    </row>
    <row r="710" spans="1:3">
      <c r="A710" s="236" t="s">
        <v>2818</v>
      </c>
      <c r="B710" s="236">
        <v>1685192</v>
      </c>
      <c r="C710" s="236" t="s">
        <v>2986</v>
      </c>
    </row>
    <row r="711" spans="1:3">
      <c r="A711" s="236" t="s">
        <v>2818</v>
      </c>
      <c r="B711" s="236">
        <v>1747904</v>
      </c>
      <c r="C711" s="236" t="s">
        <v>2986</v>
      </c>
    </row>
    <row r="712" spans="1:3">
      <c r="A712" s="236" t="s">
        <v>2818</v>
      </c>
      <c r="B712" s="236">
        <v>2041638</v>
      </c>
      <c r="C712" s="236" t="s">
        <v>2986</v>
      </c>
    </row>
    <row r="713" spans="1:3">
      <c r="A713" s="236" t="s">
        <v>2818</v>
      </c>
      <c r="B713" s="236">
        <v>2063170</v>
      </c>
      <c r="C713" s="236" t="s">
        <v>2986</v>
      </c>
    </row>
    <row r="714" spans="1:3">
      <c r="A714" s="236" t="s">
        <v>2818</v>
      </c>
      <c r="B714" s="236">
        <v>1935433</v>
      </c>
      <c r="C714" s="236" t="s">
        <v>2986</v>
      </c>
    </row>
    <row r="715" spans="1:3">
      <c r="A715" s="236" t="s">
        <v>2818</v>
      </c>
      <c r="B715" s="236">
        <v>1953922</v>
      </c>
      <c r="C715" s="236" t="s">
        <v>2986</v>
      </c>
    </row>
    <row r="716" spans="1:3">
      <c r="A716" s="236" t="s">
        <v>2818</v>
      </c>
      <c r="B716" s="236">
        <v>1964664</v>
      </c>
      <c r="C716" s="236" t="s">
        <v>2986</v>
      </c>
    </row>
    <row r="717" spans="1:3">
      <c r="A717" s="236" t="s">
        <v>2818</v>
      </c>
      <c r="B717" s="236">
        <v>1878370</v>
      </c>
      <c r="C717" s="236" t="s">
        <v>2986</v>
      </c>
    </row>
    <row r="718" spans="1:3">
      <c r="A718" s="236" t="s">
        <v>2818</v>
      </c>
      <c r="B718" s="236">
        <v>1878366</v>
      </c>
      <c r="C718" s="236" t="s">
        <v>2986</v>
      </c>
    </row>
    <row r="719" spans="1:3">
      <c r="A719" s="236" t="s">
        <v>2818</v>
      </c>
      <c r="B719" s="236">
        <v>1878371</v>
      </c>
      <c r="C719" s="236" t="s">
        <v>2986</v>
      </c>
    </row>
    <row r="720" spans="1:3">
      <c r="A720" s="236" t="s">
        <v>2818</v>
      </c>
      <c r="B720" s="236">
        <v>1978890</v>
      </c>
      <c r="C720" s="236" t="s">
        <v>2986</v>
      </c>
    </row>
    <row r="721" spans="1:3">
      <c r="A721" s="236" t="s">
        <v>2818</v>
      </c>
      <c r="B721" s="236">
        <v>1984541</v>
      </c>
      <c r="C721" s="236" t="s">
        <v>2986</v>
      </c>
    </row>
    <row r="722" spans="1:3">
      <c r="A722" s="236" t="s">
        <v>2818</v>
      </c>
      <c r="B722" s="236">
        <v>2050525</v>
      </c>
      <c r="C722" s="236" t="s">
        <v>2986</v>
      </c>
    </row>
    <row r="723" spans="1:3">
      <c r="A723" s="236" t="s">
        <v>2818</v>
      </c>
      <c r="B723" s="236">
        <v>1985499</v>
      </c>
      <c r="C723" s="236" t="s">
        <v>2986</v>
      </c>
    </row>
    <row r="724" spans="1:3">
      <c r="A724" s="236" t="s">
        <v>2818</v>
      </c>
      <c r="B724" s="236">
        <v>1976661</v>
      </c>
      <c r="C724" s="236" t="s">
        <v>2986</v>
      </c>
    </row>
    <row r="725" spans="1:3">
      <c r="A725" s="236" t="s">
        <v>2818</v>
      </c>
      <c r="B725" s="236">
        <v>2033608</v>
      </c>
      <c r="C725" s="236" t="s">
        <v>2986</v>
      </c>
    </row>
    <row r="726" spans="1:3">
      <c r="A726" s="236" t="s">
        <v>2818</v>
      </c>
      <c r="B726" s="236">
        <v>2108875</v>
      </c>
      <c r="C726" s="236" t="s">
        <v>2986</v>
      </c>
    </row>
    <row r="727" spans="1:3">
      <c r="A727" s="236" t="s">
        <v>2818</v>
      </c>
      <c r="B727" s="236">
        <v>2164557</v>
      </c>
      <c r="C727" s="236" t="s">
        <v>2986</v>
      </c>
    </row>
    <row r="728" spans="1:3">
      <c r="A728" s="236" t="s">
        <v>2818</v>
      </c>
      <c r="B728" s="236">
        <v>2188380</v>
      </c>
      <c r="C728" s="236" t="s">
        <v>2986</v>
      </c>
    </row>
    <row r="729" spans="1:3">
      <c r="A729" s="236" t="s">
        <v>2818</v>
      </c>
      <c r="B729" s="236">
        <v>2236304</v>
      </c>
      <c r="C729" s="236" t="s">
        <v>2986</v>
      </c>
    </row>
    <row r="730" spans="1:3">
      <c r="A730" s="236" t="s">
        <v>2821</v>
      </c>
      <c r="B730" s="236">
        <v>1984973</v>
      </c>
      <c r="C730" s="236"/>
    </row>
    <row r="731" spans="1:3">
      <c r="A731" s="236" t="s">
        <v>2821</v>
      </c>
      <c r="B731" s="236">
        <v>2100868</v>
      </c>
      <c r="C731" s="236"/>
    </row>
    <row r="732" spans="1:3">
      <c r="A732" s="236" t="s">
        <v>2819</v>
      </c>
      <c r="B732" s="236">
        <v>2088732</v>
      </c>
      <c r="C732" s="236" t="s">
        <v>2986</v>
      </c>
    </row>
    <row r="733" spans="1:3">
      <c r="A733" s="236" t="s">
        <v>2819</v>
      </c>
      <c r="B733" s="236">
        <v>2089155</v>
      </c>
      <c r="C733" s="236" t="s">
        <v>2986</v>
      </c>
    </row>
    <row r="734" spans="1:3">
      <c r="A734" s="236" t="s">
        <v>2819</v>
      </c>
      <c r="B734" s="236">
        <v>2112002</v>
      </c>
      <c r="C734" s="236" t="s">
        <v>2986</v>
      </c>
    </row>
    <row r="735" spans="1:3">
      <c r="A735" s="236" t="s">
        <v>2819</v>
      </c>
      <c r="B735" s="236">
        <v>2088626</v>
      </c>
      <c r="C735" s="236" t="s">
        <v>2986</v>
      </c>
    </row>
    <row r="736" spans="1:3">
      <c r="A736" s="236" t="s">
        <v>2819</v>
      </c>
      <c r="B736" s="236">
        <v>2193953</v>
      </c>
      <c r="C736" s="236" t="s">
        <v>2986</v>
      </c>
    </row>
    <row r="737" spans="1:3">
      <c r="A737" s="236" t="s">
        <v>2819</v>
      </c>
      <c r="B737" s="236">
        <v>2086833</v>
      </c>
      <c r="C737" s="236" t="s">
        <v>2986</v>
      </c>
    </row>
    <row r="738" spans="1:3">
      <c r="A738" s="236" t="s">
        <v>2819</v>
      </c>
      <c r="B738" s="236">
        <v>2025186</v>
      </c>
      <c r="C738" s="236" t="s">
        <v>2986</v>
      </c>
    </row>
    <row r="739" spans="1:3">
      <c r="A739" s="236" t="s">
        <v>2819</v>
      </c>
      <c r="B739" s="236">
        <v>2012207</v>
      </c>
      <c r="C739" s="236" t="s">
        <v>2986</v>
      </c>
    </row>
    <row r="740" spans="1:3">
      <c r="A740" s="236" t="s">
        <v>2819</v>
      </c>
      <c r="B740" s="236">
        <v>2029401</v>
      </c>
      <c r="C740" s="236" t="s">
        <v>2986</v>
      </c>
    </row>
    <row r="741" spans="1:3">
      <c r="A741" s="236" t="s">
        <v>2819</v>
      </c>
      <c r="B741" s="236">
        <v>1918358</v>
      </c>
      <c r="C741" s="236" t="s">
        <v>2986</v>
      </c>
    </row>
    <row r="742" spans="1:3">
      <c r="A742" s="236" t="s">
        <v>2819</v>
      </c>
      <c r="B742" s="236">
        <v>1919139</v>
      </c>
      <c r="C742" s="236" t="s">
        <v>2986</v>
      </c>
    </row>
    <row r="743" spans="1:3">
      <c r="A743" s="236" t="s">
        <v>2819</v>
      </c>
      <c r="B743" s="236">
        <v>2021162</v>
      </c>
      <c r="C743" s="236" t="s">
        <v>2986</v>
      </c>
    </row>
    <row r="744" spans="1:3">
      <c r="A744" s="236" t="s">
        <v>2819</v>
      </c>
      <c r="B744" s="236">
        <v>1914314</v>
      </c>
      <c r="C744" s="236" t="s">
        <v>2986</v>
      </c>
    </row>
    <row r="745" spans="1:3">
      <c r="A745" s="236" t="s">
        <v>2819</v>
      </c>
      <c r="B745" s="236">
        <v>2061016</v>
      </c>
      <c r="C745" s="236" t="s">
        <v>2986</v>
      </c>
    </row>
    <row r="746" spans="1:3">
      <c r="A746" s="236" t="s">
        <v>2819</v>
      </c>
      <c r="B746" s="236">
        <v>2100044</v>
      </c>
      <c r="C746" s="236" t="s">
        <v>2986</v>
      </c>
    </row>
    <row r="747" spans="1:3">
      <c r="A747" s="236" t="s">
        <v>2819</v>
      </c>
      <c r="B747" s="236">
        <v>2041036</v>
      </c>
      <c r="C747" s="236" t="s">
        <v>2986</v>
      </c>
    </row>
    <row r="748" spans="1:3">
      <c r="A748" s="236" t="s">
        <v>2819</v>
      </c>
      <c r="B748" s="236">
        <v>2238089</v>
      </c>
      <c r="C748" s="236" t="s">
        <v>2986</v>
      </c>
    </row>
    <row r="749" spans="1:3">
      <c r="A749" s="236" t="s">
        <v>2819</v>
      </c>
      <c r="B749" s="236">
        <v>2053014</v>
      </c>
      <c r="C749" s="236" t="s">
        <v>2986</v>
      </c>
    </row>
    <row r="750" spans="1:3">
      <c r="A750" s="236" t="s">
        <v>2819</v>
      </c>
      <c r="B750" s="236">
        <v>2110945</v>
      </c>
      <c r="C750" s="236" t="s">
        <v>2986</v>
      </c>
    </row>
    <row r="751" spans="1:3">
      <c r="A751" s="236" t="s">
        <v>2819</v>
      </c>
      <c r="B751" s="236">
        <v>2030235</v>
      </c>
      <c r="C751" s="236" t="s">
        <v>2986</v>
      </c>
    </row>
    <row r="752" spans="1:3">
      <c r="A752" s="236" t="s">
        <v>2819</v>
      </c>
      <c r="B752" s="236">
        <v>2140584</v>
      </c>
      <c r="C752" s="236" t="s">
        <v>2986</v>
      </c>
    </row>
    <row r="753" spans="1:3">
      <c r="A753" s="236" t="s">
        <v>2819</v>
      </c>
      <c r="B753" s="236">
        <v>2155659</v>
      </c>
      <c r="C753" s="236" t="s">
        <v>2986</v>
      </c>
    </row>
    <row r="754" spans="1:3">
      <c r="A754" s="236" t="s">
        <v>2819</v>
      </c>
      <c r="B754" s="236">
        <v>2155661</v>
      </c>
      <c r="C754" s="236" t="s">
        <v>2986</v>
      </c>
    </row>
    <row r="755" spans="1:3">
      <c r="A755" s="236" t="s">
        <v>2819</v>
      </c>
      <c r="B755" s="236">
        <v>2157468</v>
      </c>
      <c r="C755" s="236" t="s">
        <v>2986</v>
      </c>
    </row>
    <row r="756" spans="1:3">
      <c r="A756" s="236" t="s">
        <v>2819</v>
      </c>
      <c r="B756" s="236">
        <v>2182043</v>
      </c>
      <c r="C756" s="236" t="s">
        <v>2986</v>
      </c>
    </row>
    <row r="757" spans="1:3">
      <c r="A757" s="236" t="s">
        <v>2819</v>
      </c>
      <c r="B757" s="236">
        <v>2161299</v>
      </c>
      <c r="C757" s="236" t="s">
        <v>2986</v>
      </c>
    </row>
    <row r="758" spans="1:3">
      <c r="A758" s="236" t="s">
        <v>2819</v>
      </c>
      <c r="B758" s="236">
        <v>2193422</v>
      </c>
      <c r="C758" s="236" t="s">
        <v>2986</v>
      </c>
    </row>
    <row r="759" spans="1:3">
      <c r="A759" s="236" t="s">
        <v>2819</v>
      </c>
      <c r="B759" s="236">
        <v>2158990</v>
      </c>
      <c r="C759" s="236" t="s">
        <v>2986</v>
      </c>
    </row>
    <row r="760" spans="1:3">
      <c r="A760" s="236" t="s">
        <v>2819</v>
      </c>
      <c r="B760" s="236">
        <v>2155660</v>
      </c>
      <c r="C760" s="236" t="s">
        <v>2986</v>
      </c>
    </row>
    <row r="761" spans="1:3">
      <c r="A761" s="236" t="s">
        <v>2819</v>
      </c>
      <c r="B761" s="236">
        <v>2138224</v>
      </c>
      <c r="C761" s="236" t="s">
        <v>2986</v>
      </c>
    </row>
    <row r="762" spans="1:3">
      <c r="A762" s="236" t="s">
        <v>2819</v>
      </c>
      <c r="B762" s="236">
        <v>2258311</v>
      </c>
      <c r="C762" s="236" t="s">
        <v>2986</v>
      </c>
    </row>
    <row r="763" spans="1:3">
      <c r="A763" s="236" t="s">
        <v>2819</v>
      </c>
      <c r="B763" s="236">
        <v>2153490</v>
      </c>
      <c r="C763" s="236" t="s">
        <v>2986</v>
      </c>
    </row>
    <row r="764" spans="1:3">
      <c r="A764" s="236" t="s">
        <v>2819</v>
      </c>
      <c r="B764" s="236">
        <v>2245119</v>
      </c>
      <c r="C764" s="236" t="s">
        <v>2986</v>
      </c>
    </row>
    <row r="765" spans="1:3">
      <c r="A765" s="236" t="s">
        <v>2819</v>
      </c>
      <c r="B765" s="236">
        <v>2270232</v>
      </c>
      <c r="C765" s="236" t="s">
        <v>2986</v>
      </c>
    </row>
    <row r="766" spans="1:3">
      <c r="A766" s="236" t="s">
        <v>2819</v>
      </c>
      <c r="B766" s="236">
        <v>2267251</v>
      </c>
      <c r="C766" s="236" t="s">
        <v>2986</v>
      </c>
    </row>
    <row r="767" spans="1:3">
      <c r="A767" s="236" t="s">
        <v>2819</v>
      </c>
      <c r="B767" s="236">
        <v>2330171</v>
      </c>
      <c r="C767" s="236" t="s">
        <v>2986</v>
      </c>
    </row>
    <row r="768" spans="1:3">
      <c r="A768" s="236" t="s">
        <v>2819</v>
      </c>
      <c r="B768" s="236">
        <v>2355110</v>
      </c>
      <c r="C768" s="236" t="s">
        <v>2986</v>
      </c>
    </row>
    <row r="769" spans="1:3">
      <c r="A769" s="236" t="s">
        <v>2819</v>
      </c>
      <c r="B769" s="236">
        <v>2306407</v>
      </c>
      <c r="C769" s="236" t="s">
        <v>2986</v>
      </c>
    </row>
    <row r="770" spans="1:3">
      <c r="A770" s="236" t="s">
        <v>2819</v>
      </c>
      <c r="B770" s="236">
        <v>2330172</v>
      </c>
      <c r="C770" s="236" t="s">
        <v>2986</v>
      </c>
    </row>
    <row r="771" spans="1:3">
      <c r="A771" s="236" t="s">
        <v>2819</v>
      </c>
      <c r="B771" s="236">
        <v>2313286</v>
      </c>
      <c r="C771" s="236" t="s">
        <v>2986</v>
      </c>
    </row>
    <row r="772" spans="1:3">
      <c r="A772" s="236" t="s">
        <v>2819</v>
      </c>
      <c r="B772" s="236">
        <v>2371643</v>
      </c>
      <c r="C772" s="236" t="s">
        <v>2986</v>
      </c>
    </row>
    <row r="773" spans="1:3">
      <c r="A773" s="236" t="s">
        <v>2819</v>
      </c>
      <c r="B773" s="236">
        <v>2251525</v>
      </c>
      <c r="C773" s="236" t="s">
        <v>2986</v>
      </c>
    </row>
    <row r="774" spans="1:3">
      <c r="A774" s="236" t="s">
        <v>2819</v>
      </c>
      <c r="B774" s="236">
        <v>2296943</v>
      </c>
      <c r="C774" s="236" t="s">
        <v>2986</v>
      </c>
    </row>
    <row r="775" spans="1:3">
      <c r="A775" s="236" t="s">
        <v>2819</v>
      </c>
      <c r="B775" s="236">
        <v>2296944</v>
      </c>
      <c r="C775" s="236" t="s">
        <v>2986</v>
      </c>
    </row>
    <row r="776" spans="1:3">
      <c r="A776" s="236" t="s">
        <v>2819</v>
      </c>
      <c r="B776" s="236">
        <v>2320380</v>
      </c>
      <c r="C776" s="236" t="s">
        <v>2986</v>
      </c>
    </row>
    <row r="777" spans="1:3">
      <c r="A777" s="236" t="s">
        <v>2819</v>
      </c>
      <c r="B777" s="236">
        <v>2349298</v>
      </c>
      <c r="C777" s="236" t="s">
        <v>2986</v>
      </c>
    </row>
    <row r="778" spans="1:3">
      <c r="A778" s="236" t="s">
        <v>2819</v>
      </c>
      <c r="B778" s="236">
        <v>2335265</v>
      </c>
      <c r="C778" s="236" t="s">
        <v>2986</v>
      </c>
    </row>
    <row r="779" spans="1:3">
      <c r="A779" s="236" t="s">
        <v>2735</v>
      </c>
      <c r="B779" s="236">
        <v>2475529</v>
      </c>
      <c r="C779" s="236" t="s">
        <v>2987</v>
      </c>
    </row>
    <row r="780" spans="1:3">
      <c r="A780" s="236" t="s">
        <v>2735</v>
      </c>
      <c r="B780" s="272">
        <v>2417384</v>
      </c>
      <c r="C780" s="272" t="s">
        <v>2987</v>
      </c>
    </row>
    <row r="781" spans="1:3">
      <c r="A781" s="236" t="s">
        <v>2787</v>
      </c>
      <c r="B781" s="236">
        <v>2277169</v>
      </c>
      <c r="C781" s="236" t="s">
        <v>2788</v>
      </c>
    </row>
    <row r="782" spans="1:3">
      <c r="A782" s="236" t="s">
        <v>2787</v>
      </c>
      <c r="B782" s="236">
        <v>2302645</v>
      </c>
      <c r="C782" s="236" t="s">
        <v>2788</v>
      </c>
    </row>
    <row r="783" spans="1:3">
      <c r="A783" s="236" t="s">
        <v>2787</v>
      </c>
      <c r="B783" s="236">
        <v>2606809</v>
      </c>
      <c r="C783" s="236" t="s">
        <v>2788</v>
      </c>
    </row>
    <row r="784" spans="1:3">
      <c r="A784" s="236" t="s">
        <v>2787</v>
      </c>
      <c r="B784" s="236">
        <v>2417383</v>
      </c>
      <c r="C784" s="236" t="s">
        <v>2788</v>
      </c>
    </row>
    <row r="785" spans="1:3">
      <c r="A785" s="236" t="s">
        <v>2787</v>
      </c>
      <c r="B785" s="236">
        <v>2629956</v>
      </c>
      <c r="C785" s="236" t="s">
        <v>2788</v>
      </c>
    </row>
    <row r="786" spans="1:3">
      <c r="A786" s="236" t="s">
        <v>2787</v>
      </c>
      <c r="B786" s="236">
        <v>2498592</v>
      </c>
      <c r="C786" s="236" t="s">
        <v>2788</v>
      </c>
    </row>
    <row r="787" spans="1:3">
      <c r="A787" s="236" t="s">
        <v>2789</v>
      </c>
      <c r="B787" s="236">
        <v>2306207</v>
      </c>
      <c r="C787" s="236" t="s">
        <v>2724</v>
      </c>
    </row>
    <row r="788" spans="1:3">
      <c r="A788" s="236" t="s">
        <v>2789</v>
      </c>
      <c r="B788" s="236">
        <v>2161250</v>
      </c>
      <c r="C788" s="236" t="s">
        <v>2724</v>
      </c>
    </row>
    <row r="789" spans="1:3">
      <c r="A789" s="236" t="s">
        <v>2789</v>
      </c>
      <c r="B789" s="236">
        <v>2168869</v>
      </c>
      <c r="C789" s="236" t="s">
        <v>2724</v>
      </c>
    </row>
    <row r="790" spans="1:3">
      <c r="A790" s="236" t="s">
        <v>2789</v>
      </c>
      <c r="B790" s="236">
        <v>2201716</v>
      </c>
      <c r="C790" s="236" t="s">
        <v>2724</v>
      </c>
    </row>
    <row r="791" spans="1:3">
      <c r="A791" s="236" t="s">
        <v>2789</v>
      </c>
      <c r="B791" s="236">
        <v>2306246</v>
      </c>
      <c r="C791" s="236" t="s">
        <v>2788</v>
      </c>
    </row>
    <row r="792" spans="1:3">
      <c r="A792" s="236" t="s">
        <v>2789</v>
      </c>
      <c r="B792" s="236">
        <v>2230402</v>
      </c>
      <c r="C792" s="236" t="s">
        <v>2788</v>
      </c>
    </row>
    <row r="793" spans="1:3">
      <c r="A793" s="236" t="s">
        <v>2789</v>
      </c>
      <c r="B793" s="236">
        <v>2054217</v>
      </c>
      <c r="C793" s="236" t="s">
        <v>2788</v>
      </c>
    </row>
    <row r="794" spans="1:3">
      <c r="A794" s="236" t="s">
        <v>2789</v>
      </c>
      <c r="B794" s="236">
        <v>2230403</v>
      </c>
      <c r="C794" s="236" t="s">
        <v>2788</v>
      </c>
    </row>
    <row r="795" spans="1:3">
      <c r="A795" s="236" t="s">
        <v>2789</v>
      </c>
      <c r="B795" s="236">
        <v>2357506</v>
      </c>
      <c r="C795" s="236" t="s">
        <v>2788</v>
      </c>
    </row>
    <row r="796" spans="1:3">
      <c r="A796" s="236" t="s">
        <v>2789</v>
      </c>
      <c r="B796" s="236">
        <v>2223719</v>
      </c>
      <c r="C796" s="236" t="s">
        <v>2788</v>
      </c>
    </row>
    <row r="797" spans="1:3">
      <c r="A797" s="236" t="s">
        <v>2789</v>
      </c>
      <c r="B797" s="236">
        <v>2191456</v>
      </c>
      <c r="C797" s="236" t="s">
        <v>2788</v>
      </c>
    </row>
    <row r="798" spans="1:3">
      <c r="A798" s="236" t="s">
        <v>2789</v>
      </c>
      <c r="B798" s="236">
        <v>2215286</v>
      </c>
      <c r="C798" s="236" t="s">
        <v>2788</v>
      </c>
    </row>
    <row r="799" spans="1:3">
      <c r="A799" s="236" t="s">
        <v>2789</v>
      </c>
      <c r="B799" s="236">
        <v>2344350</v>
      </c>
      <c r="C799" s="236" t="s">
        <v>2788</v>
      </c>
    </row>
    <row r="800" spans="1:3">
      <c r="A800" s="236" t="s">
        <v>2789</v>
      </c>
      <c r="B800" s="236">
        <v>2183862</v>
      </c>
      <c r="C800" s="236" t="s">
        <v>2788</v>
      </c>
    </row>
    <row r="801" spans="1:3">
      <c r="A801" s="236" t="s">
        <v>2905</v>
      </c>
      <c r="B801" s="236">
        <v>2452834</v>
      </c>
      <c r="C801" s="236" t="s">
        <v>2788</v>
      </c>
    </row>
    <row r="802" spans="1:3">
      <c r="A802" s="236" t="s">
        <v>2905</v>
      </c>
      <c r="B802" s="236">
        <v>2461974</v>
      </c>
      <c r="C802" s="236" t="s">
        <v>2788</v>
      </c>
    </row>
    <row r="803" spans="1:3" s="221" customFormat="1">
      <c r="A803" s="221" t="s">
        <v>2848</v>
      </c>
      <c r="B803" s="221">
        <v>2330215</v>
      </c>
      <c r="C803" s="236"/>
    </row>
    <row r="804" spans="1:3" s="221" customFormat="1">
      <c r="A804" s="221" t="s">
        <v>2848</v>
      </c>
      <c r="B804" s="221">
        <v>2160719</v>
      </c>
      <c r="C804" s="236"/>
    </row>
    <row r="805" spans="1:3" s="221" customFormat="1">
      <c r="A805" s="221" t="s">
        <v>2848</v>
      </c>
      <c r="B805" s="221">
        <v>2153700</v>
      </c>
      <c r="C805" s="236"/>
    </row>
    <row r="806" spans="1:3" s="221" customFormat="1">
      <c r="A806" s="221" t="s">
        <v>2848</v>
      </c>
      <c r="B806" s="221">
        <v>2323584</v>
      </c>
      <c r="C806" s="236"/>
    </row>
    <row r="807" spans="1:3" s="221" customFormat="1">
      <c r="A807" s="221" t="s">
        <v>2848</v>
      </c>
      <c r="B807" s="221">
        <v>2243887</v>
      </c>
      <c r="C807" s="236"/>
    </row>
    <row r="808" spans="1:3" s="221" customFormat="1">
      <c r="A808" s="221" t="s">
        <v>2848</v>
      </c>
      <c r="B808" s="221">
        <v>2201121</v>
      </c>
      <c r="C808" s="236"/>
    </row>
    <row r="809" spans="1:3" s="221" customFormat="1">
      <c r="A809" s="221" t="s">
        <v>2848</v>
      </c>
      <c r="B809" s="221">
        <v>2244968</v>
      </c>
      <c r="C809" s="236"/>
    </row>
    <row r="810" spans="1:3" s="221" customFormat="1">
      <c r="A810" s="221" t="s">
        <v>2848</v>
      </c>
      <c r="B810" s="221">
        <v>2216837</v>
      </c>
      <c r="C810" s="236"/>
    </row>
    <row r="811" spans="1:3" s="221" customFormat="1">
      <c r="A811" s="221" t="s">
        <v>2848</v>
      </c>
      <c r="B811" s="221">
        <v>2312344</v>
      </c>
      <c r="C811" s="236"/>
    </row>
    <row r="812" spans="1:3" s="221" customFormat="1">
      <c r="A812" s="221" t="s">
        <v>2848</v>
      </c>
      <c r="B812" s="221">
        <v>2183589</v>
      </c>
      <c r="C812" s="236"/>
    </row>
  </sheetData>
  <sheetCalcPr fullCalcOnLoad="1"/>
  <phoneticPr fontId="22" type="noConversion"/>
  <pageMargins left="0.75" right="0.75" top="1" bottom="1"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43</vt:i4>
      </vt:variant>
    </vt:vector>
  </HeadingPairs>
  <TitlesOfParts>
    <vt:vector size="43" baseType="lpstr">
      <vt:lpstr>Pool Index</vt:lpstr>
      <vt:lpstr>pool_chars.csv</vt:lpstr>
      <vt:lpstr>antitrust violations</vt:lpstr>
      <vt:lpstr>Firms</vt:lpstr>
      <vt:lpstr>1919Equi</vt:lpstr>
      <vt:lpstr>1921Cast</vt:lpstr>
      <vt:lpstr>1924Brak</vt:lpstr>
      <vt:lpstr>1924Sand</vt:lpstr>
      <vt:lpstr>1925Vent</vt:lpstr>
      <vt:lpstr>1926Food</vt:lpstr>
      <vt:lpstr>1927Airc</vt:lpstr>
      <vt:lpstr>1927Flur</vt:lpstr>
      <vt:lpstr>1928Rail</vt:lpstr>
      <vt:lpstr>1930Cabl</vt:lpstr>
      <vt:lpstr>1930Wate</vt:lpstr>
      <vt:lpstr>1931Fuel</vt:lpstr>
      <vt:lpstr>1931Mill</vt:lpstr>
      <vt:lpstr>1932Phar</vt:lpstr>
      <vt:lpstr>1932Rail</vt:lpstr>
      <vt:lpstr>1932Text</vt:lpstr>
      <vt:lpstr>1933Hydr</vt:lpstr>
      <vt:lpstr>1933Mach</vt:lpstr>
      <vt:lpstr>1933Phil</vt:lpstr>
      <vt:lpstr>1934Colo</vt:lpstr>
      <vt:lpstr>1934Dry</vt:lpstr>
      <vt:lpstr>1934Elec</vt:lpstr>
      <vt:lpstr>1934Leci</vt:lpstr>
      <vt:lpstr>1934Vari</vt:lpstr>
      <vt:lpstr>1935Airc</vt:lpstr>
      <vt:lpstr>1937Male</vt:lpstr>
      <vt:lpstr>1937Park</vt:lpstr>
      <vt:lpstr>1937Stam</vt:lpstr>
      <vt:lpstr>1937Wrin</vt:lpstr>
      <vt:lpstr>1938Drop</vt:lpstr>
      <vt:lpstr>1938Opht</vt:lpstr>
      <vt:lpstr>1938Slip</vt:lpstr>
      <vt:lpstr>1942Tele</vt:lpstr>
      <vt:lpstr>1946Dayl</vt:lpstr>
      <vt:lpstr>1946Elas</vt:lpstr>
      <vt:lpstr>1948Trac</vt:lpstr>
      <vt:lpstr>pre_pool_pats.csv</vt:lpstr>
      <vt:lpstr>all_pats.csv</vt:lpstr>
      <vt:lpstr>pre_pool_pats_OLD.csv</vt:lpstr>
    </vt:vector>
  </TitlesOfParts>
  <Company>DePaul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Lampe</dc:creator>
  <cp:lastModifiedBy>Ryan Lampe</cp:lastModifiedBy>
  <cp:lastPrinted>2011-10-31T09:05:34Z</cp:lastPrinted>
  <dcterms:created xsi:type="dcterms:W3CDTF">2009-12-17T01:15:49Z</dcterms:created>
  <dcterms:modified xsi:type="dcterms:W3CDTF">2012-01-17T04:47:05Z</dcterms:modified>
</cp:coreProperties>
</file>