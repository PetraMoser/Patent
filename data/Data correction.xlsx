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ubc/Dropbox/IP data analysis/Data/"/>
    </mc:Choice>
  </mc:AlternateContent>
  <xr:revisionPtr revIDLastSave="0" documentId="13_ncr:1_{5A2013C8-641F-0242-9917-3EE487D6DDAE}" xr6:coauthVersionLast="47" xr6:coauthVersionMax="47" xr10:uidLastSave="{00000000-0000-0000-0000-000000000000}"/>
  <bookViews>
    <workbookView xWindow="0" yWindow="460" windowWidth="25600" windowHeight="14540" activeTab="7" xr2:uid="{00000000-000D-0000-FFFF-FFFF00000000}"/>
  </bookViews>
  <sheets>
    <sheet name="Main" sheetId="1" r:id="rId1"/>
    <sheet name="Source" sheetId="2" r:id="rId2"/>
    <sheet name="Uebersicht der Auszeichnungen" sheetId="3" r:id="rId3"/>
    <sheet name="Class 22" sheetId="4" r:id="rId4"/>
    <sheet name="exh w awards in different class" sheetId="5" r:id="rId5"/>
    <sheet name="Verzeichniß der zuerkannten Pre" sheetId="6" r:id="rId6"/>
    <sheet name="notes" sheetId="7" r:id="rId7"/>
    <sheet name="rpat100513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1" roundtripDataSignature="AMtx7milbDpYLcHwnZJKmTvKSm5qFCwo8g=="/>
    </ext>
  </extLst>
</workbook>
</file>

<file path=xl/calcChain.xml><?xml version="1.0" encoding="utf-8"?>
<calcChain xmlns="http://schemas.openxmlformats.org/spreadsheetml/2006/main">
  <c r="I221" i="5" l="1"/>
  <c r="I220" i="5"/>
  <c r="K219" i="5"/>
  <c r="I219" i="5"/>
  <c r="C219" i="5"/>
  <c r="I218" i="5"/>
  <c r="I217" i="5"/>
  <c r="I216" i="5"/>
  <c r="I215" i="5"/>
  <c r="I214" i="5"/>
  <c r="I213" i="5"/>
  <c r="I212" i="5"/>
  <c r="I211" i="5"/>
  <c r="K210" i="5"/>
  <c r="I210" i="5"/>
  <c r="C210" i="5"/>
  <c r="I209" i="5"/>
  <c r="I208" i="5"/>
  <c r="I207" i="5"/>
  <c r="I206" i="5"/>
  <c r="I205" i="5"/>
  <c r="I204" i="5"/>
  <c r="K203" i="5"/>
  <c r="I203" i="5"/>
  <c r="C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K186" i="5"/>
  <c r="I186" i="5"/>
  <c r="C186" i="5"/>
  <c r="I185" i="5"/>
  <c r="I184" i="5"/>
  <c r="I183" i="5"/>
  <c r="I182" i="5"/>
  <c r="I181" i="5"/>
  <c r="I180" i="5"/>
  <c r="I179" i="5"/>
  <c r="K178" i="5"/>
  <c r="I178" i="5"/>
  <c r="C178" i="5"/>
  <c r="K177" i="5"/>
  <c r="I177" i="5"/>
  <c r="C177" i="5"/>
  <c r="I176" i="5"/>
  <c r="I175" i="5"/>
  <c r="K174" i="5"/>
  <c r="I174" i="5"/>
  <c r="C174" i="5"/>
  <c r="I173" i="5"/>
  <c r="I172" i="5"/>
  <c r="I171" i="5"/>
  <c r="I170" i="5"/>
  <c r="I169" i="5"/>
  <c r="K168" i="5"/>
  <c r="I168" i="5"/>
  <c r="C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K152" i="5"/>
  <c r="I152" i="5"/>
  <c r="C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K73" i="5"/>
  <c r="I73" i="5"/>
  <c r="C73" i="5"/>
  <c r="I72" i="5"/>
  <c r="I71" i="5"/>
  <c r="J70" i="5"/>
  <c r="I70" i="5"/>
  <c r="I69" i="5"/>
  <c r="K68" i="5"/>
  <c r="I68" i="5"/>
  <c r="C68" i="5"/>
  <c r="C67" i="5"/>
  <c r="J66" i="5"/>
  <c r="I66" i="5"/>
  <c r="J65" i="5"/>
  <c r="I65" i="5"/>
  <c r="J64" i="5"/>
  <c r="I64" i="5"/>
  <c r="I63" i="5"/>
  <c r="K62" i="5"/>
  <c r="J62" i="5"/>
  <c r="I62" i="5"/>
  <c r="C62" i="5"/>
  <c r="I61" i="5"/>
  <c r="I60" i="5"/>
  <c r="K59" i="5"/>
  <c r="I59" i="5"/>
  <c r="C59" i="5"/>
  <c r="K57" i="5"/>
  <c r="I57" i="5"/>
  <c r="C57" i="5"/>
  <c r="I56" i="5"/>
  <c r="K55" i="5"/>
  <c r="I55" i="5"/>
  <c r="C55" i="5"/>
  <c r="I54" i="5"/>
  <c r="I53" i="5"/>
  <c r="K52" i="5"/>
  <c r="I52" i="5"/>
  <c r="C52" i="5"/>
  <c r="K51" i="5"/>
  <c r="C51" i="5"/>
  <c r="K50" i="5"/>
  <c r="C50" i="5"/>
  <c r="K49" i="5"/>
  <c r="C49" i="5"/>
  <c r="I48" i="5"/>
  <c r="I47" i="5"/>
  <c r="I46" i="5"/>
  <c r="I45" i="5"/>
  <c r="I44" i="5"/>
  <c r="I43" i="5"/>
  <c r="I42" i="5"/>
  <c r="I41" i="5"/>
  <c r="I40" i="5"/>
  <c r="K39" i="5"/>
  <c r="I39" i="5"/>
  <c r="C39" i="5"/>
  <c r="K38" i="5"/>
  <c r="I38" i="5"/>
  <c r="C38" i="5"/>
  <c r="I37" i="5"/>
  <c r="K36" i="5"/>
  <c r="I36" i="5"/>
  <c r="C36" i="5"/>
  <c r="K35" i="5"/>
  <c r="C35" i="5"/>
  <c r="K34" i="5"/>
  <c r="I34" i="5"/>
  <c r="C34" i="5"/>
  <c r="K33" i="5"/>
  <c r="C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6" i="5"/>
  <c r="I15" i="5"/>
  <c r="I14" i="5"/>
  <c r="K13" i="5"/>
  <c r="I13" i="5"/>
  <c r="C13" i="5"/>
  <c r="I12" i="5"/>
  <c r="K11" i="5"/>
  <c r="I11" i="5"/>
  <c r="C11" i="5"/>
  <c r="I10" i="5"/>
  <c r="I9" i="5"/>
  <c r="I8" i="5"/>
  <c r="I7" i="5"/>
  <c r="I6" i="5"/>
  <c r="I5" i="5"/>
  <c r="I4" i="5"/>
  <c r="K3" i="5"/>
  <c r="I3" i="5"/>
  <c r="C3" i="5"/>
  <c r="K2" i="5"/>
  <c r="K224" i="5" s="1"/>
  <c r="C2" i="5"/>
  <c r="I294" i="4"/>
  <c r="I207" i="4"/>
  <c r="I164" i="4"/>
  <c r="I146" i="4"/>
  <c r="I124" i="4"/>
  <c r="I113" i="4"/>
  <c r="I106" i="4"/>
  <c r="I49" i="4"/>
  <c r="E5" i="4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CY24" i="3" s="1"/>
  <c r="E37" i="3"/>
  <c r="D37" i="3"/>
  <c r="DB35" i="3"/>
  <c r="DF35" i="3" s="1"/>
  <c r="DA35" i="3"/>
  <c r="DE35" i="3" s="1"/>
  <c r="CZ35" i="3"/>
  <c r="DD35" i="3" s="1"/>
  <c r="CY35" i="3"/>
  <c r="DC35" i="3" s="1"/>
  <c r="C35" i="3"/>
  <c r="DB34" i="3"/>
  <c r="DA34" i="3"/>
  <c r="CZ34" i="3"/>
  <c r="CY34" i="3"/>
  <c r="C34" i="3"/>
  <c r="DB33" i="3"/>
  <c r="DA33" i="3"/>
  <c r="CZ33" i="3"/>
  <c r="CY33" i="3"/>
  <c r="C33" i="3"/>
  <c r="DB32" i="3"/>
  <c r="DA32" i="3"/>
  <c r="CZ32" i="3"/>
  <c r="CY32" i="3"/>
  <c r="C32" i="3"/>
  <c r="DB31" i="3"/>
  <c r="DF31" i="3" s="1"/>
  <c r="DA31" i="3"/>
  <c r="DE31" i="3" s="1"/>
  <c r="CZ31" i="3"/>
  <c r="DD31" i="3" s="1"/>
  <c r="CY31" i="3"/>
  <c r="DC31" i="3" s="1"/>
  <c r="C31" i="3"/>
  <c r="DB30" i="3"/>
  <c r="DA30" i="3"/>
  <c r="CZ30" i="3"/>
  <c r="CY30" i="3"/>
  <c r="C30" i="3"/>
  <c r="DB29" i="3"/>
  <c r="DA29" i="3"/>
  <c r="CZ29" i="3"/>
  <c r="CY29" i="3"/>
  <c r="C29" i="3"/>
  <c r="DB28" i="3"/>
  <c r="DA28" i="3"/>
  <c r="CZ28" i="3"/>
  <c r="CY28" i="3"/>
  <c r="C28" i="3"/>
  <c r="DB27" i="3"/>
  <c r="DA27" i="3"/>
  <c r="CZ27" i="3"/>
  <c r="CY27" i="3"/>
  <c r="C27" i="3"/>
  <c r="DB26" i="3"/>
  <c r="DF26" i="3" s="1"/>
  <c r="DA26" i="3"/>
  <c r="DE26" i="3" s="1"/>
  <c r="CZ26" i="3"/>
  <c r="DD26" i="3" s="1"/>
  <c r="CY26" i="3"/>
  <c r="DC26" i="3" s="1"/>
  <c r="DB40" i="3" s="1"/>
  <c r="C26" i="3"/>
  <c r="DB25" i="3"/>
  <c r="DA25" i="3"/>
  <c r="CZ25" i="3"/>
  <c r="CY25" i="3"/>
  <c r="C25" i="3"/>
  <c r="DB24" i="3"/>
  <c r="DA24" i="3"/>
  <c r="CZ24" i="3"/>
  <c r="C24" i="3"/>
  <c r="DB23" i="3"/>
  <c r="DA23" i="3"/>
  <c r="CZ23" i="3"/>
  <c r="CY23" i="3"/>
  <c r="C23" i="3"/>
  <c r="DB22" i="3"/>
  <c r="DA22" i="3"/>
  <c r="CZ22" i="3"/>
  <c r="CY22" i="3"/>
  <c r="C22" i="3"/>
  <c r="DB21" i="3"/>
  <c r="DA21" i="3"/>
  <c r="CZ21" i="3"/>
  <c r="CY21" i="3"/>
  <c r="C21" i="3"/>
  <c r="DB20" i="3"/>
  <c r="DA20" i="3"/>
  <c r="CZ20" i="3"/>
  <c r="CY20" i="3"/>
  <c r="C20" i="3"/>
  <c r="DB19" i="3"/>
  <c r="DA19" i="3"/>
  <c r="CZ19" i="3"/>
  <c r="CY19" i="3"/>
  <c r="C19" i="3"/>
  <c r="DB18" i="3"/>
  <c r="DA18" i="3"/>
  <c r="CZ18" i="3"/>
  <c r="CY18" i="3"/>
  <c r="C18" i="3"/>
  <c r="DB17" i="3"/>
  <c r="DA17" i="3"/>
  <c r="CZ17" i="3"/>
  <c r="CY17" i="3"/>
  <c r="C17" i="3"/>
  <c r="DB16" i="3"/>
  <c r="DF16" i="3" s="1"/>
  <c r="DA16" i="3"/>
  <c r="DE16" i="3" s="1"/>
  <c r="CZ16" i="3"/>
  <c r="DD16" i="3" s="1"/>
  <c r="CY16" i="3"/>
  <c r="C16" i="3"/>
  <c r="DB15" i="3"/>
  <c r="DA15" i="3"/>
  <c r="CZ15" i="3"/>
  <c r="CY15" i="3"/>
  <c r="C15" i="3"/>
  <c r="DB14" i="3"/>
  <c r="DA14" i="3"/>
  <c r="CZ14" i="3"/>
  <c r="CY14" i="3"/>
  <c r="C14" i="3"/>
  <c r="DB13" i="3"/>
  <c r="DA13" i="3"/>
  <c r="CZ13" i="3"/>
  <c r="CY13" i="3"/>
  <c r="C13" i="3"/>
  <c r="DB12" i="3"/>
  <c r="DA12" i="3"/>
  <c r="CZ12" i="3"/>
  <c r="CY12" i="3"/>
  <c r="C12" i="3"/>
  <c r="DB11" i="3"/>
  <c r="DA11" i="3"/>
  <c r="CZ11" i="3"/>
  <c r="CY11" i="3"/>
  <c r="C11" i="3"/>
  <c r="DB10" i="3"/>
  <c r="DF10" i="3" s="1"/>
  <c r="DA10" i="3"/>
  <c r="DE10" i="3" s="1"/>
  <c r="CZ10" i="3"/>
  <c r="DD10" i="3" s="1"/>
  <c r="CY10" i="3"/>
  <c r="DC10" i="3" s="1"/>
  <c r="C10" i="3"/>
  <c r="DB9" i="3"/>
  <c r="DA9" i="3"/>
  <c r="CZ9" i="3"/>
  <c r="CY9" i="3"/>
  <c r="C9" i="3"/>
  <c r="DB8" i="3"/>
  <c r="DA8" i="3"/>
  <c r="CZ8" i="3"/>
  <c r="CY8" i="3"/>
  <c r="C8" i="3"/>
  <c r="DB7" i="3"/>
  <c r="DA7" i="3"/>
  <c r="CZ7" i="3"/>
  <c r="CY7" i="3"/>
  <c r="C7" i="3"/>
  <c r="DB6" i="3"/>
  <c r="DB37" i="3" s="1"/>
  <c r="DA6" i="3"/>
  <c r="DA37" i="3" s="1"/>
  <c r="CZ6" i="3"/>
  <c r="CZ37" i="3" s="1"/>
  <c r="CY6" i="3"/>
  <c r="C6" i="3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CY37" i="3" l="1"/>
  <c r="DC16" i="3"/>
  <c r="DE6" i="3"/>
  <c r="DE37" i="3" s="1"/>
  <c r="DF6" i="3"/>
  <c r="DF37" i="3" s="1"/>
  <c r="DC6" i="3"/>
  <c r="DD6" i="3"/>
  <c r="DD37" i="3" s="1"/>
  <c r="DC3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D26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ID#AAAAcVBikHk
    (2022-07-13 12:57:59)
should be 510 to match with the text
	-Hong Phuc Dang</t>
        </r>
      </text>
    </comment>
    <comment ref="DF26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ID#AAAAcVBikHo
    (2022-07-13 12:57:59)
should be 949to match with the text
	-Hong Phuc Dang</t>
        </r>
      </text>
    </comment>
    <comment ref="AP28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ID#AAAAcVBikH0
    (2022-07-13 12:57:59)
Originally "8" in the Bericht1851
	-Hong Phuc Dang
if change to 9, then the sum below become 180, which matches with the text. But then the total alle lander does not match
	-Hong Phuc Dang</t>
        </r>
      </text>
    </comment>
    <comment ref="CZ28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ID#AAAAcVBikHw
    (2022-07-13 12:57:59)
should be 64 to match with the text
	-Hong Phuc Dang</t>
        </r>
      </text>
    </comment>
    <comment ref="CY33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ID#AAAAcVBikH4
    (2022-07-13 12:57:59)
3 in the text
	-Hong Phuc Dang</t>
        </r>
      </text>
    </comment>
    <comment ref="DA33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ID#AAAAcVBikHs
    (2022-07-13 12:57:59)
15 in text
	-Hong Phuc Dang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o1OlBcjogBMHVbFJNEYP1iq9HIw=="/>
    </ext>
  </extLst>
</comments>
</file>

<file path=xl/sharedStrings.xml><?xml version="1.0" encoding="utf-8"?>
<sst xmlns="http://schemas.openxmlformats.org/spreadsheetml/2006/main" count="1768" uniqueCount="694">
  <si>
    <t>Variables</t>
  </si>
  <si>
    <t>Country</t>
  </si>
  <si>
    <t>pop</t>
  </si>
  <si>
    <t>exhibit</t>
  </si>
  <si>
    <t>medall</t>
  </si>
  <si>
    <t>counall</t>
  </si>
  <si>
    <t>prizall</t>
  </si>
  <si>
    <t>honall</t>
  </si>
  <si>
    <t>exh_per_cap</t>
  </si>
  <si>
    <t>priz_per_cap</t>
  </si>
  <si>
    <t>priz_per_100exh</t>
  </si>
  <si>
    <t>Source</t>
  </si>
  <si>
    <t>Bericht</t>
  </si>
  <si>
    <t>Book</t>
  </si>
  <si>
    <t>Rpat</t>
  </si>
  <si>
    <t>page</t>
  </si>
  <si>
    <t>value</t>
  </si>
  <si>
    <t>France</t>
  </si>
  <si>
    <t>Switzerland</t>
  </si>
  <si>
    <t>p.80</t>
  </si>
  <si>
    <t>p.83</t>
  </si>
  <si>
    <t>p.82</t>
  </si>
  <si>
    <t>Belgium</t>
  </si>
  <si>
    <t>Saxony</t>
  </si>
  <si>
    <t>Denmark</t>
  </si>
  <si>
    <t>US</t>
  </si>
  <si>
    <t>Prussia</t>
  </si>
  <si>
    <t>180?</t>
  </si>
  <si>
    <t>Britain</t>
  </si>
  <si>
    <t>p.81</t>
  </si>
  <si>
    <t>Wurttemberg</t>
  </si>
  <si>
    <t>Bavaria</t>
  </si>
  <si>
    <t>Austria</t>
  </si>
  <si>
    <t>Netherlands</t>
  </si>
  <si>
    <t>Norswe</t>
  </si>
  <si>
    <t>Europe's average(countries with patents only)</t>
  </si>
  <si>
    <t>Europe's average(all)</t>
  </si>
  <si>
    <t>Berichterstattungs-Kommission der Deutschen Zollvereins-Regierungen. Amtlicher Bericht über die Industrie-Austellung aller Völker zu London im Jahre 1851. Volumes I–III. Berlin, Prussia: Verlag der Deckerschen Geheimen Ober-Hofbuchdruckerei, Volumes I and II, 1852, and Volume III, 1853.</t>
  </si>
  <si>
    <t xml:space="preserve">Volume I </t>
  </si>
  <si>
    <t>https://babel.hathitrust.org/cgi/pt?id=mdp.39015075034531&amp;view=1up&amp;seq=5&amp;skin=2021</t>
  </si>
  <si>
    <t>Volume II</t>
  </si>
  <si>
    <t>https://babel.hathitrust.org/cgi/pt?id=mdp.39015067196694&amp;view=1up&amp;seq=7&amp;skin=2021</t>
  </si>
  <si>
    <t>Volume III</t>
  </si>
  <si>
    <t>https://babel.hathitrust.org/cgi/pt?id=mdp.39015070881803&amp;view=1up&amp;seq=14</t>
  </si>
  <si>
    <t>Zahl der von den Iuries jeder klaffe und Gruppe ergangenenAusſprüche für jedes in der Ausſtellung vertretene Land .</t>
  </si>
  <si>
    <t>Britiſche De pe ndenji e n</t>
  </si>
  <si>
    <t>Deutfdland</t>
  </si>
  <si>
    <t>Gruppe</t>
  </si>
  <si>
    <t>Klasse</t>
  </si>
  <si>
    <t>Britisches Reich incl. Guernsey und Jersey</t>
  </si>
  <si>
    <t>Nordamerikan Kolonien</t>
  </si>
  <si>
    <t>Australien</t>
  </si>
  <si>
    <t>Indien</t>
  </si>
  <si>
    <t>Westindien</t>
  </si>
  <si>
    <t>am Mittelmeere</t>
  </si>
  <si>
    <t>Südafrika</t>
  </si>
  <si>
    <t>Aegypten</t>
  </si>
  <si>
    <t>Amerika (Nord)</t>
  </si>
  <si>
    <t>Belgien</t>
  </si>
  <si>
    <t>China</t>
  </si>
  <si>
    <t xml:space="preserve">Danemark </t>
  </si>
  <si>
    <t>Preußen und Zollverein</t>
  </si>
  <si>
    <t xml:space="preserve">Bavern </t>
  </si>
  <si>
    <t xml:space="preserve">Sachsen </t>
  </si>
  <si>
    <t>Württemberg</t>
  </si>
  <si>
    <t xml:space="preserve">Hamburg und Hüftenstaaten </t>
  </si>
  <si>
    <t xml:space="preserve">Frankreich </t>
  </si>
  <si>
    <t>Griechenland</t>
  </si>
  <si>
    <t>Niederlande</t>
  </si>
  <si>
    <t xml:space="preserve">Orfterrich </t>
  </si>
  <si>
    <t>Derfien</t>
  </si>
  <si>
    <t xml:space="preserve">Portugal </t>
  </si>
  <si>
    <t xml:space="preserve">Rom. </t>
  </si>
  <si>
    <t>Rußland</t>
  </si>
  <si>
    <t xml:space="preserve">Sarbinien </t>
  </si>
  <si>
    <t xml:space="preserve">Schweden und Norwegen </t>
  </si>
  <si>
    <t>Schweiz</t>
  </si>
  <si>
    <t xml:space="preserve">Spanien </t>
  </si>
  <si>
    <t xml:space="preserve">Südamerikan Staaten </t>
  </si>
  <si>
    <t>Toskana</t>
  </si>
  <si>
    <t>Tunis</t>
  </si>
  <si>
    <t>Türkei</t>
  </si>
  <si>
    <t xml:space="preserve">Total Alle Länder nach Klasse </t>
  </si>
  <si>
    <t>Total. Alle Länder nach Gruppen</t>
  </si>
  <si>
    <t>Class</t>
  </si>
  <si>
    <t>Prussia and Customs Union</t>
  </si>
  <si>
    <t>Große Werdienſtmedaillen</t>
  </si>
  <si>
    <t>Preismedaillen</t>
  </si>
  <si>
    <t>Ehrenbolle Rwähnungen</t>
  </si>
  <si>
    <t>Große Verdienstmedaillen</t>
  </si>
  <si>
    <t>Ehrenvolle Erwähnungen</t>
  </si>
  <si>
    <t>Cumma</t>
  </si>
  <si>
    <t>A Rohſtoffe und Materialien</t>
  </si>
  <si>
    <t>B Maschinen und Werkzeuge</t>
  </si>
  <si>
    <t>C Spinn - und Webe-fabrikate</t>
  </si>
  <si>
    <t xml:space="preserve">D Metall - , Glas - und
Irdenwaaren </t>
  </si>
  <si>
    <t>E Gemischte Fabrikate</t>
  </si>
  <si>
    <t>F Schöne Künfte</t>
  </si>
  <si>
    <t>total</t>
  </si>
  <si>
    <t>Type of award</t>
  </si>
  <si>
    <t>Count</t>
  </si>
  <si>
    <t>no</t>
  </si>
  <si>
    <t>different class</t>
  </si>
  <si>
    <t>Britisches Reich</t>
  </si>
  <si>
    <t>Nordamerikan</t>
  </si>
  <si>
    <t>Russland</t>
  </si>
  <si>
    <t>Spanien</t>
  </si>
  <si>
    <t>Defterreich</t>
  </si>
  <si>
    <t>438A</t>
  </si>
  <si>
    <t>649A</t>
  </si>
  <si>
    <t>360A</t>
  </si>
  <si>
    <t>689u</t>
  </si>
  <si>
    <t>69u</t>
  </si>
  <si>
    <t xml:space="preserve">Count </t>
  </si>
  <si>
    <t>Award Type</t>
  </si>
  <si>
    <t>Exh no</t>
  </si>
  <si>
    <t>Name</t>
  </si>
  <si>
    <t>Another class</t>
  </si>
  <si>
    <t>Sum by class</t>
  </si>
  <si>
    <t>A</t>
  </si>
  <si>
    <t>Lougmaib, B</t>
  </si>
  <si>
    <t>C</t>
  </si>
  <si>
    <t>Cobbelb, C</t>
  </si>
  <si>
    <t>Ber. Rönigrech</t>
  </si>
  <si>
    <t>Gbansm C</t>
  </si>
  <si>
    <t>Miller</t>
  </si>
  <si>
    <t>Drland</t>
  </si>
  <si>
    <t>Reweb u. Sohne</t>
  </si>
  <si>
    <t>Roberton u Sohne</t>
  </si>
  <si>
    <t>ber. Rönigrech</t>
  </si>
  <si>
    <t>Rownen u. Comp</t>
  </si>
  <si>
    <t>B</t>
  </si>
  <si>
    <t>Milton H, M</t>
  </si>
  <si>
    <t xml:space="preserve">Biders, James </t>
  </si>
  <si>
    <t>Mercer John</t>
  </si>
  <si>
    <t>Berger C</t>
  </si>
  <si>
    <t>Beurn R</t>
  </si>
  <si>
    <t>Tolman J u J</t>
  </si>
  <si>
    <t>Jones D</t>
  </si>
  <si>
    <t>III</t>
  </si>
  <si>
    <t>Luder R, S</t>
  </si>
  <si>
    <t>Boob und Beedforb</t>
  </si>
  <si>
    <t>Brown und Boffen</t>
  </si>
  <si>
    <t>John, D</t>
  </si>
  <si>
    <t>Cheefeborough, B</t>
  </si>
  <si>
    <t>britisches Reich</t>
  </si>
  <si>
    <t>XV</t>
  </si>
  <si>
    <t>Slab, c, M</t>
  </si>
  <si>
    <t xml:space="preserve">Jennings </t>
  </si>
  <si>
    <t>Lonboner Droguiften</t>
  </si>
  <si>
    <t>Miller D u.B</t>
  </si>
  <si>
    <t>125a.</t>
  </si>
  <si>
    <t>Marshall</t>
  </si>
  <si>
    <t>Redit u. Sohn</t>
  </si>
  <si>
    <t>Shand u. Mudart</t>
  </si>
  <si>
    <t>Stenhouse A</t>
  </si>
  <si>
    <t>Luder S</t>
  </si>
  <si>
    <t>Botherspoon R</t>
  </si>
  <si>
    <t>Ranfomes u.Man</t>
  </si>
  <si>
    <t>Dent, C, J</t>
  </si>
  <si>
    <t>Bristisches Reich</t>
  </si>
  <si>
    <t>Ravier und Sohn</t>
  </si>
  <si>
    <t>Rurwood,C</t>
  </si>
  <si>
    <t>Budfe S</t>
  </si>
  <si>
    <t>Shance, Sebr</t>
  </si>
  <si>
    <t>Daguet T</t>
  </si>
  <si>
    <t>Rob un Thomson</t>
  </si>
  <si>
    <r>
      <t xml:space="preserve">De la Rue </t>
    </r>
    <r>
      <rPr>
        <u/>
        <sz val="10"/>
        <color rgb="FF1155CC"/>
        <rFont val="Arial"/>
        <family val="2"/>
      </rPr>
      <t>u.To</t>
    </r>
  </si>
  <si>
    <t>Johnson und Matthew</t>
  </si>
  <si>
    <t>Leeson H, B, Dr.</t>
  </si>
  <si>
    <t>Maez, J,</t>
  </si>
  <si>
    <t>Franfreich</t>
  </si>
  <si>
    <t>Mitchell, B</t>
  </si>
  <si>
    <t>Phillips, B, H</t>
  </si>
  <si>
    <t>Barnes</t>
  </si>
  <si>
    <t>Bernard u. Comp</t>
  </si>
  <si>
    <t>Sailen, D</t>
  </si>
  <si>
    <t>Balmeslen</t>
  </si>
  <si>
    <t>Benry S u.Sohne</t>
  </si>
  <si>
    <t>bristisches Reich</t>
  </si>
  <si>
    <t>Fofter, Sohn und Dunfum</t>
  </si>
  <si>
    <t>Liverpool - lotallommittee</t>
  </si>
  <si>
    <t>XXIX</t>
  </si>
  <si>
    <t>Bande, Sohn, u. To</t>
  </si>
  <si>
    <t>Rorell, B</t>
  </si>
  <si>
    <t>Bolff S u. Sohn</t>
  </si>
  <si>
    <t>Armitage S, und Comp</t>
  </si>
  <si>
    <t>Sowe, J, u, To</t>
  </si>
  <si>
    <t>Littler Rarb Ann</t>
  </si>
  <si>
    <t>Batribge R</t>
  </si>
  <si>
    <t>Riplen und Sohne</t>
  </si>
  <si>
    <t>no table</t>
  </si>
  <si>
    <t>Beal, Nath</t>
  </si>
  <si>
    <t>Robert, A</t>
  </si>
  <si>
    <t>Jance, J, und comp</t>
  </si>
  <si>
    <t>Scott, T, L</t>
  </si>
  <si>
    <t>Bilfhin, T, B</t>
  </si>
  <si>
    <t>Spear und Jadson</t>
  </si>
  <si>
    <t>Blade u. Barlin</t>
  </si>
  <si>
    <t>Butcher, B, u. T</t>
  </si>
  <si>
    <t>Butterlen Richard</t>
  </si>
  <si>
    <t>Toder u. Sohne</t>
  </si>
  <si>
    <t>Anre, Bard und comp</t>
  </si>
  <si>
    <t>Fennen, Fred</t>
  </si>
  <si>
    <t>Sibbins u. Sohn</t>
  </si>
  <si>
    <t>Bague, T</t>
  </si>
  <si>
    <t>Barbn, L</t>
  </si>
  <si>
    <t>Bamcroft u. sohne</t>
  </si>
  <si>
    <t>Bigginbotham S, und B</t>
  </si>
  <si>
    <t>Bowarth, J</t>
  </si>
  <si>
    <t>Bunter, Rowin</t>
  </si>
  <si>
    <t>Buton u. Newton</t>
  </si>
  <si>
    <t xml:space="preserve">Ibbotfon Sebr </t>
  </si>
  <si>
    <t>Ibbotfon Richard</t>
  </si>
  <si>
    <t>Johnson und Tammell</t>
  </si>
  <si>
    <t>Jowitt u Battie</t>
  </si>
  <si>
    <t>Mirf u Barren</t>
  </si>
  <si>
    <t>Mafin, B</t>
  </si>
  <si>
    <t>Mavvin u. Sebr</t>
  </si>
  <si>
    <t>Marben, Sebr, und comp</t>
  </si>
  <si>
    <t>Martin Stephan</t>
  </si>
  <si>
    <t>Matthews, B</t>
  </si>
  <si>
    <t>Powill, J, und sohne</t>
  </si>
  <si>
    <t>Peace, Jofebb, und comp</t>
  </si>
  <si>
    <t>Philp u. Bhider</t>
  </si>
  <si>
    <t>Robgerb, J, und sohne</t>
  </si>
  <si>
    <t>Sannor u. sohne</t>
  </si>
  <si>
    <t>Slad, Sellers und comp</t>
  </si>
  <si>
    <t>Sordn, R, und sohne</t>
  </si>
  <si>
    <t>Staniforth, thomas</t>
  </si>
  <si>
    <t>Steer u.Bebfter</t>
  </si>
  <si>
    <t>Tanlor, henry</t>
  </si>
  <si>
    <t>Turner, Thomas, und comp</t>
  </si>
  <si>
    <t>Turton, Thomas, u. sohne</t>
  </si>
  <si>
    <t>Unwin u. Robgers</t>
  </si>
  <si>
    <t>Unwin, B</t>
  </si>
  <si>
    <t>Wilsinson und sohne</t>
  </si>
  <si>
    <t>Wilsinson T, u. S</t>
  </si>
  <si>
    <t>Wilson u. sohne</t>
  </si>
  <si>
    <t>Wostenholm, S, und sohne</t>
  </si>
  <si>
    <t>Algor J</t>
  </si>
  <si>
    <t>Atsin u sohne</t>
  </si>
  <si>
    <t>Attinson</t>
  </si>
  <si>
    <t>Bell, J</t>
  </si>
  <si>
    <t>Biggen u. sohne</t>
  </si>
  <si>
    <t>130A</t>
  </si>
  <si>
    <t>Bloomer und Phillips</t>
  </si>
  <si>
    <t>brigge T</t>
  </si>
  <si>
    <t>Broofes, J</t>
  </si>
  <si>
    <t>Brown u sohne</t>
  </si>
  <si>
    <t>133A</t>
  </si>
  <si>
    <t>Barbebienne, F und Song</t>
  </si>
  <si>
    <t>Corcoranm B un Comp</t>
  </si>
  <si>
    <t>Hover L</t>
  </si>
  <si>
    <t>Green L</t>
  </si>
  <si>
    <t>Barbing L</t>
  </si>
  <si>
    <t>Ibbontson, Raitain, Dr</t>
  </si>
  <si>
    <t>Ritschelt A</t>
  </si>
  <si>
    <t>Mosmann M</t>
  </si>
  <si>
    <t>Rorrices, J, D, Stirling</t>
  </si>
  <si>
    <t>Stoder, Sebr</t>
  </si>
  <si>
    <t>Walter, R</t>
  </si>
  <si>
    <t>Bodrane A</t>
  </si>
  <si>
    <t>Broof F</t>
  </si>
  <si>
    <t>Gbberftaller und Schinbler</t>
  </si>
  <si>
    <t>Dueber, F</t>
  </si>
  <si>
    <t>Leale u. Ulbrecht</t>
  </si>
  <si>
    <t>Durham, Jof.B</t>
  </si>
  <si>
    <t>Geelen u Sohne</t>
  </si>
  <si>
    <t>Ibbetson Rapt, LLB</t>
  </si>
  <si>
    <t>Leuschars M</t>
  </si>
  <si>
    <t>Allen F</t>
  </si>
  <si>
    <t>Wertheimer</t>
  </si>
  <si>
    <t>Die Britische Gviegelalas</t>
  </si>
  <si>
    <t>Die Ihemse Gpeigelglasfa</t>
  </si>
  <si>
    <t>Copeland B, I, Alberman</t>
  </si>
  <si>
    <t>Wingenber Obr</t>
  </si>
  <si>
    <t>Rassau</t>
  </si>
  <si>
    <t>Doofe u Sohne and BArwif</t>
  </si>
  <si>
    <t>Rerfham I</t>
  </si>
  <si>
    <t>Ingram I B</t>
  </si>
  <si>
    <t>Jones A J</t>
  </si>
  <si>
    <t>63A</t>
  </si>
  <si>
    <t>Leafe F u TO</t>
  </si>
  <si>
    <t>Nicol und Allen</t>
  </si>
  <si>
    <t>Staton J</t>
  </si>
  <si>
    <t>Walton F, u. TO</t>
  </si>
  <si>
    <t>Gowans</t>
  </si>
  <si>
    <t>Rerebith J B</t>
  </si>
  <si>
    <t>Rhers, S</t>
  </si>
  <si>
    <t>108u</t>
  </si>
  <si>
    <t>Bulhaar, J</t>
  </si>
  <si>
    <t>Ruel, B, b</t>
  </si>
  <si>
    <t>Stirling, I, inn</t>
  </si>
  <si>
    <t>White, J,B, und sohne</t>
  </si>
  <si>
    <t>Woobruff Ihom</t>
  </si>
  <si>
    <t>Brunett R</t>
  </si>
  <si>
    <t>6u.158</t>
  </si>
  <si>
    <t>Chamveromne B</t>
  </si>
  <si>
    <t>Innistillen Darf</t>
  </si>
  <si>
    <t xml:space="preserve">Ring, L </t>
  </si>
  <si>
    <t>Rontefiore Sir, R, B</t>
  </si>
  <si>
    <t>Beafe J</t>
  </si>
  <si>
    <t>Sin, B</t>
  </si>
  <si>
    <t>Stervens W,b</t>
  </si>
  <si>
    <t>Stuart u Smith</t>
  </si>
  <si>
    <t>Chatwin un Sohne</t>
  </si>
  <si>
    <t>Bolgabfel</t>
  </si>
  <si>
    <t>Goran B</t>
  </si>
  <si>
    <t>Staight D und sohne</t>
  </si>
  <si>
    <t>Staight I</t>
  </si>
  <si>
    <t>Weftall u. comp</t>
  </si>
  <si>
    <t>Burfe B, B</t>
  </si>
  <si>
    <t>Borelan un sohn</t>
  </si>
  <si>
    <t>Fielb I S und J</t>
  </si>
  <si>
    <t>Fortnum Rason u. comp</t>
  </si>
  <si>
    <t>Freeman S</t>
  </si>
  <si>
    <t>Lumsben Frebulein J</t>
  </si>
  <si>
    <t xml:space="preserve">Miller I J </t>
  </si>
  <si>
    <t>Rontanari R</t>
  </si>
  <si>
    <t>Barifer Scholate Companie</t>
  </si>
  <si>
    <t>Beatherln B</t>
  </si>
  <si>
    <t>Die manufaftur ber Sobelin un Beusvais Lapeten</t>
  </si>
  <si>
    <t>Barbman J und Come</t>
  </si>
  <si>
    <t xml:space="preserve">Salter T </t>
  </si>
  <si>
    <t>Verzeichniß der zuerkannten Preise.</t>
  </si>
  <si>
    <t>Staatsgebiet</t>
  </si>
  <si>
    <t>Nr. D.offiz. Katal.</t>
  </si>
  <si>
    <t>Name des Ausſtellers.</t>
  </si>
  <si>
    <t>Gegenſtand der Belohnung.</t>
  </si>
  <si>
    <t>A. Die große Verdienſtmedaille erhielten:</t>
  </si>
  <si>
    <t xml:space="preserve">Britiſches Reich </t>
  </si>
  <si>
    <t>Ellington, Maſon u. Comp.</t>
  </si>
  <si>
    <t xml:space="preserve">Anwendung der Galvanopla ſtik für Kunſtgegenſtände.
</t>
  </si>
  <si>
    <t xml:space="preserve">Franfreich </t>
  </si>
  <si>
    <t>Froment - Meurice</t>
  </si>
  <si>
    <t>Mittelſtück eines Tafelaufſabes, eine Erdkugel mit</t>
  </si>
  <si>
    <t>Garrard, R. u. S., 1. Comp.</t>
  </si>
  <si>
    <t>kunſtreiche Silbergeſchirre u.Schmudſachen.</t>
  </si>
  <si>
    <t>Gueyton, A.</t>
  </si>
  <si>
    <t>galvaniſche Verſilberung und Schmudſadyen.</t>
  </si>
  <si>
    <t>Britiſches Reich</t>
  </si>
  <si>
    <t>Hancock, 6. F.</t>
  </si>
  <si>
    <t>Originalität und Geſchmad der ausgeſtellten Gegen ftande.</t>
  </si>
  <si>
    <t>Hunt und Noskel</t>
  </si>
  <si>
    <t>Baſe in getriebener Arbeit von Vechte.</t>
  </si>
  <si>
    <t>Nußland</t>
  </si>
  <si>
    <t>Kämerer und Zeftigen</t>
  </si>
  <si>
    <t xml:space="preserve"> Diadem und andere Juwelier-arbeiten.</t>
  </si>
  <si>
    <t>Frankreich</t>
  </si>
  <si>
    <t>Lemonnier, G.</t>
  </si>
  <si>
    <t>Juwelenſchmuck der Königin von Spanien.</t>
  </si>
  <si>
    <t>Marrel, Gebrüder</t>
  </si>
  <si>
    <t>Petſchafte, Schnupftabad8doſen und kleine Artikel</t>
  </si>
  <si>
    <t>Britiſches Reid</t>
  </si>
  <si>
    <t>Morel, J. V., und Comp.</t>
  </si>
  <si>
    <t>Smailen.</t>
  </si>
  <si>
    <t>Rudolphi, J. F.</t>
  </si>
  <si>
    <t>Silberarbeiten</t>
  </si>
  <si>
    <t>Sazikoff, Ignaz</t>
  </si>
  <si>
    <t>Mittelſtück von Silber</t>
  </si>
  <si>
    <t>Vittoz, E.</t>
  </si>
  <si>
    <t>vergoldete Bronzen.</t>
  </si>
  <si>
    <t>Preußen</t>
  </si>
  <si>
    <t>Wagner, I., und Sohn</t>
  </si>
  <si>
    <t>großer Tafelaufſat</t>
  </si>
  <si>
    <t>28 des HauptIganges</t>
  </si>
  <si>
    <t xml:space="preserve"> Wales, Prinz von</t>
  </si>
  <si>
    <t>Glaubensſchild.</t>
  </si>
  <si>
    <t xml:space="preserve">Kurheſſen </t>
  </si>
  <si>
    <t>Weishaupt, C. M., u. Söhne</t>
  </si>
  <si>
    <t>Schachſpiel und Brett</t>
  </si>
  <si>
    <t>B. Die Preismedaille:</t>
  </si>
  <si>
    <t>Angell, I.</t>
  </si>
  <si>
    <t>mailen.</t>
  </si>
  <si>
    <t xml:space="preserve"> Aubanel, S.</t>
  </si>
  <si>
    <t>Kaminverzierungen.</t>
  </si>
  <si>
    <t>Aucoc ſen.</t>
  </si>
  <si>
    <t>Toiletten.</t>
  </si>
  <si>
    <t>Audot, L. D.</t>
  </si>
  <si>
    <t>Sardinien</t>
  </si>
  <si>
    <t>Bennati, I.</t>
  </si>
  <si>
    <t>Filigran.</t>
  </si>
  <si>
    <t>Bouillette, Hyvelin u. Comp.</t>
  </si>
  <si>
    <t>fünſtliche Edelſteine.</t>
  </si>
  <si>
    <t>Boyer, V. P.</t>
  </si>
  <si>
    <t>galvaniſche Vergoldung.</t>
  </si>
  <si>
    <t xml:space="preserve">Hamburg </t>
  </si>
  <si>
    <t xml:space="preserve">Brahmfeldt und Gutrup </t>
  </si>
  <si>
    <t>Schreibzeug.</t>
  </si>
  <si>
    <t>Bruneau, L. A.</t>
  </si>
  <si>
    <t>Lurusartikel.</t>
  </si>
  <si>
    <t>Caron, A.</t>
  </si>
  <si>
    <t>damascirte Piſtolen.</t>
  </si>
  <si>
    <t xml:space="preserve">Chriſtofle, Charles u. Comp. </t>
  </si>
  <si>
    <t>galvaniſche Verfilberung.</t>
  </si>
  <si>
    <t>Cresivid, T. J. und N.</t>
  </si>
  <si>
    <t xml:space="preserve"> plattirtes Silber.</t>
  </si>
  <si>
    <t>Dafrique, F.</t>
  </si>
  <si>
    <t>Kameen.</t>
  </si>
  <si>
    <t>Defontaines, Maiſon, Leroy und Sohn</t>
  </si>
  <si>
    <t>Stußuhr aus Gußeiſen.</t>
  </si>
  <si>
    <t xml:space="preserve">Britiſches Reid </t>
  </si>
  <si>
    <t xml:space="preserve">Diron und Söhne </t>
  </si>
  <si>
    <t>Britannia - Metall.</t>
  </si>
  <si>
    <t xml:space="preserve">Schweiz </t>
  </si>
  <si>
    <t xml:space="preserve">Dubois, A. </t>
  </si>
  <si>
    <t>gravirtes Gold.</t>
  </si>
  <si>
    <t xml:space="preserve">Durand, F. </t>
  </si>
  <si>
    <t>Theeſervice.</t>
  </si>
  <si>
    <t xml:space="preserve">Durhamn, Joſ. B. (KI .XXII.) </t>
  </si>
  <si>
    <t>Chatelains.</t>
  </si>
  <si>
    <t xml:space="preserve">Dutertre, A. </t>
  </si>
  <si>
    <t>Gmailen.</t>
  </si>
  <si>
    <t xml:space="preserve">Belgien </t>
  </si>
  <si>
    <t xml:space="preserve">Falloiſe, I. </t>
  </si>
  <si>
    <t>damascirter Stahl.</t>
  </si>
  <si>
    <t xml:space="preserve">Gaß, S. H. und D. </t>
  </si>
  <si>
    <t>Faſſung von Steinen.</t>
  </si>
  <si>
    <t xml:space="preserve">Golay Leredie, A. </t>
  </si>
  <si>
    <t xml:space="preserve">Grandjean Perrenoud, H. </t>
  </si>
  <si>
    <t>Gravirung in Gold.</t>
  </si>
  <si>
    <t xml:space="preserve">Rurheſſen </t>
  </si>
  <si>
    <t xml:space="preserve">Haulick, G. F. </t>
  </si>
  <si>
    <t>Blumen in Steinen.</t>
  </si>
  <si>
    <t xml:space="preserve">Heeley u. Söhne (KI.XXII.) </t>
  </si>
  <si>
    <t xml:space="preserve">Ibbetſon, Kapt. L. L. B.(Kl. XXX.) </t>
  </si>
  <si>
    <t>Galvanoplaſtik.</t>
  </si>
  <si>
    <t xml:space="preserve">Nußland </t>
  </si>
  <si>
    <t xml:space="preserve">Jahn und Bolin </t>
  </si>
  <si>
    <t>Faſſung von Diamanten.</t>
  </si>
  <si>
    <t xml:space="preserve">Keith, J. </t>
  </si>
  <si>
    <t>Relche.</t>
  </si>
  <si>
    <t xml:space="preserve">Oldenburg </t>
  </si>
  <si>
    <t xml:space="preserve">Reller und Comp. </t>
  </si>
  <si>
    <t>Theeſervice von buntem Kar: neol, und Schmudfäſtchen in grünem Moos - Achat.</t>
  </si>
  <si>
    <t xml:space="preserve">Lecarriere, A. </t>
  </si>
  <si>
    <t>nene Art Vergoldung.</t>
  </si>
  <si>
    <t xml:space="preserve">Lefaudeur </t>
  </si>
  <si>
    <t>Karabinerbeſchlag.</t>
  </si>
  <si>
    <t xml:space="preserve">Lahodhe, P. I. </t>
  </si>
  <si>
    <t>Stufuhr.</t>
  </si>
  <si>
    <t xml:space="preserve">Lambert und Rawling8 </t>
  </si>
  <si>
    <t>Vaſe.</t>
  </si>
  <si>
    <t xml:space="preserve">1318 u.1650 </t>
  </si>
  <si>
    <t xml:space="preserve">Lerolle, Gebrüder </t>
  </si>
  <si>
    <t>Bronzen.</t>
  </si>
  <si>
    <t xml:space="preserve">Leuchars, W. (KI. XXIX.) </t>
  </si>
  <si>
    <t xml:space="preserve">Levi, Gebrüder, und Comp. </t>
  </si>
  <si>
    <t>Beſchläge.</t>
  </si>
  <si>
    <t xml:space="preserve">Sardinien </t>
  </si>
  <si>
    <t xml:space="preserve">Loleo, I. </t>
  </si>
  <si>
    <t xml:space="preserve">Marſhall, G. S. </t>
  </si>
  <si>
    <t>Blattgold.</t>
  </si>
  <si>
    <t xml:space="preserve">Matifat, C. S. </t>
  </si>
  <si>
    <t>Bronzen, Moſaiktiſch.</t>
  </si>
  <si>
    <t xml:space="preserve">Miroy, Gebrüder </t>
  </si>
  <si>
    <t>Nadjahmungen von Bronzen.</t>
  </si>
  <si>
    <t xml:space="preserve">Moratilla, F. </t>
  </si>
  <si>
    <t>Kirchengeräth.</t>
  </si>
  <si>
    <t xml:space="preserve">Moutier le Page </t>
  </si>
  <si>
    <t>Griff eines Kirſchfängers.</t>
  </si>
  <si>
    <t xml:space="preserve">Odiot </t>
  </si>
  <si>
    <t>Tafelſervice.</t>
  </si>
  <si>
    <t xml:space="preserve">Paillard, V. </t>
  </si>
  <si>
    <t xml:space="preserve">Payen, A. R., jun. </t>
  </si>
  <si>
    <t>Juwelier- u. Filigranarbeiten.</t>
  </si>
  <si>
    <t xml:space="preserve">Pouſſielgue, Ruſand P. </t>
  </si>
  <si>
    <t>Kirchengeräthe.</t>
  </si>
  <si>
    <t xml:space="preserve">Prélat, F. </t>
  </si>
  <si>
    <t>vergoldete Waffen.</t>
  </si>
  <si>
    <t xml:space="preserve">Preußen </t>
  </si>
  <si>
    <t xml:space="preserve">Königl. Preuß. Giſengießerei in Berlin </t>
  </si>
  <si>
    <t>Verzierungen v: eingelegtèm Silber.</t>
  </si>
  <si>
    <t xml:space="preserve">Deſterreich  577 </t>
  </si>
  <si>
    <t xml:space="preserve">Raßersdorffer, H. </t>
  </si>
  <si>
    <t>Spiegel.</t>
  </si>
  <si>
    <t xml:space="preserve">Niederlande </t>
  </si>
  <si>
    <t xml:space="preserve">Romain, D. </t>
  </si>
  <si>
    <t>Faſſung von Edelſteinen.</t>
  </si>
  <si>
    <t xml:space="preserve">118 Rowlands, S. und W. </t>
  </si>
  <si>
    <t>Juwelierarbeiten.</t>
  </si>
  <si>
    <t xml:space="preserve">Savard, A. </t>
  </si>
  <si>
    <t>plattirtes Gold.</t>
  </si>
  <si>
    <t xml:space="preserve">Savary und Mosbach </t>
  </si>
  <si>
    <t>falſche Edelſteine.</t>
  </si>
  <si>
    <t xml:space="preserve">Sachſen </t>
  </si>
  <si>
    <t xml:space="preserve">Strube und Sohn </t>
  </si>
  <si>
    <t xml:space="preserve">Thoumin, A. </t>
  </si>
  <si>
    <t>geprägtes Meſſing.</t>
  </si>
  <si>
    <t xml:space="preserve">Thouret, F. A. </t>
  </si>
  <si>
    <t>rpat variable</t>
  </si>
  <si>
    <t>rpat</t>
  </si>
  <si>
    <t>book</t>
  </si>
  <si>
    <t>book page</t>
  </si>
  <si>
    <t>Fig 3.1 Exhibits per million population: 
Austria</t>
  </si>
  <si>
    <t>~180</t>
  </si>
  <si>
    <t>~30</t>
  </si>
  <si>
    <t xml:space="preserve">Switzerland's awards </t>
  </si>
  <si>
    <t>European awards per one million people</t>
  </si>
  <si>
    <t>Switzerland prizes per one million people</t>
  </si>
  <si>
    <t>Denmark's percentage of award-winning exhibits</t>
  </si>
  <si>
    <t>Switzerland's percentage of award-winning exhibits</t>
  </si>
  <si>
    <t>Europe's percentage of award-winning exhibits</t>
  </si>
  <si>
    <t>Belgium's prizes</t>
  </si>
  <si>
    <t>Belgium's awards per exhibit</t>
  </si>
  <si>
    <t>Belgium's awards per one million people</t>
  </si>
  <si>
    <t>Wurttemberg's prizes</t>
  </si>
  <si>
    <t>Wurttemberg's awards per exhibit</t>
  </si>
  <si>
    <t>Wurttemberg's awards per one million people</t>
  </si>
  <si>
    <t>Gold</t>
  </si>
  <si>
    <t>Silver</t>
  </si>
  <si>
    <t>Bronze</t>
  </si>
  <si>
    <t>patent length</t>
  </si>
  <si>
    <t>patent length with extensions</t>
  </si>
  <si>
    <t>patent fee</t>
  </si>
  <si>
    <t>Population</t>
  </si>
  <si>
    <t>GDP data from Maddison</t>
  </si>
  <si>
    <t>GDP share of agriculture</t>
  </si>
  <si>
    <t>Labor share of agriculture</t>
  </si>
  <si>
    <t>Primary education</t>
  </si>
  <si>
    <t>Primary education kids between ages 5 and 14 that are in school</t>
  </si>
  <si>
    <t>Exhibits in class 1</t>
  </si>
  <si>
    <t>Gold medals in class 1</t>
  </si>
  <si>
    <t>Silver medals in class 1</t>
  </si>
  <si>
    <t>Bronze medals</t>
  </si>
  <si>
    <t>imports from Britain in million pounds</t>
  </si>
  <si>
    <t>id</t>
  </si>
  <si>
    <t>country</t>
  </si>
  <si>
    <t>year</t>
  </si>
  <si>
    <t>council</t>
  </si>
  <si>
    <t>prize</t>
  </si>
  <si>
    <t>honor</t>
  </si>
  <si>
    <t>pleng</t>
  </si>
  <si>
    <t>plengext</t>
  </si>
  <si>
    <t>pfee</t>
  </si>
  <si>
    <t>gdpmad</t>
  </si>
  <si>
    <t>gdpmadpc</t>
  </si>
  <si>
    <t>gdpag</t>
  </si>
  <si>
    <t>laborag</t>
  </si>
  <si>
    <t>primary</t>
  </si>
  <si>
    <t>prim514</t>
  </si>
  <si>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</si>
  <si>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</si>
  <si>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</si>
  <si>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</si>
  <si>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</si>
  <si>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</si>
  <si>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</si>
  <si>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</si>
  <si>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</si>
  <si>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</si>
  <si>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class11</t>
  </si>
  <si>
    <t>class12</t>
  </si>
  <si>
    <t>class13</t>
  </si>
  <si>
    <t>class14</t>
  </si>
  <si>
    <t>class15</t>
  </si>
  <si>
    <t>class16</t>
  </si>
  <si>
    <t>class17</t>
  </si>
  <si>
    <t>class18</t>
  </si>
  <si>
    <t>class19</t>
  </si>
  <si>
    <t>class20</t>
  </si>
  <si>
    <t>class21</t>
  </si>
  <si>
    <t>class22</t>
  </si>
  <si>
    <t>class23</t>
  </si>
  <si>
    <t>class24</t>
  </si>
  <si>
    <t>class25</t>
  </si>
  <si>
    <t>class26</t>
  </si>
  <si>
    <t>class27</t>
  </si>
  <si>
    <t>class28</t>
  </si>
  <si>
    <t>class29</t>
  </si>
  <si>
    <t>class30</t>
  </si>
  <si>
    <t>class31</t>
  </si>
  <si>
    <t>class32</t>
  </si>
  <si>
    <t>coun1</t>
  </si>
  <si>
    <t>priz1</t>
  </si>
  <si>
    <t>hon1</t>
  </si>
  <si>
    <t>coun2</t>
  </si>
  <si>
    <t>priz2</t>
  </si>
  <si>
    <t>hon2</t>
  </si>
  <si>
    <t>coun3</t>
  </si>
  <si>
    <t>priz3</t>
  </si>
  <si>
    <t>hon3</t>
  </si>
  <si>
    <t>coun4</t>
  </si>
  <si>
    <t>priz4</t>
  </si>
  <si>
    <t>hon4</t>
  </si>
  <si>
    <t>coun5</t>
  </si>
  <si>
    <t>priz5</t>
  </si>
  <si>
    <t>hon5</t>
  </si>
  <si>
    <t>coun6</t>
  </si>
  <si>
    <t>priz6</t>
  </si>
  <si>
    <t>hon6</t>
  </si>
  <si>
    <t>coun7</t>
  </si>
  <si>
    <t>priz7</t>
  </si>
  <si>
    <t>hon7</t>
  </si>
  <si>
    <t>coun8</t>
  </si>
  <si>
    <t>priz8</t>
  </si>
  <si>
    <t>hon8</t>
  </si>
  <si>
    <t>coun9</t>
  </si>
  <si>
    <t>priz0</t>
  </si>
  <si>
    <t>hon9</t>
  </si>
  <si>
    <t>coun10</t>
  </si>
  <si>
    <t>priz10</t>
  </si>
  <si>
    <t>hon10</t>
  </si>
  <si>
    <t>coun11</t>
  </si>
  <si>
    <t>priz11</t>
  </si>
  <si>
    <t>hon11</t>
  </si>
  <si>
    <t>coun12</t>
  </si>
  <si>
    <t>priz12</t>
  </si>
  <si>
    <t>hon12</t>
  </si>
  <si>
    <t>coun13</t>
  </si>
  <si>
    <t>priz13</t>
  </si>
  <si>
    <t>hon13</t>
  </si>
  <si>
    <t>coun14</t>
  </si>
  <si>
    <t>priz14</t>
  </si>
  <si>
    <t>hon14</t>
  </si>
  <si>
    <t>coun15</t>
  </si>
  <si>
    <t>priz15</t>
  </si>
  <si>
    <t>hon15</t>
  </si>
  <si>
    <t>coun16</t>
  </si>
  <si>
    <t>priz16</t>
  </si>
  <si>
    <t>hon16</t>
  </si>
  <si>
    <t>coun17</t>
  </si>
  <si>
    <t>priz17</t>
  </si>
  <si>
    <t>hon17</t>
  </si>
  <si>
    <t>coun18</t>
  </si>
  <si>
    <t>priz18</t>
  </si>
  <si>
    <t>hon18</t>
  </si>
  <si>
    <t>coun19</t>
  </si>
  <si>
    <t>priz19</t>
  </si>
  <si>
    <t>hon19</t>
  </si>
  <si>
    <t>coun20</t>
  </si>
  <si>
    <t>priz20</t>
  </si>
  <si>
    <t>hon20</t>
  </si>
  <si>
    <t>coun21</t>
  </si>
  <si>
    <t>priz21</t>
  </si>
  <si>
    <t>hon21</t>
  </si>
  <si>
    <t>coun22</t>
  </si>
  <si>
    <t>priz22</t>
  </si>
  <si>
    <t>hon22</t>
  </si>
  <si>
    <t>coun23</t>
  </si>
  <si>
    <t>priz23</t>
  </si>
  <si>
    <t>hon23</t>
  </si>
  <si>
    <t>coun24</t>
  </si>
  <si>
    <t>priz24</t>
  </si>
  <si>
    <t>hon24</t>
  </si>
  <si>
    <t>coun25</t>
  </si>
  <si>
    <t>priz25</t>
  </si>
  <si>
    <t>hon25</t>
  </si>
  <si>
    <t>coun26</t>
  </si>
  <si>
    <t>priz26</t>
  </si>
  <si>
    <t>hon26</t>
  </si>
  <si>
    <t>coun27</t>
  </si>
  <si>
    <t>priz27</t>
  </si>
  <si>
    <t>hon27</t>
  </si>
  <si>
    <t>coun28</t>
  </si>
  <si>
    <t>priz28</t>
  </si>
  <si>
    <t>hon28</t>
  </si>
  <si>
    <t>coun29</t>
  </si>
  <si>
    <t>priz29</t>
  </si>
  <si>
    <t>hon29</t>
  </si>
  <si>
    <t>coun30</t>
  </si>
  <si>
    <t>priz30</t>
  </si>
  <si>
    <t>hon30</t>
  </si>
  <si>
    <t>exports from Britain in million pounds</t>
  </si>
  <si>
    <t>exports from US in million dollars</t>
  </si>
  <si>
    <t>imports from the US in million dollars</t>
  </si>
  <si>
    <t xml:space="preserve">Africa </t>
  </si>
  <si>
    <t>Austnew</t>
  </si>
  <si>
    <t>Britmid</t>
  </si>
  <si>
    <t>Canada</t>
  </si>
  <si>
    <t xml:space="preserve"> </t>
  </si>
  <si>
    <t>Frankfurt</t>
  </si>
  <si>
    <t>Greece</t>
  </si>
  <si>
    <t>Hamburg</t>
  </si>
  <si>
    <t>Hessia</t>
  </si>
  <si>
    <t>Luxemburg</t>
  </si>
  <si>
    <t>Nassau</t>
  </si>
  <si>
    <t>Persia</t>
  </si>
  <si>
    <t>Rome</t>
  </si>
  <si>
    <t>Russia</t>
  </si>
  <si>
    <t>Sardinia</t>
  </si>
  <si>
    <t>Samerica</t>
  </si>
  <si>
    <t>Spain</t>
  </si>
  <si>
    <t>Tuscany</t>
  </si>
  <si>
    <t>Westindies</t>
  </si>
  <si>
    <t xml:space="preserve">Australia  </t>
  </si>
  <si>
    <t>Finland</t>
  </si>
  <si>
    <t>Germany</t>
  </si>
  <si>
    <t>Italy</t>
  </si>
  <si>
    <t>New Zealand</t>
  </si>
  <si>
    <t>Norway</t>
  </si>
  <si>
    <t>Portugal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</si>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</sst>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4F4F4F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4" fontId="1" fillId="0" borderId="2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4" fontId="3" fillId="6" borderId="2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6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9" fillId="3" borderId="12" xfId="0" applyFont="1" applyFill="1" applyBorder="1" applyAlignment="1">
      <alignment horizontal="center" wrapText="1"/>
    </xf>
    <xf numFmtId="0" fontId="1" fillId="0" borderId="4" xfId="0" applyFont="1" applyBorder="1"/>
    <xf numFmtId="0" fontId="1" fillId="0" borderId="5" xfId="0" applyFont="1" applyBorder="1"/>
    <xf numFmtId="0" fontId="9" fillId="3" borderId="13" xfId="0" applyFont="1" applyFill="1" applyBorder="1" applyAlignment="1">
      <alignment horizontal="center" wrapText="1"/>
    </xf>
    <xf numFmtId="0" fontId="1" fillId="0" borderId="14" xfId="0" applyFont="1" applyBorder="1"/>
    <xf numFmtId="0" fontId="1" fillId="0" borderId="15" xfId="0" applyFont="1" applyBorder="1"/>
    <xf numFmtId="0" fontId="8" fillId="0" borderId="2" xfId="0" applyFont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6" borderId="16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9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11" borderId="1" xfId="0" applyFont="1" applyFill="1" applyBorder="1" applyAlignment="1">
      <alignment wrapText="1"/>
    </xf>
    <xf numFmtId="0" fontId="1" fillId="11" borderId="1" xfId="0" applyFont="1" applyFill="1" applyBorder="1"/>
    <xf numFmtId="10" fontId="1" fillId="0" borderId="0" xfId="0" applyNumberFormat="1" applyFont="1"/>
    <xf numFmtId="9" fontId="1" fillId="0" borderId="0" xfId="0" applyNumberFormat="1" applyFont="1"/>
    <xf numFmtId="0" fontId="1" fillId="4" borderId="6" xfId="0" applyFont="1" applyFill="1" applyBorder="1" applyAlignment="1">
      <alignment horizontal="center" wrapText="1"/>
    </xf>
    <xf numFmtId="0" fontId="2" fillId="0" borderId="7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3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4" fontId="1" fillId="3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4" fillId="6" borderId="8" xfId="0" applyFont="1" applyFill="1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7" fillId="0" borderId="0" xfId="0" applyFont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2" fillId="0" borderId="20" xfId="0" applyFont="1" applyBorder="1"/>
    <xf numFmtId="0" fontId="1" fillId="8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wrapText="1"/>
    </xf>
    <xf numFmtId="0" fontId="8" fillId="6" borderId="8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1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12" borderId="0" xfId="0" applyFill="1"/>
    <xf numFmtId="0" fontId="2" fillId="0" borderId="0" xfId="0" applyFont="1"/>
    <xf numFmtId="0" fontId="12" fillId="0" borderId="0" xfId="0" applyFont="1"/>
    <xf numFmtId="2" fontId="0" fillId="0" borderId="0" xfId="0" applyNumberFormat="1"/>
    <xf numFmtId="2" fontId="0" fillId="12" borderId="0" xfId="0" applyNumberFormat="1" applyFill="1"/>
    <xf numFmtId="2" fontId="12" fillId="0" borderId="0" xfId="0" applyNumberFormat="1" applyFont="1"/>
    <xf numFmtId="0" fontId="0" fillId="13" borderId="0" xfId="0" applyFill="1"/>
  </cellXfs>
  <cellStyles count="1">
    <cellStyle name="Normal" xfId="0" builtinId="0"/>
  </cellStyles>
  <dxfs count="18"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1619250" cy="1181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628775" cy="1171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abel.hathitrust.org/cgi/pt?id=mdp.39015070881803&amp;view=1up&amp;seq=14" TargetMode="External"/><Relationship Id="rId2" Type="http://schemas.openxmlformats.org/officeDocument/2006/relationships/hyperlink" Target="https://babel.hathitrust.org/cgi/pt?id=mdp.39015067196694&amp;view=1up&amp;seq=7&amp;skin=2021" TargetMode="External"/><Relationship Id="rId1" Type="http://schemas.openxmlformats.org/officeDocument/2006/relationships/hyperlink" Target="https://babel.hathitrust.org/cgi/pt?id=mdp.39015075034531&amp;view=1up&amp;seq=5&amp;skin=202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u.t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000"/>
  <sheetViews>
    <sheetView workbookViewId="0">
      <pane xSplit="2" topLeftCell="P1" activePane="topRight" state="frozen"/>
      <selection pane="topRight" activeCell="J7" sqref="J7"/>
    </sheetView>
  </sheetViews>
  <sheetFormatPr baseColWidth="10" defaultColWidth="12.6640625" defaultRowHeight="15" customHeight="1" x14ac:dyDescent="0.15"/>
  <cols>
    <col min="1" max="1" width="6.1640625" customWidth="1"/>
    <col min="2" max="2" width="10.6640625" customWidth="1"/>
    <col min="3" max="58" width="6.1640625" customWidth="1"/>
  </cols>
  <sheetData>
    <row r="1" spans="1:58" ht="15.75" customHeight="1" x14ac:dyDescent="0.15"/>
    <row r="2" spans="1:58" ht="15.75" customHeight="1" x14ac:dyDescent="0.1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5.75" customHeight="1" x14ac:dyDescent="0.15">
      <c r="A3" s="3">
        <v>1851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5.75" customHeight="1" x14ac:dyDescent="0.15">
      <c r="A4" s="4" t="s">
        <v>0</v>
      </c>
      <c r="B4" s="5" t="s">
        <v>1</v>
      </c>
      <c r="C4" s="65" t="s">
        <v>2</v>
      </c>
      <c r="D4" s="66"/>
      <c r="E4" s="66"/>
      <c r="F4" s="67"/>
      <c r="G4" s="65" t="s">
        <v>3</v>
      </c>
      <c r="H4" s="66"/>
      <c r="I4" s="66"/>
      <c r="J4" s="67"/>
      <c r="K4" s="65" t="s">
        <v>4</v>
      </c>
      <c r="L4" s="66"/>
      <c r="M4" s="66"/>
      <c r="N4" s="67"/>
      <c r="O4" s="65" t="s">
        <v>5</v>
      </c>
      <c r="P4" s="66"/>
      <c r="Q4" s="66"/>
      <c r="R4" s="67"/>
      <c r="S4" s="65" t="s">
        <v>6</v>
      </c>
      <c r="T4" s="66"/>
      <c r="U4" s="66"/>
      <c r="V4" s="67"/>
      <c r="W4" s="65" t="s">
        <v>7</v>
      </c>
      <c r="X4" s="66"/>
      <c r="Y4" s="66"/>
      <c r="Z4" s="67"/>
      <c r="AA4" s="68" t="s">
        <v>8</v>
      </c>
      <c r="AB4" s="66"/>
      <c r="AC4" s="66"/>
      <c r="AD4" s="67"/>
      <c r="AE4" s="68" t="s">
        <v>9</v>
      </c>
      <c r="AF4" s="66"/>
      <c r="AG4" s="66"/>
      <c r="AH4" s="67"/>
      <c r="AI4" s="68" t="s">
        <v>10</v>
      </c>
      <c r="AJ4" s="66"/>
      <c r="AK4" s="66"/>
      <c r="AL4" s="67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5.75" customHeight="1" x14ac:dyDescent="0.15">
      <c r="A5" s="6" t="s">
        <v>11</v>
      </c>
      <c r="B5" s="7"/>
      <c r="C5" s="6" t="s">
        <v>12</v>
      </c>
      <c r="D5" s="69" t="s">
        <v>13</v>
      </c>
      <c r="E5" s="67"/>
      <c r="F5" s="6" t="s">
        <v>14</v>
      </c>
      <c r="G5" s="6" t="s">
        <v>12</v>
      </c>
      <c r="H5" s="69" t="s">
        <v>13</v>
      </c>
      <c r="I5" s="67"/>
      <c r="J5" s="6" t="s">
        <v>14</v>
      </c>
      <c r="K5" s="6" t="s">
        <v>12</v>
      </c>
      <c r="L5" s="69" t="s">
        <v>13</v>
      </c>
      <c r="M5" s="67"/>
      <c r="N5" s="6" t="s">
        <v>14</v>
      </c>
      <c r="O5" s="6" t="s">
        <v>12</v>
      </c>
      <c r="P5" s="69" t="s">
        <v>13</v>
      </c>
      <c r="Q5" s="67"/>
      <c r="R5" s="6" t="s">
        <v>14</v>
      </c>
      <c r="S5" s="6" t="s">
        <v>12</v>
      </c>
      <c r="T5" s="69" t="s">
        <v>13</v>
      </c>
      <c r="U5" s="67"/>
      <c r="V5" s="6" t="s">
        <v>14</v>
      </c>
      <c r="W5" s="6" t="s">
        <v>12</v>
      </c>
      <c r="X5" s="69" t="s">
        <v>13</v>
      </c>
      <c r="Y5" s="67"/>
      <c r="Z5" s="6" t="s">
        <v>14</v>
      </c>
      <c r="AA5" s="8" t="s">
        <v>12</v>
      </c>
      <c r="AB5" s="70" t="s">
        <v>13</v>
      </c>
      <c r="AC5" s="67"/>
      <c r="AD5" s="8" t="s">
        <v>14</v>
      </c>
      <c r="AE5" s="8" t="s">
        <v>12</v>
      </c>
      <c r="AF5" s="70" t="s">
        <v>13</v>
      </c>
      <c r="AG5" s="67"/>
      <c r="AH5" s="8" t="s">
        <v>14</v>
      </c>
      <c r="AI5" s="8" t="s">
        <v>12</v>
      </c>
      <c r="AJ5" s="70" t="s">
        <v>13</v>
      </c>
      <c r="AK5" s="67"/>
      <c r="AL5" s="8" t="s">
        <v>14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5.75" customHeight="1" x14ac:dyDescent="0.15">
      <c r="A6" s="6"/>
      <c r="B6" s="7"/>
      <c r="C6" s="6"/>
      <c r="D6" s="8" t="s">
        <v>15</v>
      </c>
      <c r="E6" s="8" t="s">
        <v>16</v>
      </c>
      <c r="F6" s="6"/>
      <c r="G6" s="6"/>
      <c r="H6" s="8" t="s">
        <v>15</v>
      </c>
      <c r="I6" s="8" t="s">
        <v>16</v>
      </c>
      <c r="J6" s="6"/>
      <c r="K6" s="6">
        <f t="shared" ref="K6:K20" si="0">SUM(O6,S6,W6)</f>
        <v>0</v>
      </c>
      <c r="L6" s="8" t="s">
        <v>15</v>
      </c>
      <c r="M6" s="8" t="s">
        <v>16</v>
      </c>
      <c r="N6" s="6"/>
      <c r="O6" s="6"/>
      <c r="P6" s="8" t="s">
        <v>15</v>
      </c>
      <c r="Q6" s="8" t="s">
        <v>16</v>
      </c>
      <c r="R6" s="6"/>
      <c r="S6" s="6"/>
      <c r="T6" s="8" t="s">
        <v>15</v>
      </c>
      <c r="U6" s="8" t="s">
        <v>16</v>
      </c>
      <c r="V6" s="6"/>
      <c r="W6" s="6"/>
      <c r="X6" s="8" t="s">
        <v>15</v>
      </c>
      <c r="Y6" s="8" t="s">
        <v>16</v>
      </c>
      <c r="Z6" s="6"/>
      <c r="AA6" s="8"/>
      <c r="AB6" s="8" t="s">
        <v>15</v>
      </c>
      <c r="AC6" s="8" t="s">
        <v>16</v>
      </c>
      <c r="AD6" s="8"/>
      <c r="AE6" s="8"/>
      <c r="AF6" s="8" t="s">
        <v>15</v>
      </c>
      <c r="AG6" s="8" t="s">
        <v>16</v>
      </c>
      <c r="AH6" s="8"/>
      <c r="AI6" s="8"/>
      <c r="AJ6" s="8" t="s">
        <v>15</v>
      </c>
      <c r="AK6" s="8" t="s">
        <v>16</v>
      </c>
      <c r="AL6" s="8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5.75" customHeight="1" x14ac:dyDescent="0.15">
      <c r="A7" s="6"/>
      <c r="B7" s="9" t="s">
        <v>17</v>
      </c>
      <c r="C7" s="6"/>
      <c r="D7" s="6"/>
      <c r="E7" s="6"/>
      <c r="F7" s="6">
        <v>36350</v>
      </c>
      <c r="G7" s="6"/>
      <c r="H7" s="6"/>
      <c r="I7" s="6"/>
      <c r="J7" s="6">
        <v>1710</v>
      </c>
      <c r="K7" s="6">
        <f t="shared" si="0"/>
        <v>1045</v>
      </c>
      <c r="L7" s="6"/>
      <c r="M7" s="6"/>
      <c r="N7" s="6">
        <v>1045</v>
      </c>
      <c r="O7" s="6">
        <v>56</v>
      </c>
      <c r="P7" s="6"/>
      <c r="Q7" s="6"/>
      <c r="R7" s="6">
        <v>56</v>
      </c>
      <c r="S7" s="6">
        <v>619</v>
      </c>
      <c r="T7" s="6"/>
      <c r="U7" s="6"/>
      <c r="V7" s="6">
        <v>619</v>
      </c>
      <c r="W7" s="6">
        <v>370</v>
      </c>
      <c r="X7" s="6"/>
      <c r="Y7" s="6"/>
      <c r="Z7" s="6">
        <v>370</v>
      </c>
      <c r="AA7" s="8"/>
      <c r="AB7" s="8"/>
      <c r="AC7" s="8"/>
      <c r="AD7" s="8">
        <v>47.042639999999999</v>
      </c>
      <c r="AE7" s="8"/>
      <c r="AF7" s="8"/>
      <c r="AG7" s="8"/>
      <c r="AH7" s="8">
        <v>17.028880000000001</v>
      </c>
      <c r="AI7" s="8"/>
      <c r="AJ7" s="8"/>
      <c r="AK7" s="8"/>
      <c r="AL7" s="8">
        <v>36.198830000000001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5.75" customHeight="1" x14ac:dyDescent="0.15">
      <c r="A8" s="6"/>
      <c r="B8" s="60" t="s">
        <v>18</v>
      </c>
      <c r="C8" s="6"/>
      <c r="D8" s="6"/>
      <c r="E8" s="6"/>
      <c r="F8" s="62">
        <v>2379</v>
      </c>
      <c r="G8" s="6"/>
      <c r="H8" s="6" t="s">
        <v>19</v>
      </c>
      <c r="I8" s="6">
        <v>263</v>
      </c>
      <c r="J8" s="6">
        <v>263</v>
      </c>
      <c r="K8" s="6">
        <f t="shared" si="0"/>
        <v>115</v>
      </c>
      <c r="L8" s="6" t="s">
        <v>20</v>
      </c>
      <c r="M8" s="6">
        <v>33</v>
      </c>
      <c r="N8" s="6">
        <v>114</v>
      </c>
      <c r="O8" s="6">
        <v>2</v>
      </c>
      <c r="P8" s="6" t="s">
        <v>20</v>
      </c>
      <c r="Q8" s="10">
        <v>2</v>
      </c>
      <c r="R8" s="6">
        <v>1</v>
      </c>
      <c r="S8" s="6">
        <v>70</v>
      </c>
      <c r="T8" s="6" t="s">
        <v>21</v>
      </c>
      <c r="U8" s="6">
        <v>186</v>
      </c>
      <c r="V8" s="6">
        <v>70</v>
      </c>
      <c r="W8" s="6">
        <v>43</v>
      </c>
      <c r="X8" s="6" t="s">
        <v>20</v>
      </c>
      <c r="Y8" s="6">
        <v>17</v>
      </c>
      <c r="Z8" s="6">
        <v>43</v>
      </c>
      <c r="AA8" s="8"/>
      <c r="AB8" s="6" t="s">
        <v>19</v>
      </c>
      <c r="AC8" s="6">
        <v>110</v>
      </c>
      <c r="AD8" s="8">
        <v>110.55070000000001</v>
      </c>
      <c r="AE8" s="8"/>
      <c r="AF8" s="8" t="s">
        <v>21</v>
      </c>
      <c r="AG8" s="8">
        <v>67</v>
      </c>
      <c r="AH8" s="8">
        <v>29.424130000000002</v>
      </c>
      <c r="AI8" s="8"/>
      <c r="AJ8" s="11" t="s">
        <v>21</v>
      </c>
      <c r="AK8" s="8">
        <v>13</v>
      </c>
      <c r="AL8" s="8">
        <v>26.615970000000001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5.75" customHeight="1" x14ac:dyDescent="0.15">
      <c r="A9" s="6"/>
      <c r="B9" s="61"/>
      <c r="C9" s="6"/>
      <c r="D9" s="6"/>
      <c r="E9" s="6"/>
      <c r="F9" s="61"/>
      <c r="G9" s="6"/>
      <c r="H9" s="6"/>
      <c r="I9" s="6"/>
      <c r="J9" s="6"/>
      <c r="K9" s="6">
        <f t="shared" si="0"/>
        <v>0</v>
      </c>
      <c r="L9" s="6"/>
      <c r="M9" s="6"/>
      <c r="N9" s="6"/>
      <c r="O9" s="6"/>
      <c r="P9" s="6"/>
      <c r="Q9" s="6"/>
      <c r="R9" s="6"/>
      <c r="S9" s="6"/>
      <c r="T9" s="6" t="s">
        <v>20</v>
      </c>
      <c r="U9" s="6">
        <v>14</v>
      </c>
      <c r="V9" s="6"/>
      <c r="W9" s="6"/>
      <c r="X9" s="6"/>
      <c r="Y9" s="6"/>
      <c r="Z9" s="6"/>
      <c r="AA9" s="8"/>
      <c r="AB9" s="6"/>
      <c r="AC9" s="6"/>
      <c r="AD9" s="8"/>
      <c r="AE9" s="8"/>
      <c r="AF9" s="8"/>
      <c r="AG9" s="8"/>
      <c r="AH9" s="8"/>
      <c r="AI9" s="8"/>
      <c r="AJ9" s="11"/>
      <c r="AK9" s="8"/>
      <c r="AL9" s="8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5.75" customHeight="1" x14ac:dyDescent="0.15">
      <c r="A10" s="6"/>
      <c r="B10" s="9" t="s">
        <v>22</v>
      </c>
      <c r="C10" s="6"/>
      <c r="D10" s="6"/>
      <c r="E10" s="6"/>
      <c r="F10" s="6">
        <v>4449</v>
      </c>
      <c r="G10" s="6"/>
      <c r="H10" s="6"/>
      <c r="I10" s="6"/>
      <c r="J10" s="6">
        <v>506</v>
      </c>
      <c r="K10" s="6">
        <f t="shared" si="0"/>
        <v>208</v>
      </c>
      <c r="L10" s="6"/>
      <c r="M10" s="6"/>
      <c r="N10" s="6">
        <v>208</v>
      </c>
      <c r="O10" s="6">
        <v>2</v>
      </c>
      <c r="P10" s="6"/>
      <c r="Q10" s="6"/>
      <c r="R10" s="6">
        <v>2</v>
      </c>
      <c r="S10" s="6">
        <v>114</v>
      </c>
      <c r="T10" s="6" t="s">
        <v>20</v>
      </c>
      <c r="U10" s="6">
        <v>31</v>
      </c>
      <c r="V10" s="6">
        <v>114</v>
      </c>
      <c r="W10" s="6">
        <v>92</v>
      </c>
      <c r="X10" s="6"/>
      <c r="Y10" s="6"/>
      <c r="Z10" s="6">
        <v>92</v>
      </c>
      <c r="AA10" s="8"/>
      <c r="AB10" s="8"/>
      <c r="AC10" s="8"/>
      <c r="AD10" s="8">
        <v>113.7334</v>
      </c>
      <c r="AE10" s="8"/>
      <c r="AF10" s="6" t="s">
        <v>20</v>
      </c>
      <c r="AG10" s="8">
        <v>6.9</v>
      </c>
      <c r="AH10" s="8">
        <v>25.623740000000002</v>
      </c>
      <c r="AI10" s="8"/>
      <c r="AJ10" s="6" t="s">
        <v>20</v>
      </c>
      <c r="AK10" s="8">
        <v>6</v>
      </c>
      <c r="AL10" s="8">
        <v>22.529640000000001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5.75" customHeight="1" x14ac:dyDescent="0.15">
      <c r="A11" s="6"/>
      <c r="B11" s="9" t="s">
        <v>23</v>
      </c>
      <c r="C11" s="6"/>
      <c r="D11" s="6"/>
      <c r="E11" s="6"/>
      <c r="F11" s="6">
        <v>1988</v>
      </c>
      <c r="G11" s="6"/>
      <c r="H11" s="6"/>
      <c r="I11" s="6"/>
      <c r="J11" s="6">
        <v>190</v>
      </c>
      <c r="K11" s="6">
        <f t="shared" si="0"/>
        <v>53</v>
      </c>
      <c r="L11" s="6"/>
      <c r="M11" s="6"/>
      <c r="N11" s="6">
        <v>53</v>
      </c>
      <c r="O11" s="6">
        <v>0</v>
      </c>
      <c r="P11" s="6"/>
      <c r="Q11" s="6"/>
      <c r="R11" s="6">
        <v>0</v>
      </c>
      <c r="S11" s="6">
        <v>40</v>
      </c>
      <c r="T11" s="6"/>
      <c r="U11" s="6"/>
      <c r="V11" s="6">
        <v>40</v>
      </c>
      <c r="W11" s="6">
        <v>13</v>
      </c>
      <c r="X11" s="6"/>
      <c r="Y11" s="6"/>
      <c r="Z11" s="6">
        <v>13</v>
      </c>
      <c r="AA11" s="8"/>
      <c r="AB11" s="8"/>
      <c r="AC11" s="8"/>
      <c r="AD11" s="8">
        <v>95.573440000000005</v>
      </c>
      <c r="AE11" s="8"/>
      <c r="AF11" s="8"/>
      <c r="AG11" s="8"/>
      <c r="AH11" s="8">
        <v>20.120719999999999</v>
      </c>
      <c r="AI11" s="8"/>
      <c r="AJ11" s="8"/>
      <c r="AK11" s="8"/>
      <c r="AL11" s="8">
        <v>21.052630000000001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5.75" customHeight="1" x14ac:dyDescent="0.15">
      <c r="A12" s="6"/>
      <c r="B12" s="9" t="s">
        <v>24</v>
      </c>
      <c r="C12" s="6"/>
      <c r="D12" s="6"/>
      <c r="E12" s="6"/>
      <c r="F12" s="6">
        <v>1499</v>
      </c>
      <c r="G12" s="6"/>
      <c r="H12" s="6"/>
      <c r="I12" s="6"/>
      <c r="J12" s="6">
        <v>39</v>
      </c>
      <c r="K12" s="6">
        <f t="shared" si="0"/>
        <v>17</v>
      </c>
      <c r="L12" s="6"/>
      <c r="M12" s="6"/>
      <c r="N12" s="6">
        <v>17</v>
      </c>
      <c r="O12" s="6"/>
      <c r="P12" s="6"/>
      <c r="Q12" s="6"/>
      <c r="R12" s="6">
        <v>0</v>
      </c>
      <c r="S12" s="6">
        <v>8</v>
      </c>
      <c r="T12" s="6"/>
      <c r="U12" s="6"/>
      <c r="V12" s="6">
        <v>8</v>
      </c>
      <c r="W12" s="6">
        <v>9</v>
      </c>
      <c r="X12" s="6"/>
      <c r="Y12" s="6"/>
      <c r="Z12" s="6">
        <v>9</v>
      </c>
      <c r="AA12" s="8"/>
      <c r="AB12" s="8"/>
      <c r="AC12" s="8"/>
      <c r="AD12" s="8">
        <v>26.01735</v>
      </c>
      <c r="AE12" s="8"/>
      <c r="AF12" s="8"/>
      <c r="AG12" s="8"/>
      <c r="AH12" s="8">
        <v>5.3368909999999996</v>
      </c>
      <c r="AI12" s="8"/>
      <c r="AJ12" s="11" t="s">
        <v>21</v>
      </c>
      <c r="AK12" s="8">
        <v>13</v>
      </c>
      <c r="AL12" s="8">
        <v>20.512820000000001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5.75" customHeight="1" x14ac:dyDescent="0.15">
      <c r="A13" s="6"/>
      <c r="B13" s="9" t="s">
        <v>25</v>
      </c>
      <c r="C13" s="6"/>
      <c r="D13" s="6"/>
      <c r="E13" s="6"/>
      <c r="F13" s="6">
        <v>23352</v>
      </c>
      <c r="G13" s="6"/>
      <c r="H13" s="6"/>
      <c r="I13" s="6"/>
      <c r="J13" s="6">
        <v>499</v>
      </c>
      <c r="K13" s="6">
        <f t="shared" si="0"/>
        <v>160</v>
      </c>
      <c r="L13" s="6"/>
      <c r="M13" s="6"/>
      <c r="N13" s="6">
        <v>160</v>
      </c>
      <c r="O13" s="6">
        <v>5</v>
      </c>
      <c r="P13" s="6"/>
      <c r="Q13" s="6"/>
      <c r="R13" s="6">
        <v>5</v>
      </c>
      <c r="S13" s="6">
        <v>102</v>
      </c>
      <c r="T13" s="6"/>
      <c r="U13" s="6"/>
      <c r="V13" s="6">
        <v>102</v>
      </c>
      <c r="W13" s="6">
        <v>53</v>
      </c>
      <c r="X13" s="6"/>
      <c r="Y13" s="6"/>
      <c r="Z13" s="6">
        <v>53</v>
      </c>
      <c r="AA13" s="8"/>
      <c r="AB13" s="8"/>
      <c r="AC13" s="8"/>
      <c r="AD13" s="8">
        <v>21.36862</v>
      </c>
      <c r="AE13" s="8"/>
      <c r="AF13" s="8"/>
      <c r="AG13" s="8"/>
      <c r="AH13" s="8">
        <v>4.367934</v>
      </c>
      <c r="AI13" s="8"/>
      <c r="AJ13" s="8"/>
      <c r="AK13" s="8"/>
      <c r="AL13" s="8">
        <v>20.44088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5.75" customHeight="1" x14ac:dyDescent="0.15">
      <c r="A14" s="6"/>
      <c r="B14" s="9" t="s">
        <v>26</v>
      </c>
      <c r="C14" s="6"/>
      <c r="D14" s="6"/>
      <c r="E14" s="6"/>
      <c r="F14" s="6">
        <v>16935</v>
      </c>
      <c r="G14" s="6"/>
      <c r="H14" s="6"/>
      <c r="I14" s="6"/>
      <c r="J14" s="6">
        <v>872</v>
      </c>
      <c r="K14" s="6">
        <f t="shared" si="0"/>
        <v>185</v>
      </c>
      <c r="L14" s="6"/>
      <c r="M14" s="6"/>
      <c r="N14" s="6">
        <v>364</v>
      </c>
      <c r="O14" s="6">
        <v>9</v>
      </c>
      <c r="P14" s="6"/>
      <c r="Q14" s="6"/>
      <c r="R14" s="6">
        <v>9</v>
      </c>
      <c r="S14" s="6">
        <v>176</v>
      </c>
      <c r="T14" s="6"/>
      <c r="U14" s="6"/>
      <c r="V14" s="6">
        <v>176</v>
      </c>
      <c r="W14" s="6" t="s">
        <v>27</v>
      </c>
      <c r="X14" s="6"/>
      <c r="Y14" s="6"/>
      <c r="Z14" s="6">
        <v>180</v>
      </c>
      <c r="AA14" s="8"/>
      <c r="AB14" s="8"/>
      <c r="AC14" s="8"/>
      <c r="AD14" s="8">
        <v>51.490989999999996</v>
      </c>
      <c r="AE14" s="8"/>
      <c r="AF14" s="8"/>
      <c r="AG14" s="8"/>
      <c r="AH14" s="8">
        <v>10.39268</v>
      </c>
      <c r="AI14" s="8"/>
      <c r="AJ14" s="8"/>
      <c r="AK14" s="8"/>
      <c r="AL14" s="8">
        <v>20.183489999999999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5.75" customHeight="1" x14ac:dyDescent="0.15">
      <c r="A15" s="6"/>
      <c r="B15" s="9" t="s">
        <v>28</v>
      </c>
      <c r="C15" s="6"/>
      <c r="D15" s="6"/>
      <c r="E15" s="6"/>
      <c r="F15" s="6">
        <v>25601</v>
      </c>
      <c r="G15" s="6"/>
      <c r="H15" s="6" t="s">
        <v>29</v>
      </c>
      <c r="I15" s="6">
        <v>6861</v>
      </c>
      <c r="J15" s="6">
        <v>6861</v>
      </c>
      <c r="K15" s="6">
        <f t="shared" si="0"/>
        <v>2153</v>
      </c>
      <c r="L15" s="6"/>
      <c r="M15" s="6"/>
      <c r="N15" s="6">
        <v>2153</v>
      </c>
      <c r="O15" s="6">
        <v>78</v>
      </c>
      <c r="P15" s="6"/>
      <c r="Q15" s="6"/>
      <c r="R15" s="6">
        <v>78</v>
      </c>
      <c r="S15" s="6">
        <v>1302</v>
      </c>
      <c r="T15" s="6"/>
      <c r="U15" s="6"/>
      <c r="V15" s="6">
        <v>1302</v>
      </c>
      <c r="W15" s="6">
        <v>773</v>
      </c>
      <c r="X15" s="6"/>
      <c r="Y15" s="6"/>
      <c r="Z15" s="6">
        <v>773</v>
      </c>
      <c r="AA15" s="8"/>
      <c r="AB15" s="8" t="s">
        <v>29</v>
      </c>
      <c r="AC15" s="8">
        <v>255</v>
      </c>
      <c r="AD15" s="8">
        <v>267.9973</v>
      </c>
      <c r="AE15" s="8"/>
      <c r="AF15" s="8"/>
      <c r="AG15" s="8"/>
      <c r="AH15" s="8">
        <v>50.857390000000002</v>
      </c>
      <c r="AI15" s="8"/>
      <c r="AJ15" s="8"/>
      <c r="AK15" s="8"/>
      <c r="AL15" s="8">
        <v>18.97683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5.75" customHeight="1" x14ac:dyDescent="0.15">
      <c r="A16" s="6"/>
      <c r="B16" s="9" t="s">
        <v>30</v>
      </c>
      <c r="C16" s="6"/>
      <c r="D16" s="6"/>
      <c r="E16" s="6"/>
      <c r="F16" s="6">
        <v>1733</v>
      </c>
      <c r="G16" s="6"/>
      <c r="H16" s="6"/>
      <c r="I16" s="6"/>
      <c r="J16" s="6">
        <v>109</v>
      </c>
      <c r="K16" s="6">
        <f t="shared" si="0"/>
        <v>35</v>
      </c>
      <c r="L16" s="6"/>
      <c r="M16" s="6"/>
      <c r="N16" s="6">
        <v>35</v>
      </c>
      <c r="O16" s="6"/>
      <c r="P16" s="6"/>
      <c r="Q16" s="6"/>
      <c r="R16" s="6">
        <v>0</v>
      </c>
      <c r="S16" s="6">
        <v>20</v>
      </c>
      <c r="T16" s="6" t="s">
        <v>20</v>
      </c>
      <c r="U16" s="6">
        <v>6</v>
      </c>
      <c r="V16" s="6">
        <v>20</v>
      </c>
      <c r="W16" s="6">
        <v>15</v>
      </c>
      <c r="X16" s="6"/>
      <c r="Y16" s="6"/>
      <c r="Z16" s="6">
        <v>15</v>
      </c>
      <c r="AA16" s="8"/>
      <c r="AB16" s="8"/>
      <c r="AC16" s="8"/>
      <c r="AD16" s="8">
        <v>62.896709999999999</v>
      </c>
      <c r="AE16" s="8"/>
      <c r="AF16" s="6" t="s">
        <v>20</v>
      </c>
      <c r="AG16" s="8">
        <v>3.4</v>
      </c>
      <c r="AH16" s="8">
        <v>11.54068</v>
      </c>
      <c r="AI16" s="8"/>
      <c r="AJ16" s="6" t="s">
        <v>20</v>
      </c>
      <c r="AK16" s="8">
        <v>5.5</v>
      </c>
      <c r="AL16" s="8">
        <v>18.34862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5.75" customHeight="1" x14ac:dyDescent="0.15">
      <c r="A17" s="6"/>
      <c r="B17" s="9" t="s">
        <v>31</v>
      </c>
      <c r="C17" s="6"/>
      <c r="D17" s="6"/>
      <c r="E17" s="6"/>
      <c r="F17" s="6">
        <v>4599</v>
      </c>
      <c r="G17" s="6"/>
      <c r="H17" s="6"/>
      <c r="I17" s="6"/>
      <c r="J17" s="6">
        <v>99</v>
      </c>
      <c r="K17" s="6">
        <f t="shared" si="0"/>
        <v>40</v>
      </c>
      <c r="L17" s="6"/>
      <c r="M17" s="6"/>
      <c r="N17" s="6">
        <v>40</v>
      </c>
      <c r="O17" s="6">
        <v>3</v>
      </c>
      <c r="P17" s="6"/>
      <c r="Q17" s="6"/>
      <c r="R17" s="6">
        <v>3</v>
      </c>
      <c r="S17" s="6">
        <v>16</v>
      </c>
      <c r="T17" s="6"/>
      <c r="U17" s="6"/>
      <c r="V17" s="6">
        <v>16</v>
      </c>
      <c r="W17" s="6">
        <v>21</v>
      </c>
      <c r="X17" s="6"/>
      <c r="Y17" s="6"/>
      <c r="Z17" s="6">
        <v>21</v>
      </c>
      <c r="AA17" s="8"/>
      <c r="AB17" s="8"/>
      <c r="AC17" s="8"/>
      <c r="AD17" s="8">
        <v>21.526420000000002</v>
      </c>
      <c r="AE17" s="8"/>
      <c r="AF17" s="8"/>
      <c r="AG17" s="8"/>
      <c r="AH17" s="8">
        <v>3.4790169999999998</v>
      </c>
      <c r="AI17" s="8"/>
      <c r="AJ17" s="8"/>
      <c r="AK17" s="8"/>
      <c r="AL17" s="8">
        <v>16.161619999999999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5.75" customHeight="1" x14ac:dyDescent="0.15">
      <c r="A18" s="6"/>
      <c r="B18" s="9" t="s">
        <v>32</v>
      </c>
      <c r="C18" s="6"/>
      <c r="D18" s="6"/>
      <c r="E18" s="6"/>
      <c r="F18" s="6">
        <v>3950</v>
      </c>
      <c r="G18" s="6"/>
      <c r="H18" s="6"/>
      <c r="I18" s="6"/>
      <c r="J18" s="6">
        <v>731</v>
      </c>
      <c r="K18" s="6">
        <f t="shared" si="0"/>
        <v>244</v>
      </c>
      <c r="L18" s="6"/>
      <c r="M18" s="6"/>
      <c r="N18" s="6">
        <v>244</v>
      </c>
      <c r="O18" s="6">
        <v>4</v>
      </c>
      <c r="P18" s="6"/>
      <c r="Q18" s="6"/>
      <c r="R18" s="6">
        <v>4</v>
      </c>
      <c r="S18" s="6">
        <v>114</v>
      </c>
      <c r="T18" s="6"/>
      <c r="U18" s="6"/>
      <c r="V18" s="6">
        <v>114</v>
      </c>
      <c r="W18" s="6">
        <v>126</v>
      </c>
      <c r="X18" s="6"/>
      <c r="Y18" s="6"/>
      <c r="Z18" s="6">
        <v>126</v>
      </c>
      <c r="AA18" s="8"/>
      <c r="AB18" s="8"/>
      <c r="AC18" s="8"/>
      <c r="AD18" s="8">
        <v>185.0633</v>
      </c>
      <c r="AE18" s="8"/>
      <c r="AF18" s="8"/>
      <c r="AG18" s="8"/>
      <c r="AH18" s="8">
        <v>28.860759999999999</v>
      </c>
      <c r="AI18" s="8"/>
      <c r="AJ18" s="8"/>
      <c r="AK18" s="8"/>
      <c r="AL18" s="8">
        <v>15.595079999999999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5.75" customHeight="1" x14ac:dyDescent="0.15">
      <c r="A19" s="6"/>
      <c r="B19" s="9" t="s">
        <v>33</v>
      </c>
      <c r="C19" s="6"/>
      <c r="D19" s="6"/>
      <c r="E19" s="6"/>
      <c r="F19" s="6">
        <v>3095</v>
      </c>
      <c r="G19" s="6"/>
      <c r="H19" s="6"/>
      <c r="I19" s="6"/>
      <c r="J19" s="6">
        <v>113</v>
      </c>
      <c r="K19" s="6">
        <f t="shared" si="0"/>
        <v>32</v>
      </c>
      <c r="L19" s="6"/>
      <c r="M19" s="6"/>
      <c r="N19" s="6">
        <v>32</v>
      </c>
      <c r="O19" s="6">
        <v>1</v>
      </c>
      <c r="P19" s="6"/>
      <c r="Q19" s="6"/>
      <c r="R19" s="6">
        <v>1</v>
      </c>
      <c r="S19" s="6">
        <v>16</v>
      </c>
      <c r="T19" s="6"/>
      <c r="U19" s="6"/>
      <c r="V19" s="6">
        <v>16</v>
      </c>
      <c r="W19" s="6">
        <v>15</v>
      </c>
      <c r="X19" s="6"/>
      <c r="Y19" s="6"/>
      <c r="Z19" s="6">
        <v>15</v>
      </c>
      <c r="AA19" s="8"/>
      <c r="AB19" s="8"/>
      <c r="AC19" s="8"/>
      <c r="AD19" s="8">
        <v>36.5105</v>
      </c>
      <c r="AE19" s="8"/>
      <c r="AF19" s="8"/>
      <c r="AG19" s="8"/>
      <c r="AH19" s="8">
        <v>5.1696289999999996</v>
      </c>
      <c r="AI19" s="8"/>
      <c r="AJ19" s="8"/>
      <c r="AK19" s="8"/>
      <c r="AL19" s="8">
        <v>14.15929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5.75" customHeight="1" x14ac:dyDescent="0.15">
      <c r="A20" s="6"/>
      <c r="B20" s="9" t="s">
        <v>34</v>
      </c>
      <c r="C20" s="6"/>
      <c r="D20" s="6"/>
      <c r="E20" s="6"/>
      <c r="F20" s="6">
        <v>4875</v>
      </c>
      <c r="G20" s="6"/>
      <c r="H20" s="6"/>
      <c r="I20" s="6"/>
      <c r="J20" s="6">
        <v>117</v>
      </c>
      <c r="K20" s="6">
        <f t="shared" si="0"/>
        <v>19</v>
      </c>
      <c r="L20" s="6"/>
      <c r="M20" s="6"/>
      <c r="N20" s="6">
        <v>19</v>
      </c>
      <c r="O20" s="6"/>
      <c r="P20" s="6"/>
      <c r="Q20" s="6"/>
      <c r="R20" s="6">
        <v>0</v>
      </c>
      <c r="S20" s="6">
        <v>10</v>
      </c>
      <c r="T20" s="6"/>
      <c r="U20" s="6"/>
      <c r="V20" s="6">
        <v>10</v>
      </c>
      <c r="W20" s="6">
        <v>9</v>
      </c>
      <c r="X20" s="6"/>
      <c r="Y20" s="6"/>
      <c r="Z20" s="6">
        <v>9</v>
      </c>
      <c r="AA20" s="8"/>
      <c r="AB20" s="8"/>
      <c r="AC20" s="8"/>
      <c r="AD20" s="8">
        <v>24</v>
      </c>
      <c r="AE20" s="8"/>
      <c r="AF20" s="8"/>
      <c r="AG20" s="8"/>
      <c r="AH20" s="8">
        <v>2.051282</v>
      </c>
      <c r="AI20" s="8"/>
      <c r="AJ20" s="8"/>
      <c r="AK20" s="8"/>
      <c r="AL20" s="8">
        <v>8.5470089999999992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5.75" customHeight="1" x14ac:dyDescent="0.15">
      <c r="A21" s="6"/>
      <c r="B21" s="7" t="s">
        <v>35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8"/>
      <c r="AB21" s="8"/>
      <c r="AC21" s="8"/>
      <c r="AD21" s="8"/>
      <c r="AE21" s="8"/>
      <c r="AF21" s="11" t="s">
        <v>21</v>
      </c>
      <c r="AG21" s="8">
        <v>36</v>
      </c>
      <c r="AH21" s="8">
        <v>17.510000000000002</v>
      </c>
      <c r="AI21" s="8"/>
      <c r="AJ21" s="11" t="s">
        <v>21</v>
      </c>
      <c r="AK21" s="8">
        <v>5.4</v>
      </c>
      <c r="AL21" s="8">
        <v>19.1753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5.75" customHeight="1" x14ac:dyDescent="0.15">
      <c r="A22" s="6"/>
      <c r="B22" s="7" t="s">
        <v>36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8"/>
      <c r="AB22" s="8" t="s">
        <v>19</v>
      </c>
      <c r="AC22" s="8">
        <v>62</v>
      </c>
      <c r="AD22" s="8"/>
      <c r="AE22" s="8"/>
      <c r="AF22" s="8"/>
      <c r="AG22" s="8"/>
      <c r="AH22" s="8"/>
      <c r="AI22" s="8"/>
      <c r="AJ22" s="8"/>
      <c r="AK22" s="8"/>
      <c r="AL22" s="8">
        <v>19.899999999999999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5.75" customHeight="1" x14ac:dyDescent="0.15">
      <c r="A23" s="3">
        <v>1867</v>
      </c>
      <c r="B23" s="2"/>
      <c r="C23" s="1"/>
      <c r="D23" s="1"/>
      <c r="E23" s="1"/>
      <c r="F23" s="63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5.75" customHeight="1" x14ac:dyDescent="0.15">
      <c r="A24" s="4" t="s">
        <v>0</v>
      </c>
      <c r="B24" s="5" t="s">
        <v>1</v>
      </c>
      <c r="C24" s="65" t="s">
        <v>2</v>
      </c>
      <c r="D24" s="66"/>
      <c r="E24" s="66"/>
      <c r="F24" s="67"/>
      <c r="G24" s="65" t="s">
        <v>3</v>
      </c>
      <c r="H24" s="66"/>
      <c r="I24" s="66"/>
      <c r="J24" s="67"/>
      <c r="K24" s="65" t="s">
        <v>4</v>
      </c>
      <c r="L24" s="66"/>
      <c r="M24" s="66"/>
      <c r="N24" s="67"/>
      <c r="O24" s="65" t="s">
        <v>5</v>
      </c>
      <c r="P24" s="66"/>
      <c r="Q24" s="66"/>
      <c r="R24" s="67"/>
      <c r="S24" s="65" t="s">
        <v>6</v>
      </c>
      <c r="T24" s="66"/>
      <c r="U24" s="66"/>
      <c r="V24" s="67"/>
      <c r="W24" s="65" t="s">
        <v>7</v>
      </c>
      <c r="X24" s="66"/>
      <c r="Y24" s="66"/>
      <c r="Z24" s="67"/>
      <c r="AA24" s="68" t="s">
        <v>8</v>
      </c>
      <c r="AB24" s="66"/>
      <c r="AC24" s="66"/>
      <c r="AD24" s="67"/>
      <c r="AE24" s="68" t="s">
        <v>9</v>
      </c>
      <c r="AF24" s="66"/>
      <c r="AG24" s="66"/>
      <c r="AH24" s="67"/>
      <c r="AI24" s="68" t="s">
        <v>10</v>
      </c>
      <c r="AJ24" s="66"/>
      <c r="AK24" s="66"/>
      <c r="AL24" s="67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5.75" customHeight="1" x14ac:dyDescent="0.15">
      <c r="A25" s="6" t="s">
        <v>11</v>
      </c>
      <c r="B25" s="7"/>
      <c r="C25" s="6" t="s">
        <v>12</v>
      </c>
      <c r="D25" s="69" t="s">
        <v>13</v>
      </c>
      <c r="E25" s="67"/>
      <c r="F25" s="6" t="s">
        <v>14</v>
      </c>
      <c r="G25" s="6" t="s">
        <v>12</v>
      </c>
      <c r="H25" s="69" t="s">
        <v>13</v>
      </c>
      <c r="I25" s="67"/>
      <c r="J25" s="6" t="s">
        <v>14</v>
      </c>
      <c r="K25" s="6" t="s">
        <v>12</v>
      </c>
      <c r="L25" s="69" t="s">
        <v>13</v>
      </c>
      <c r="M25" s="67"/>
      <c r="N25" s="6" t="s">
        <v>14</v>
      </c>
      <c r="O25" s="6" t="s">
        <v>12</v>
      </c>
      <c r="P25" s="69" t="s">
        <v>13</v>
      </c>
      <c r="Q25" s="67"/>
      <c r="R25" s="6" t="s">
        <v>14</v>
      </c>
      <c r="S25" s="6" t="s">
        <v>12</v>
      </c>
      <c r="T25" s="69" t="s">
        <v>13</v>
      </c>
      <c r="U25" s="67"/>
      <c r="V25" s="6" t="s">
        <v>14</v>
      </c>
      <c r="W25" s="6" t="s">
        <v>12</v>
      </c>
      <c r="X25" s="69" t="s">
        <v>13</v>
      </c>
      <c r="Y25" s="67"/>
      <c r="Z25" s="6" t="s">
        <v>14</v>
      </c>
      <c r="AA25" s="8" t="s">
        <v>12</v>
      </c>
      <c r="AB25" s="70" t="s">
        <v>13</v>
      </c>
      <c r="AC25" s="67"/>
      <c r="AD25" s="8" t="s">
        <v>14</v>
      </c>
      <c r="AE25" s="8" t="s">
        <v>12</v>
      </c>
      <c r="AF25" s="70" t="s">
        <v>13</v>
      </c>
      <c r="AG25" s="67"/>
      <c r="AH25" s="8" t="s">
        <v>14</v>
      </c>
      <c r="AI25" s="8" t="s">
        <v>12</v>
      </c>
      <c r="AJ25" s="70" t="s">
        <v>13</v>
      </c>
      <c r="AK25" s="67"/>
      <c r="AL25" s="8" t="s">
        <v>14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5.75" customHeight="1" x14ac:dyDescent="0.15">
      <c r="A26" s="6"/>
      <c r="B26" s="7"/>
      <c r="C26" s="6"/>
      <c r="D26" s="8" t="s">
        <v>15</v>
      </c>
      <c r="E26" s="8" t="s">
        <v>16</v>
      </c>
      <c r="F26" s="6"/>
      <c r="G26" s="6"/>
      <c r="H26" s="8" t="s">
        <v>15</v>
      </c>
      <c r="I26" s="8" t="s">
        <v>16</v>
      </c>
      <c r="J26" s="6"/>
      <c r="K26" s="6"/>
      <c r="L26" s="8" t="s">
        <v>15</v>
      </c>
      <c r="M26" s="8" t="s">
        <v>16</v>
      </c>
      <c r="N26" s="6"/>
      <c r="O26" s="6"/>
      <c r="P26" s="8" t="s">
        <v>15</v>
      </c>
      <c r="Q26" s="8" t="s">
        <v>16</v>
      </c>
      <c r="R26" s="6"/>
      <c r="S26" s="6"/>
      <c r="T26" s="8" t="s">
        <v>15</v>
      </c>
      <c r="U26" s="8" t="s">
        <v>16</v>
      </c>
      <c r="V26" s="6"/>
      <c r="W26" s="6"/>
      <c r="X26" s="8" t="s">
        <v>15</v>
      </c>
      <c r="Y26" s="8" t="s">
        <v>16</v>
      </c>
      <c r="Z26" s="6"/>
      <c r="AA26" s="8"/>
      <c r="AB26" s="8" t="s">
        <v>15</v>
      </c>
      <c r="AC26" s="8" t="s">
        <v>16</v>
      </c>
      <c r="AD26" s="8"/>
      <c r="AE26" s="8"/>
      <c r="AF26" s="8" t="s">
        <v>15</v>
      </c>
      <c r="AG26" s="8" t="s">
        <v>16</v>
      </c>
      <c r="AH26" s="8"/>
      <c r="AI26" s="8"/>
      <c r="AJ26" s="8" t="s">
        <v>15</v>
      </c>
      <c r="AK26" s="8" t="s">
        <v>16</v>
      </c>
      <c r="AL26" s="8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5.75" customHeight="1" x14ac:dyDescent="0.15">
      <c r="A27" s="6"/>
      <c r="B27" s="9" t="s">
        <v>33</v>
      </c>
      <c r="C27" s="6"/>
      <c r="D27" s="6" t="s">
        <v>21</v>
      </c>
      <c r="E27" s="6">
        <v>2800</v>
      </c>
      <c r="F27" s="6">
        <v>3615</v>
      </c>
      <c r="G27" s="6"/>
      <c r="H27" s="6"/>
      <c r="I27" s="6"/>
      <c r="J27" s="6">
        <v>225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8"/>
      <c r="AB27" s="8" t="s">
        <v>21</v>
      </c>
      <c r="AC27" s="8">
        <v>58.7</v>
      </c>
      <c r="AD27" s="8">
        <v>62.240670000000001</v>
      </c>
      <c r="AE27" s="8"/>
      <c r="AF27" s="8" t="s">
        <v>21</v>
      </c>
      <c r="AG27" s="8">
        <v>50</v>
      </c>
      <c r="AH27" s="8"/>
      <c r="AI27" s="8"/>
      <c r="AJ27" s="8"/>
      <c r="AK27" s="8"/>
      <c r="AL27" s="8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5.75" customHeight="1" x14ac:dyDescent="0.15">
      <c r="A28" s="6"/>
      <c r="B28" s="9" t="s">
        <v>32</v>
      </c>
      <c r="C28" s="6"/>
      <c r="D28" s="6"/>
      <c r="E28" s="6"/>
      <c r="F28" s="6">
        <v>4520</v>
      </c>
      <c r="G28" s="6"/>
      <c r="H28" s="6"/>
      <c r="I28" s="6"/>
      <c r="J28" s="6">
        <v>653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8"/>
      <c r="AB28" s="8"/>
      <c r="AC28" s="8"/>
      <c r="AD28" s="8">
        <v>144.46899999999999</v>
      </c>
      <c r="AE28" s="8"/>
      <c r="AF28" s="8"/>
      <c r="AG28" s="8"/>
      <c r="AH28" s="8"/>
      <c r="AI28" s="8"/>
      <c r="AJ28" s="8"/>
      <c r="AK28" s="8"/>
      <c r="AL28" s="8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5.75" customHeight="1" x14ac:dyDescent="0.15">
      <c r="A29" s="6"/>
      <c r="B29" s="9" t="s">
        <v>28</v>
      </c>
      <c r="C29" s="6"/>
      <c r="D29" s="6"/>
      <c r="E29" s="6"/>
      <c r="F29" s="6">
        <v>31393</v>
      </c>
      <c r="G29" s="6"/>
      <c r="H29" s="6"/>
      <c r="I29" s="6"/>
      <c r="J29" s="6">
        <v>1121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8"/>
      <c r="AB29" s="8"/>
      <c r="AC29" s="8"/>
      <c r="AD29" s="8">
        <v>35.708599999999997</v>
      </c>
      <c r="AE29" s="8"/>
      <c r="AF29" s="8"/>
      <c r="AG29" s="8"/>
      <c r="AH29" s="8"/>
      <c r="AI29" s="8"/>
      <c r="AJ29" s="8"/>
      <c r="AK29" s="8"/>
      <c r="AL29" s="8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5.75" customHeight="1" x14ac:dyDescent="0.15">
      <c r="A30" s="6"/>
      <c r="B30" s="9" t="s">
        <v>24</v>
      </c>
      <c r="C30" s="6"/>
      <c r="D30" s="6"/>
      <c r="E30" s="6"/>
      <c r="F30" s="6">
        <v>1888</v>
      </c>
      <c r="G30" s="6"/>
      <c r="H30" s="6"/>
      <c r="I30" s="6"/>
      <c r="J30" s="6">
        <v>101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8"/>
      <c r="AB30" s="8"/>
      <c r="AC30" s="8"/>
      <c r="AD30" s="8">
        <v>53.495759999999997</v>
      </c>
      <c r="AE30" s="8"/>
      <c r="AF30" s="8"/>
      <c r="AG30" s="8"/>
      <c r="AH30" s="8"/>
      <c r="AI30" s="8"/>
      <c r="AJ30" s="8"/>
      <c r="AK30" s="8"/>
      <c r="AL30" s="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.75" customHeight="1" x14ac:dyDescent="0.15">
      <c r="A31" s="6"/>
      <c r="B31" s="9" t="s">
        <v>18</v>
      </c>
      <c r="C31" s="6"/>
      <c r="D31" s="6" t="s">
        <v>29</v>
      </c>
      <c r="E31" s="6">
        <v>3800</v>
      </c>
      <c r="F31" s="6">
        <v>2664</v>
      </c>
      <c r="G31" s="6"/>
      <c r="H31" s="6"/>
      <c r="I31" s="6"/>
      <c r="J31" s="6">
        <v>401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8"/>
      <c r="AB31" s="8" t="s">
        <v>29</v>
      </c>
      <c r="AC31" s="8">
        <v>145</v>
      </c>
      <c r="AD31" s="8">
        <v>150.52549999999999</v>
      </c>
      <c r="AE31" s="8"/>
      <c r="AF31" s="8"/>
      <c r="AG31" s="8"/>
      <c r="AH31" s="8"/>
      <c r="AI31" s="8"/>
      <c r="AJ31" s="8"/>
      <c r="AK31" s="8"/>
      <c r="AL31" s="8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5.75" customHeight="1" x14ac:dyDescent="0.15">
      <c r="A32" s="6"/>
      <c r="B32" s="9" t="s">
        <v>22</v>
      </c>
      <c r="C32" s="6"/>
      <c r="D32" s="6"/>
      <c r="E32" s="6"/>
      <c r="F32" s="6">
        <v>5096</v>
      </c>
      <c r="G32" s="6"/>
      <c r="H32" s="6"/>
      <c r="I32" s="6"/>
      <c r="J32" s="6">
        <v>578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8"/>
      <c r="AB32" s="8"/>
      <c r="AC32" s="8"/>
      <c r="AD32" s="8">
        <v>113.42230000000001</v>
      </c>
      <c r="AE32" s="8"/>
      <c r="AF32" s="8"/>
      <c r="AG32" s="8"/>
      <c r="AH32" s="8"/>
      <c r="AI32" s="8"/>
      <c r="AJ32" s="8"/>
      <c r="AK32" s="8"/>
      <c r="AL32" s="8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15.75" customHeight="1" x14ac:dyDescent="0.15">
      <c r="A33" s="6"/>
      <c r="B33" s="9" t="s">
        <v>25</v>
      </c>
      <c r="C33" s="6"/>
      <c r="D33" s="6"/>
      <c r="E33" s="6"/>
      <c r="F33" s="6">
        <v>40241</v>
      </c>
      <c r="G33" s="6"/>
      <c r="H33" s="6"/>
      <c r="I33" s="6"/>
      <c r="J33" s="6">
        <v>4465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8"/>
      <c r="AB33" s="8"/>
      <c r="AC33" s="8"/>
      <c r="AD33" s="8">
        <v>110.95650000000001</v>
      </c>
      <c r="AE33" s="8"/>
      <c r="AF33" s="8"/>
      <c r="AG33" s="8"/>
      <c r="AH33" s="8"/>
      <c r="AI33" s="8"/>
      <c r="AJ33" s="8"/>
      <c r="AK33" s="8"/>
      <c r="AL33" s="8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15.75" customHeight="1" x14ac:dyDescent="0.15">
      <c r="A34" s="6"/>
      <c r="B34" s="9" t="s">
        <v>17</v>
      </c>
      <c r="C34" s="6"/>
      <c r="D34" s="6"/>
      <c r="E34" s="6"/>
      <c r="F34" s="6">
        <v>38440</v>
      </c>
      <c r="G34" s="6"/>
      <c r="H34" s="6"/>
      <c r="I34" s="6"/>
      <c r="J34" s="6">
        <v>1656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8"/>
      <c r="AB34" s="8"/>
      <c r="AC34" s="8"/>
      <c r="AD34" s="8">
        <v>43.080120000000001</v>
      </c>
      <c r="AE34" s="8"/>
      <c r="AF34" s="8"/>
      <c r="AG34" s="8"/>
      <c r="AH34" s="8"/>
      <c r="AI34" s="8"/>
      <c r="AJ34" s="8"/>
      <c r="AK34" s="8"/>
      <c r="AL34" s="8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5.75" customHeight="1" x14ac:dyDescent="0.15">
      <c r="A35" s="6"/>
      <c r="B35" s="9" t="s">
        <v>35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8"/>
      <c r="AB35" s="6" t="s">
        <v>21</v>
      </c>
      <c r="AC35" s="8">
        <v>83.5</v>
      </c>
      <c r="AD35" s="8"/>
      <c r="AE35" s="8"/>
      <c r="AF35" s="8"/>
      <c r="AG35" s="8"/>
      <c r="AH35" s="8"/>
      <c r="AI35" s="8"/>
      <c r="AJ35" s="8"/>
      <c r="AK35" s="8"/>
      <c r="AL35" s="8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15.75" customHeight="1" x14ac:dyDescent="0.15">
      <c r="A36" s="6"/>
      <c r="B36" s="9" t="s">
        <v>36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8"/>
      <c r="AB36" s="6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5.75" customHeight="1" x14ac:dyDescent="0.1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2"/>
      <c r="AB37" s="1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15.75" customHeight="1" x14ac:dyDescent="0.1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2"/>
      <c r="AB38" s="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5.75" customHeight="1" x14ac:dyDescent="0.1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2"/>
      <c r="AB39" s="1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15.75" customHeight="1" x14ac:dyDescent="0.1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2"/>
      <c r="AB40" s="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5.75" customHeight="1" x14ac:dyDescent="0.1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2"/>
      <c r="AB41" s="1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15.75" customHeight="1" x14ac:dyDescent="0.1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2"/>
      <c r="AB42" s="1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5.75" customHeight="1" x14ac:dyDescent="0.1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15.75" customHeight="1" x14ac:dyDescent="0.1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5.75" customHeight="1" x14ac:dyDescent="0.1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15.75" customHeight="1" x14ac:dyDescent="0.1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5.75" customHeight="1" x14ac:dyDescent="0.1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15.75" customHeight="1" x14ac:dyDescent="0.1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5.75" customHeight="1" x14ac:dyDescent="0.1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15.75" customHeight="1" x14ac:dyDescent="0.1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5.75" customHeight="1" x14ac:dyDescent="0.1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15.75" customHeight="1" x14ac:dyDescent="0.1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spans="1:58" ht="15.75" customHeight="1" x14ac:dyDescent="0.1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spans="1:58" ht="15.75" customHeight="1" x14ac:dyDescent="0.1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spans="1:58" ht="15.75" customHeight="1" x14ac:dyDescent="0.1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spans="1:58" ht="15.75" customHeight="1" x14ac:dyDescent="0.1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 x14ac:dyDescent="0.1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 x14ac:dyDescent="0.1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 x14ac:dyDescent="0.1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 x14ac:dyDescent="0.1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 x14ac:dyDescent="0.1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 x14ac:dyDescent="0.1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 x14ac:dyDescent="0.1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 x14ac:dyDescent="0.1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 x14ac:dyDescent="0.1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 x14ac:dyDescent="0.1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 x14ac:dyDescent="0.1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 x14ac:dyDescent="0.1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 x14ac:dyDescent="0.1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 x14ac:dyDescent="0.1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 x14ac:dyDescent="0.1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 x14ac:dyDescent="0.1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 x14ac:dyDescent="0.1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 x14ac:dyDescent="0.1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 x14ac:dyDescent="0.1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 x14ac:dyDescent="0.1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 x14ac:dyDescent="0.1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 x14ac:dyDescent="0.1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 x14ac:dyDescent="0.1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 x14ac:dyDescent="0.1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 x14ac:dyDescent="0.1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 x14ac:dyDescent="0.1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 x14ac:dyDescent="0.1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 x14ac:dyDescent="0.1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 x14ac:dyDescent="0.1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 x14ac:dyDescent="0.1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 x14ac:dyDescent="0.1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 x14ac:dyDescent="0.1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 x14ac:dyDescent="0.1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 x14ac:dyDescent="0.1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 x14ac:dyDescent="0.1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 x14ac:dyDescent="0.1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 x14ac:dyDescent="0.1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 x14ac:dyDescent="0.1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 x14ac:dyDescent="0.1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 x14ac:dyDescent="0.1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 x14ac:dyDescent="0.1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 x14ac:dyDescent="0.1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 x14ac:dyDescent="0.1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 x14ac:dyDescent="0.1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 x14ac:dyDescent="0.1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 x14ac:dyDescent="0.1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 x14ac:dyDescent="0.1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 x14ac:dyDescent="0.1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 x14ac:dyDescent="0.1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 x14ac:dyDescent="0.1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 x14ac:dyDescent="0.1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 x14ac:dyDescent="0.1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 x14ac:dyDescent="0.1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 x14ac:dyDescent="0.1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 x14ac:dyDescent="0.1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 x14ac:dyDescent="0.1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 x14ac:dyDescent="0.1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 x14ac:dyDescent="0.1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 x14ac:dyDescent="0.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 x14ac:dyDescent="0.1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 x14ac:dyDescent="0.1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 x14ac:dyDescent="0.1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 x14ac:dyDescent="0.1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 x14ac:dyDescent="0.1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 x14ac:dyDescent="0.1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 x14ac:dyDescent="0.1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 x14ac:dyDescent="0.1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 x14ac:dyDescent="0.1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 x14ac:dyDescent="0.1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 x14ac:dyDescent="0.1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 x14ac:dyDescent="0.1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 x14ac:dyDescent="0.1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 x14ac:dyDescent="0.1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 x14ac:dyDescent="0.1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 x14ac:dyDescent="0.1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 x14ac:dyDescent="0.1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 x14ac:dyDescent="0.1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 x14ac:dyDescent="0.1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 x14ac:dyDescent="0.1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 x14ac:dyDescent="0.1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 x14ac:dyDescent="0.1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 x14ac:dyDescent="0.1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 x14ac:dyDescent="0.1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 x14ac:dyDescent="0.1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 x14ac:dyDescent="0.1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 x14ac:dyDescent="0.1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 x14ac:dyDescent="0.1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 x14ac:dyDescent="0.1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 x14ac:dyDescent="0.1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 x14ac:dyDescent="0.1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 x14ac:dyDescent="0.1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 x14ac:dyDescent="0.1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 x14ac:dyDescent="0.1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 x14ac:dyDescent="0.1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 x14ac:dyDescent="0.1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 x14ac:dyDescent="0.1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 x14ac:dyDescent="0.1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 x14ac:dyDescent="0.1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 x14ac:dyDescent="0.1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 x14ac:dyDescent="0.1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 x14ac:dyDescent="0.1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 x14ac:dyDescent="0.1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 x14ac:dyDescent="0.1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 x14ac:dyDescent="0.1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 x14ac:dyDescent="0.1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 x14ac:dyDescent="0.1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 x14ac:dyDescent="0.1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 x14ac:dyDescent="0.1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 x14ac:dyDescent="0.1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 x14ac:dyDescent="0.1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 x14ac:dyDescent="0.1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 x14ac:dyDescent="0.1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 x14ac:dyDescent="0.1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 x14ac:dyDescent="0.1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 x14ac:dyDescent="0.1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 x14ac:dyDescent="0.1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 x14ac:dyDescent="0.1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 x14ac:dyDescent="0.1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 x14ac:dyDescent="0.1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 x14ac:dyDescent="0.1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 x14ac:dyDescent="0.1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 x14ac:dyDescent="0.1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 x14ac:dyDescent="0.1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 x14ac:dyDescent="0.1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 x14ac:dyDescent="0.1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 x14ac:dyDescent="0.1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 x14ac:dyDescent="0.1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 x14ac:dyDescent="0.1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 x14ac:dyDescent="0.1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 x14ac:dyDescent="0.1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 x14ac:dyDescent="0.1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 x14ac:dyDescent="0.1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 x14ac:dyDescent="0.1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 x14ac:dyDescent="0.1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 x14ac:dyDescent="0.1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 x14ac:dyDescent="0.1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 x14ac:dyDescent="0.1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 x14ac:dyDescent="0.1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 x14ac:dyDescent="0.1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 x14ac:dyDescent="0.1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 x14ac:dyDescent="0.1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 x14ac:dyDescent="0.1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 x14ac:dyDescent="0.1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 x14ac:dyDescent="0.1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 x14ac:dyDescent="0.1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 x14ac:dyDescent="0.1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 x14ac:dyDescent="0.1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 x14ac:dyDescent="0.1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 x14ac:dyDescent="0.1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 x14ac:dyDescent="0.1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 x14ac:dyDescent="0.1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 x14ac:dyDescent="0.1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 x14ac:dyDescent="0.1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 x14ac:dyDescent="0.1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 x14ac:dyDescent="0.1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 x14ac:dyDescent="0.1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 x14ac:dyDescent="0.1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 x14ac:dyDescent="0.1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 x14ac:dyDescent="0.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 x14ac:dyDescent="0.1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 x14ac:dyDescent="0.1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 x14ac:dyDescent="0.1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 x14ac:dyDescent="0.1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 x14ac:dyDescent="0.1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 x14ac:dyDescent="0.1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 x14ac:dyDescent="0.1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 x14ac:dyDescent="0.1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 x14ac:dyDescent="0.1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 x14ac:dyDescent="0.1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 x14ac:dyDescent="0.1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 x14ac:dyDescent="0.1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 x14ac:dyDescent="0.1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 x14ac:dyDescent="0.1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 x14ac:dyDescent="0.1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 x14ac:dyDescent="0.1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 x14ac:dyDescent="0.1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 x14ac:dyDescent="0.1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 x14ac:dyDescent="0.1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 x14ac:dyDescent="0.1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 x14ac:dyDescent="0.1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 x14ac:dyDescent="0.15"/>
    <row r="238" spans="1:58" ht="15.75" customHeight="1" x14ac:dyDescent="0.15"/>
    <row r="239" spans="1:58" ht="15.75" customHeight="1" x14ac:dyDescent="0.15"/>
    <row r="240" spans="1:58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9">
    <mergeCell ref="AB25:AC25"/>
    <mergeCell ref="AF25:AG25"/>
    <mergeCell ref="P5:Q5"/>
    <mergeCell ref="T5:U5"/>
    <mergeCell ref="X5:Y5"/>
    <mergeCell ref="AB5:AC5"/>
    <mergeCell ref="S24:V24"/>
    <mergeCell ref="W24:Z24"/>
    <mergeCell ref="AA24:AD24"/>
    <mergeCell ref="X25:Y25"/>
    <mergeCell ref="AJ25:AK25"/>
    <mergeCell ref="AE4:AH4"/>
    <mergeCell ref="AI4:AL4"/>
    <mergeCell ref="C4:F4"/>
    <mergeCell ref="G4:J4"/>
    <mergeCell ref="K4:N4"/>
    <mergeCell ref="O4:R4"/>
    <mergeCell ref="S4:V4"/>
    <mergeCell ref="W4:Z4"/>
    <mergeCell ref="AA4:AD4"/>
    <mergeCell ref="AF5:AG5"/>
    <mergeCell ref="AJ5:AK5"/>
    <mergeCell ref="D5:E5"/>
    <mergeCell ref="H5:I5"/>
    <mergeCell ref="L5:M5"/>
    <mergeCell ref="D25:E25"/>
    <mergeCell ref="H25:I25"/>
    <mergeCell ref="L25:M25"/>
    <mergeCell ref="P25:Q25"/>
    <mergeCell ref="T25:U25"/>
    <mergeCell ref="B8:B9"/>
    <mergeCell ref="F8:F9"/>
    <mergeCell ref="F23:AL23"/>
    <mergeCell ref="G24:J24"/>
    <mergeCell ref="K24:N24"/>
    <mergeCell ref="O24:R24"/>
    <mergeCell ref="AI24:AL24"/>
    <mergeCell ref="C24:F24"/>
    <mergeCell ref="AE24:AH24"/>
  </mergeCells>
  <conditionalFormatting sqref="A5:BF5 A25:BF25">
    <cfRule type="containsText" dxfId="17" priority="1" operator="containsText" text="bericht">
      <formula>NOT(ISERROR(SEARCH(("bericht"),(A5))))</formula>
    </cfRule>
  </conditionalFormatting>
  <conditionalFormatting sqref="A5:BF5 A25:BF25">
    <cfRule type="containsText" dxfId="16" priority="2" operator="containsText" text="Book">
      <formula>NOT(ISERROR(SEARCH(("Book"),(A5))))</formula>
    </cfRule>
  </conditionalFormatting>
  <conditionalFormatting sqref="A5:BF5 A25:BF25">
    <cfRule type="containsText" dxfId="15" priority="3" operator="containsText" text="Rpat">
      <formula>NOT(ISERROR(SEARCH(("Rpat"),(A5))))</formula>
    </cfRule>
  </conditionalFormatting>
  <conditionalFormatting sqref="I2:I24 I26:I1000 M26 Q26 U26 Y26">
    <cfRule type="cellIs" dxfId="14" priority="4" operator="greaterThan">
      <formula>0</formula>
    </cfRule>
  </conditionalFormatting>
  <conditionalFormatting sqref="M2:M24 M26:M1000">
    <cfRule type="cellIs" dxfId="13" priority="5" operator="greaterThan">
      <formula>0</formula>
    </cfRule>
  </conditionalFormatting>
  <conditionalFormatting sqref="Q2:Q24 Q26:Q1000">
    <cfRule type="cellIs" dxfId="12" priority="6" operator="greaterThan">
      <formula>0</formula>
    </cfRule>
  </conditionalFormatting>
  <conditionalFormatting sqref="U2:U24 U26:U1000">
    <cfRule type="cellIs" dxfId="11" priority="7" operator="greaterThan">
      <formula>0</formula>
    </cfRule>
  </conditionalFormatting>
  <conditionalFormatting sqref="Y2:Y23 Y26:Y1000">
    <cfRule type="cellIs" dxfId="10" priority="8" operator="greaterThan">
      <formula>0</formula>
    </cfRule>
  </conditionalFormatting>
  <conditionalFormatting sqref="AC2:AC24 AC26:AC1000">
    <cfRule type="cellIs" dxfId="9" priority="9" operator="greaterThan">
      <formula>0</formula>
    </cfRule>
  </conditionalFormatting>
  <conditionalFormatting sqref="AG2:AG24 AG26:AG1000">
    <cfRule type="cellIs" dxfId="8" priority="10" operator="greaterThan">
      <formula>0</formula>
    </cfRule>
  </conditionalFormatting>
  <conditionalFormatting sqref="AK2:AK24 AK26:AK1000">
    <cfRule type="cellIs" dxfId="7" priority="11" operator="greaterThan">
      <formula>0</formula>
    </cfRule>
  </conditionalFormatting>
  <conditionalFormatting sqref="K1:K1000">
    <cfRule type="cellIs" dxfId="6" priority="12" operator="equal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00"/>
  <sheetViews>
    <sheetView workbookViewId="0">
      <selection activeCell="C3" sqref="C3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31" ht="60.75" customHeight="1" x14ac:dyDescent="0.15">
      <c r="A1" s="1"/>
      <c r="B1" s="2" t="s">
        <v>11</v>
      </c>
      <c r="C1" s="71" t="s">
        <v>37</v>
      </c>
      <c r="D1" s="72"/>
      <c r="E1" s="72"/>
      <c r="F1" s="72"/>
      <c r="G1" s="72"/>
      <c r="H1" s="72"/>
      <c r="I1" s="72"/>
      <c r="J1" s="7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 x14ac:dyDescent="0.15"/>
    <row r="3" spans="1:31" ht="15.75" customHeight="1" x14ac:dyDescent="0.15">
      <c r="B3" s="13" t="s">
        <v>38</v>
      </c>
      <c r="C3" s="14" t="s">
        <v>39</v>
      </c>
    </row>
    <row r="4" spans="1:31" ht="15.75" customHeight="1" x14ac:dyDescent="0.15">
      <c r="B4" s="13" t="s">
        <v>40</v>
      </c>
      <c r="C4" s="14" t="s">
        <v>41</v>
      </c>
    </row>
    <row r="5" spans="1:31" ht="15.75" customHeight="1" x14ac:dyDescent="0.15">
      <c r="B5" s="13" t="s">
        <v>42</v>
      </c>
      <c r="C5" s="74" t="s">
        <v>43</v>
      </c>
      <c r="D5" s="64"/>
      <c r="E5" s="64"/>
    </row>
    <row r="6" spans="1:31" ht="15.75" customHeight="1" x14ac:dyDescent="0.15"/>
    <row r="7" spans="1:31" ht="15.75" customHeight="1" x14ac:dyDescent="0.15"/>
    <row r="8" spans="1:31" ht="15.75" customHeight="1" x14ac:dyDescent="0.15"/>
    <row r="9" spans="1:31" ht="15.75" customHeight="1" x14ac:dyDescent="0.15"/>
    <row r="10" spans="1:31" ht="15.75" customHeight="1" x14ac:dyDescent="0.15"/>
    <row r="11" spans="1:31" ht="15.75" customHeight="1" x14ac:dyDescent="0.15"/>
    <row r="12" spans="1:31" ht="15.75" customHeight="1" x14ac:dyDescent="0.15"/>
    <row r="13" spans="1:31" ht="15.75" customHeight="1" x14ac:dyDescent="0.15"/>
    <row r="14" spans="1:31" ht="15.75" customHeight="1" x14ac:dyDescent="0.15"/>
    <row r="15" spans="1:31" ht="15.75" customHeight="1" x14ac:dyDescent="0.15"/>
    <row r="16" spans="1:31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C1:J1"/>
    <mergeCell ref="C5:E5"/>
  </mergeCells>
  <conditionalFormatting sqref="AC1">
    <cfRule type="cellIs" dxfId="5" priority="1" operator="greaterThan">
      <formula>0</formula>
    </cfRule>
  </conditionalFormatting>
  <conditionalFormatting sqref="Y1">
    <cfRule type="cellIs" dxfId="4" priority="2" operator="greaterThan">
      <formula>0</formula>
    </cfRule>
  </conditionalFormatting>
  <conditionalFormatting sqref="U1">
    <cfRule type="cellIs" dxfId="3" priority="3" operator="greaterThan">
      <formula>0</formula>
    </cfRule>
  </conditionalFormatting>
  <conditionalFormatting sqref="Q1">
    <cfRule type="cellIs" dxfId="2" priority="4" operator="greaterThan">
      <formula>0</formula>
    </cfRule>
  </conditionalFormatting>
  <hyperlinks>
    <hyperlink ref="C3" r:id="rId1" xr:uid="{00000000-0004-0000-0100-000000000000}"/>
    <hyperlink ref="C4" r:id="rId2" xr:uid="{00000000-0004-0000-0100-000001000000}"/>
    <hyperlink ref="C5" r:id="rId3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240"/>
  <sheetViews>
    <sheetView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2.6640625" defaultRowHeight="15" customHeight="1" x14ac:dyDescent="0.15"/>
  <cols>
    <col min="1" max="1" width="7.33203125" customWidth="1"/>
    <col min="2" max="2" width="7.33203125" hidden="1" customWidth="1"/>
    <col min="3" max="102" width="7.33203125" customWidth="1"/>
    <col min="103" max="103" width="8.33203125" customWidth="1"/>
    <col min="104" max="110" width="7.33203125" customWidth="1"/>
  </cols>
  <sheetData>
    <row r="1" spans="1:110" ht="24" customHeight="1" x14ac:dyDescent="0.15">
      <c r="A1" s="2"/>
      <c r="B1" s="2"/>
      <c r="C1" s="15" t="s">
        <v>44</v>
      </c>
      <c r="D1" s="1"/>
      <c r="E1" s="1"/>
      <c r="F1" s="1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7"/>
      <c r="BF1" s="1"/>
      <c r="BG1" s="1"/>
      <c r="BH1" s="17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ht="24" customHeight="1" x14ac:dyDescent="0.15">
      <c r="A2" s="2"/>
      <c r="B2" s="2"/>
      <c r="C2" s="2"/>
      <c r="D2" s="1"/>
      <c r="E2" s="1"/>
      <c r="F2" s="1"/>
      <c r="G2" s="16"/>
      <c r="H2" s="16"/>
      <c r="I2" s="79" t="s">
        <v>45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3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63" t="s">
        <v>46</v>
      </c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1"/>
      <c r="BD2" s="1"/>
      <c r="BE2" s="17"/>
      <c r="BF2" s="1"/>
      <c r="BG2" s="1"/>
      <c r="BH2" s="17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0" ht="24" customHeight="1" x14ac:dyDescent="0.15">
      <c r="A3" s="18" t="s">
        <v>47</v>
      </c>
      <c r="B3" s="18"/>
      <c r="C3" s="18" t="s">
        <v>48</v>
      </c>
      <c r="D3" s="75" t="s">
        <v>49</v>
      </c>
      <c r="E3" s="66"/>
      <c r="F3" s="67"/>
      <c r="G3" s="75" t="s">
        <v>50</v>
      </c>
      <c r="H3" s="66"/>
      <c r="I3" s="67"/>
      <c r="J3" s="75" t="s">
        <v>51</v>
      </c>
      <c r="K3" s="66"/>
      <c r="L3" s="67"/>
      <c r="M3" s="75" t="s">
        <v>52</v>
      </c>
      <c r="N3" s="66"/>
      <c r="O3" s="67"/>
      <c r="P3" s="75" t="s">
        <v>53</v>
      </c>
      <c r="Q3" s="66"/>
      <c r="R3" s="67"/>
      <c r="S3" s="75" t="s">
        <v>54</v>
      </c>
      <c r="T3" s="66"/>
      <c r="U3" s="67"/>
      <c r="V3" s="75" t="s">
        <v>55</v>
      </c>
      <c r="W3" s="66"/>
      <c r="X3" s="67"/>
      <c r="Y3" s="75" t="s">
        <v>56</v>
      </c>
      <c r="Z3" s="66"/>
      <c r="AA3" s="67"/>
      <c r="AB3" s="75" t="s">
        <v>57</v>
      </c>
      <c r="AC3" s="66"/>
      <c r="AD3" s="67"/>
      <c r="AE3" s="75" t="s">
        <v>58</v>
      </c>
      <c r="AF3" s="66"/>
      <c r="AG3" s="67"/>
      <c r="AH3" s="75" t="s">
        <v>59</v>
      </c>
      <c r="AI3" s="66"/>
      <c r="AJ3" s="67"/>
      <c r="AK3" s="75" t="s">
        <v>60</v>
      </c>
      <c r="AL3" s="66"/>
      <c r="AM3" s="67"/>
      <c r="AN3" s="75" t="s">
        <v>61</v>
      </c>
      <c r="AO3" s="66"/>
      <c r="AP3" s="67"/>
      <c r="AQ3" s="75" t="s">
        <v>62</v>
      </c>
      <c r="AR3" s="66"/>
      <c r="AS3" s="67"/>
      <c r="AT3" s="75" t="s">
        <v>63</v>
      </c>
      <c r="AU3" s="66"/>
      <c r="AV3" s="67"/>
      <c r="AW3" s="75" t="s">
        <v>64</v>
      </c>
      <c r="AX3" s="66"/>
      <c r="AY3" s="67"/>
      <c r="AZ3" s="75" t="s">
        <v>65</v>
      </c>
      <c r="BA3" s="66"/>
      <c r="BB3" s="67"/>
      <c r="BC3" s="75" t="s">
        <v>66</v>
      </c>
      <c r="BD3" s="66"/>
      <c r="BE3" s="67"/>
      <c r="BF3" s="75" t="s">
        <v>67</v>
      </c>
      <c r="BG3" s="66"/>
      <c r="BH3" s="67"/>
      <c r="BI3" s="75" t="s">
        <v>68</v>
      </c>
      <c r="BJ3" s="66"/>
      <c r="BK3" s="67"/>
      <c r="BL3" s="75" t="s">
        <v>69</v>
      </c>
      <c r="BM3" s="66"/>
      <c r="BN3" s="67"/>
      <c r="BO3" s="75" t="s">
        <v>70</v>
      </c>
      <c r="BP3" s="66"/>
      <c r="BQ3" s="67"/>
      <c r="BR3" s="75" t="s">
        <v>71</v>
      </c>
      <c r="BS3" s="66"/>
      <c r="BT3" s="67"/>
      <c r="BU3" s="75" t="s">
        <v>72</v>
      </c>
      <c r="BV3" s="66"/>
      <c r="BW3" s="67"/>
      <c r="BX3" s="75" t="s">
        <v>73</v>
      </c>
      <c r="BY3" s="66"/>
      <c r="BZ3" s="67"/>
      <c r="CA3" s="75" t="s">
        <v>74</v>
      </c>
      <c r="CB3" s="66"/>
      <c r="CC3" s="67"/>
      <c r="CD3" s="75" t="s">
        <v>75</v>
      </c>
      <c r="CE3" s="66"/>
      <c r="CF3" s="67"/>
      <c r="CG3" s="75" t="s">
        <v>76</v>
      </c>
      <c r="CH3" s="66"/>
      <c r="CI3" s="67"/>
      <c r="CJ3" s="75" t="s">
        <v>77</v>
      </c>
      <c r="CK3" s="66"/>
      <c r="CL3" s="67"/>
      <c r="CM3" s="75" t="s">
        <v>78</v>
      </c>
      <c r="CN3" s="66"/>
      <c r="CO3" s="67"/>
      <c r="CP3" s="75" t="s">
        <v>79</v>
      </c>
      <c r="CQ3" s="66"/>
      <c r="CR3" s="67"/>
      <c r="CS3" s="75" t="s">
        <v>80</v>
      </c>
      <c r="CT3" s="66"/>
      <c r="CU3" s="67"/>
      <c r="CV3" s="75" t="s">
        <v>81</v>
      </c>
      <c r="CW3" s="66"/>
      <c r="CX3" s="67"/>
      <c r="CY3" s="75" t="s">
        <v>82</v>
      </c>
      <c r="CZ3" s="66"/>
      <c r="DA3" s="66"/>
      <c r="DB3" s="67"/>
      <c r="DC3" s="75" t="s">
        <v>83</v>
      </c>
      <c r="DD3" s="66"/>
      <c r="DE3" s="66"/>
      <c r="DF3" s="67"/>
    </row>
    <row r="4" spans="1:110" ht="24" customHeight="1" x14ac:dyDescent="0.15">
      <c r="A4" s="18"/>
      <c r="B4" s="18"/>
      <c r="C4" s="18" t="s">
        <v>84</v>
      </c>
      <c r="D4" s="19"/>
      <c r="E4" s="20"/>
      <c r="F4" s="21"/>
      <c r="G4" s="19"/>
      <c r="H4" s="20"/>
      <c r="I4" s="21"/>
      <c r="J4" s="19"/>
      <c r="K4" s="20"/>
      <c r="L4" s="21"/>
      <c r="M4" s="19"/>
      <c r="N4" s="20"/>
      <c r="O4" s="21"/>
      <c r="P4" s="19"/>
      <c r="Q4" s="20"/>
      <c r="R4" s="21"/>
      <c r="S4" s="19"/>
      <c r="T4" s="20"/>
      <c r="U4" s="21"/>
      <c r="V4" s="19"/>
      <c r="W4" s="20"/>
      <c r="X4" s="21"/>
      <c r="Y4" s="19"/>
      <c r="Z4" s="20"/>
      <c r="AA4" s="21"/>
      <c r="AB4" s="19"/>
      <c r="AC4" s="20"/>
      <c r="AD4" s="21"/>
      <c r="AE4" s="19"/>
      <c r="AF4" s="20"/>
      <c r="AG4" s="21"/>
      <c r="AH4" s="19"/>
      <c r="AI4" s="20"/>
      <c r="AJ4" s="21"/>
      <c r="AK4" s="19"/>
      <c r="AL4" s="20"/>
      <c r="AM4" s="21"/>
      <c r="AN4" s="19" t="s">
        <v>85</v>
      </c>
      <c r="AO4" s="20"/>
      <c r="AP4" s="21"/>
      <c r="AQ4" s="19"/>
      <c r="AR4" s="20"/>
      <c r="AS4" s="21"/>
      <c r="AT4" s="19"/>
      <c r="AU4" s="20"/>
      <c r="AV4" s="21"/>
      <c r="AW4" s="19"/>
      <c r="AX4" s="20"/>
      <c r="AY4" s="21"/>
      <c r="AZ4" s="19"/>
      <c r="BA4" s="20"/>
      <c r="BB4" s="21"/>
      <c r="BC4" s="22"/>
      <c r="BD4" s="23"/>
      <c r="BE4" s="24"/>
      <c r="BF4" s="22"/>
      <c r="BG4" s="23"/>
      <c r="BH4" s="24"/>
      <c r="BI4" s="22"/>
      <c r="BJ4" s="23"/>
      <c r="BK4" s="24"/>
      <c r="BL4" s="22"/>
      <c r="BM4" s="23"/>
      <c r="BN4" s="24"/>
      <c r="BO4" s="22"/>
      <c r="BP4" s="23"/>
      <c r="BQ4" s="24"/>
      <c r="BR4" s="22"/>
      <c r="BS4" s="23"/>
      <c r="BT4" s="24"/>
      <c r="BU4" s="22"/>
      <c r="BV4" s="23"/>
      <c r="BW4" s="24"/>
      <c r="BX4" s="22"/>
      <c r="BY4" s="23"/>
      <c r="BZ4" s="24"/>
      <c r="CA4" s="22"/>
      <c r="CB4" s="23"/>
      <c r="CC4" s="24"/>
      <c r="CD4" s="22"/>
      <c r="CE4" s="23"/>
      <c r="CF4" s="24"/>
      <c r="CG4" s="22"/>
      <c r="CH4" s="23"/>
      <c r="CI4" s="24"/>
      <c r="CJ4" s="22"/>
      <c r="CK4" s="23"/>
      <c r="CL4" s="24"/>
      <c r="CM4" s="22"/>
      <c r="CN4" s="23"/>
      <c r="CO4" s="24"/>
      <c r="CP4" s="22"/>
      <c r="CQ4" s="23"/>
      <c r="CR4" s="24"/>
      <c r="CS4" s="22"/>
      <c r="CT4" s="23"/>
      <c r="CU4" s="24"/>
      <c r="CV4" s="22"/>
      <c r="CW4" s="23"/>
      <c r="CX4" s="24"/>
      <c r="CY4" s="22"/>
      <c r="CZ4" s="23"/>
      <c r="DA4" s="23"/>
      <c r="DB4" s="21"/>
      <c r="DC4" s="22"/>
      <c r="DD4" s="23"/>
      <c r="DE4" s="23"/>
      <c r="DF4" s="21"/>
    </row>
    <row r="5" spans="1:110" ht="24" customHeight="1" x14ac:dyDescent="0.15">
      <c r="A5" s="7"/>
      <c r="B5" s="7"/>
      <c r="C5" s="7"/>
      <c r="D5" s="25" t="s">
        <v>86</v>
      </c>
      <c r="E5" s="26" t="s">
        <v>87</v>
      </c>
      <c r="F5" s="26" t="s">
        <v>88</v>
      </c>
      <c r="G5" s="25" t="s">
        <v>89</v>
      </c>
      <c r="H5" s="26" t="s">
        <v>87</v>
      </c>
      <c r="I5" s="26" t="s">
        <v>90</v>
      </c>
      <c r="J5" s="25" t="s">
        <v>86</v>
      </c>
      <c r="K5" s="26" t="s">
        <v>87</v>
      </c>
      <c r="L5" s="26" t="s">
        <v>88</v>
      </c>
      <c r="M5" s="25" t="s">
        <v>86</v>
      </c>
      <c r="N5" s="26" t="s">
        <v>87</v>
      </c>
      <c r="O5" s="26" t="s">
        <v>88</v>
      </c>
      <c r="P5" s="25" t="s">
        <v>86</v>
      </c>
      <c r="Q5" s="26" t="s">
        <v>87</v>
      </c>
      <c r="R5" s="26" t="s">
        <v>88</v>
      </c>
      <c r="S5" s="25" t="s">
        <v>86</v>
      </c>
      <c r="T5" s="26" t="s">
        <v>87</v>
      </c>
      <c r="U5" s="26" t="s">
        <v>88</v>
      </c>
      <c r="V5" s="25" t="s">
        <v>86</v>
      </c>
      <c r="W5" s="26" t="s">
        <v>87</v>
      </c>
      <c r="X5" s="26" t="s">
        <v>88</v>
      </c>
      <c r="Y5" s="25" t="s">
        <v>86</v>
      </c>
      <c r="Z5" s="26" t="s">
        <v>87</v>
      </c>
      <c r="AA5" s="26" t="s">
        <v>88</v>
      </c>
      <c r="AB5" s="25" t="s">
        <v>86</v>
      </c>
      <c r="AC5" s="26" t="s">
        <v>87</v>
      </c>
      <c r="AD5" s="26" t="s">
        <v>88</v>
      </c>
      <c r="AE5" s="25" t="s">
        <v>86</v>
      </c>
      <c r="AF5" s="26" t="s">
        <v>87</v>
      </c>
      <c r="AG5" s="26" t="s">
        <v>88</v>
      </c>
      <c r="AH5" s="25" t="s">
        <v>86</v>
      </c>
      <c r="AI5" s="26" t="s">
        <v>87</v>
      </c>
      <c r="AJ5" s="26" t="s">
        <v>88</v>
      </c>
      <c r="AK5" s="25" t="s">
        <v>86</v>
      </c>
      <c r="AL5" s="26" t="s">
        <v>87</v>
      </c>
      <c r="AM5" s="26" t="s">
        <v>88</v>
      </c>
      <c r="AN5" s="25" t="s">
        <v>86</v>
      </c>
      <c r="AO5" s="26" t="s">
        <v>87</v>
      </c>
      <c r="AP5" s="26" t="s">
        <v>88</v>
      </c>
      <c r="AQ5" s="25" t="s">
        <v>86</v>
      </c>
      <c r="AR5" s="26" t="s">
        <v>87</v>
      </c>
      <c r="AS5" s="26" t="s">
        <v>88</v>
      </c>
      <c r="AT5" s="25" t="s">
        <v>86</v>
      </c>
      <c r="AU5" s="26" t="s">
        <v>87</v>
      </c>
      <c r="AV5" s="26" t="s">
        <v>88</v>
      </c>
      <c r="AW5" s="25" t="s">
        <v>86</v>
      </c>
      <c r="AX5" s="26" t="s">
        <v>87</v>
      </c>
      <c r="AY5" s="26" t="s">
        <v>88</v>
      </c>
      <c r="AZ5" s="25" t="s">
        <v>86</v>
      </c>
      <c r="BA5" s="26" t="s">
        <v>87</v>
      </c>
      <c r="BB5" s="26" t="s">
        <v>88</v>
      </c>
      <c r="BC5" s="27" t="s">
        <v>86</v>
      </c>
      <c r="BD5" s="28" t="s">
        <v>87</v>
      </c>
      <c r="BE5" s="28" t="s">
        <v>88</v>
      </c>
      <c r="BF5" s="27" t="s">
        <v>86</v>
      </c>
      <c r="BG5" s="28" t="s">
        <v>87</v>
      </c>
      <c r="BH5" s="28" t="s">
        <v>88</v>
      </c>
      <c r="BI5" s="27" t="s">
        <v>86</v>
      </c>
      <c r="BJ5" s="28" t="s">
        <v>87</v>
      </c>
      <c r="BK5" s="28" t="s">
        <v>88</v>
      </c>
      <c r="BL5" s="27" t="s">
        <v>86</v>
      </c>
      <c r="BM5" s="29" t="s">
        <v>87</v>
      </c>
      <c r="BN5" s="29" t="s">
        <v>88</v>
      </c>
      <c r="BO5" s="27" t="s">
        <v>86</v>
      </c>
      <c r="BP5" s="29" t="s">
        <v>87</v>
      </c>
      <c r="BQ5" s="29" t="s">
        <v>88</v>
      </c>
      <c r="BR5" s="27" t="s">
        <v>86</v>
      </c>
      <c r="BS5" s="29" t="s">
        <v>87</v>
      </c>
      <c r="BT5" s="29" t="s">
        <v>88</v>
      </c>
      <c r="BU5" s="27" t="s">
        <v>86</v>
      </c>
      <c r="BV5" s="29" t="s">
        <v>87</v>
      </c>
      <c r="BW5" s="29" t="s">
        <v>88</v>
      </c>
      <c r="BX5" s="27" t="s">
        <v>86</v>
      </c>
      <c r="BY5" s="29" t="s">
        <v>87</v>
      </c>
      <c r="BZ5" s="29" t="s">
        <v>88</v>
      </c>
      <c r="CA5" s="27" t="s">
        <v>86</v>
      </c>
      <c r="CB5" s="29" t="s">
        <v>87</v>
      </c>
      <c r="CC5" s="29" t="s">
        <v>88</v>
      </c>
      <c r="CD5" s="27" t="s">
        <v>86</v>
      </c>
      <c r="CE5" s="29" t="s">
        <v>87</v>
      </c>
      <c r="CF5" s="29" t="s">
        <v>88</v>
      </c>
      <c r="CG5" s="27" t="s">
        <v>86</v>
      </c>
      <c r="CH5" s="29" t="s">
        <v>87</v>
      </c>
      <c r="CI5" s="29" t="s">
        <v>88</v>
      </c>
      <c r="CJ5" s="27" t="s">
        <v>86</v>
      </c>
      <c r="CK5" s="29" t="s">
        <v>87</v>
      </c>
      <c r="CL5" s="29" t="s">
        <v>88</v>
      </c>
      <c r="CM5" s="27" t="s">
        <v>86</v>
      </c>
      <c r="CN5" s="29" t="s">
        <v>87</v>
      </c>
      <c r="CO5" s="29" t="s">
        <v>88</v>
      </c>
      <c r="CP5" s="27" t="s">
        <v>86</v>
      </c>
      <c r="CQ5" s="29" t="s">
        <v>87</v>
      </c>
      <c r="CR5" s="29" t="s">
        <v>88</v>
      </c>
      <c r="CS5" s="27" t="s">
        <v>86</v>
      </c>
      <c r="CT5" s="29" t="s">
        <v>87</v>
      </c>
      <c r="CU5" s="29" t="s">
        <v>88</v>
      </c>
      <c r="CV5" s="27" t="s">
        <v>86</v>
      </c>
      <c r="CW5" s="29" t="s">
        <v>87</v>
      </c>
      <c r="CX5" s="29" t="s">
        <v>88</v>
      </c>
      <c r="CY5" s="27" t="s">
        <v>86</v>
      </c>
      <c r="CZ5" s="29" t="s">
        <v>87</v>
      </c>
      <c r="DA5" s="29" t="s">
        <v>88</v>
      </c>
      <c r="DB5" s="7" t="s">
        <v>91</v>
      </c>
      <c r="DC5" s="27" t="s">
        <v>86</v>
      </c>
      <c r="DD5" s="29" t="s">
        <v>87</v>
      </c>
      <c r="DE5" s="29" t="s">
        <v>88</v>
      </c>
      <c r="DF5" s="7" t="s">
        <v>91</v>
      </c>
    </row>
    <row r="6" spans="1:110" ht="24" customHeight="1" x14ac:dyDescent="0.15">
      <c r="A6" s="78" t="s">
        <v>92</v>
      </c>
      <c r="B6" s="30">
        <v>1</v>
      </c>
      <c r="C6" s="30" t="str">
        <f t="shared" ref="C6:C35" si="0">ROMAN(B6)</f>
        <v>I</v>
      </c>
      <c r="D6" s="31">
        <v>2</v>
      </c>
      <c r="E6" s="1">
        <v>25</v>
      </c>
      <c r="F6" s="17">
        <v>33</v>
      </c>
      <c r="G6" s="31">
        <v>0</v>
      </c>
      <c r="H6" s="1">
        <v>3</v>
      </c>
      <c r="I6" s="17">
        <v>3</v>
      </c>
      <c r="J6" s="31">
        <v>0</v>
      </c>
      <c r="K6" s="1">
        <v>1</v>
      </c>
      <c r="L6" s="17">
        <v>1</v>
      </c>
      <c r="M6" s="32">
        <v>0</v>
      </c>
      <c r="N6" s="33">
        <v>1</v>
      </c>
      <c r="O6" s="34">
        <v>1</v>
      </c>
      <c r="P6" s="32">
        <v>0</v>
      </c>
      <c r="Q6" s="33">
        <v>0</v>
      </c>
      <c r="R6" s="34">
        <v>0</v>
      </c>
      <c r="S6" s="31">
        <v>0</v>
      </c>
      <c r="T6" s="1">
        <v>0</v>
      </c>
      <c r="U6" s="17">
        <v>0</v>
      </c>
      <c r="V6" s="32">
        <v>0</v>
      </c>
      <c r="W6" s="33">
        <v>0</v>
      </c>
      <c r="X6" s="34">
        <v>0</v>
      </c>
      <c r="Y6" s="32">
        <v>0</v>
      </c>
      <c r="Z6" s="33">
        <v>0</v>
      </c>
      <c r="AA6" s="34">
        <v>0</v>
      </c>
      <c r="AB6" s="32">
        <v>0</v>
      </c>
      <c r="AC6" s="33">
        <v>4</v>
      </c>
      <c r="AD6" s="34">
        <v>2</v>
      </c>
      <c r="AE6" s="32">
        <v>0</v>
      </c>
      <c r="AF6" s="33">
        <v>10</v>
      </c>
      <c r="AG6" s="34">
        <v>7</v>
      </c>
      <c r="AH6" s="32">
        <v>0</v>
      </c>
      <c r="AI6" s="33">
        <v>0</v>
      </c>
      <c r="AJ6" s="34">
        <v>0</v>
      </c>
      <c r="AK6" s="32">
        <v>0</v>
      </c>
      <c r="AL6" s="33">
        <v>0</v>
      </c>
      <c r="AM6" s="34">
        <v>0</v>
      </c>
      <c r="AN6" s="32">
        <v>2</v>
      </c>
      <c r="AO6" s="33">
        <v>11</v>
      </c>
      <c r="AP6" s="34">
        <v>10</v>
      </c>
      <c r="AQ6" s="32">
        <v>0</v>
      </c>
      <c r="AR6" s="33">
        <v>1</v>
      </c>
      <c r="AS6" s="34">
        <v>0</v>
      </c>
      <c r="AT6" s="32">
        <v>0</v>
      </c>
      <c r="AU6" s="33">
        <v>0</v>
      </c>
      <c r="AV6" s="34">
        <v>0</v>
      </c>
      <c r="AW6" s="32">
        <v>0</v>
      </c>
      <c r="AX6" s="33">
        <v>0</v>
      </c>
      <c r="AY6" s="34">
        <v>1</v>
      </c>
      <c r="AZ6" s="32">
        <v>0</v>
      </c>
      <c r="BA6" s="33">
        <v>0</v>
      </c>
      <c r="BB6" s="33">
        <v>0</v>
      </c>
      <c r="BC6" s="32">
        <v>2</v>
      </c>
      <c r="BD6" s="33">
        <v>10</v>
      </c>
      <c r="BE6" s="34">
        <v>10</v>
      </c>
      <c r="BF6" s="33">
        <v>0</v>
      </c>
      <c r="BG6" s="33">
        <v>0</v>
      </c>
      <c r="BH6" s="34">
        <v>1</v>
      </c>
      <c r="BI6" s="33">
        <v>0</v>
      </c>
      <c r="BJ6" s="33">
        <v>0</v>
      </c>
      <c r="BK6" s="34">
        <v>0</v>
      </c>
      <c r="BL6" s="32">
        <v>1</v>
      </c>
      <c r="BM6" s="33">
        <v>7</v>
      </c>
      <c r="BN6" s="34">
        <v>11</v>
      </c>
      <c r="BO6" s="32">
        <v>0</v>
      </c>
      <c r="BP6" s="33">
        <v>0</v>
      </c>
      <c r="BQ6" s="34">
        <v>0</v>
      </c>
      <c r="BR6" s="32">
        <v>0</v>
      </c>
      <c r="BS6" s="33">
        <v>0</v>
      </c>
      <c r="BT6" s="34">
        <v>4</v>
      </c>
      <c r="BU6" s="32">
        <v>0</v>
      </c>
      <c r="BV6" s="33">
        <v>0</v>
      </c>
      <c r="BW6" s="34">
        <v>0</v>
      </c>
      <c r="BX6" s="32">
        <v>0</v>
      </c>
      <c r="BY6" s="33">
        <v>3</v>
      </c>
      <c r="BZ6" s="34">
        <v>3</v>
      </c>
      <c r="CA6" s="32">
        <v>0</v>
      </c>
      <c r="CB6" s="33">
        <v>0</v>
      </c>
      <c r="CC6" s="34">
        <v>3</v>
      </c>
      <c r="CD6" s="32">
        <v>0</v>
      </c>
      <c r="CE6" s="33">
        <v>2</v>
      </c>
      <c r="CF6" s="34">
        <v>3</v>
      </c>
      <c r="CG6" s="32">
        <v>0</v>
      </c>
      <c r="CH6" s="33">
        <v>1</v>
      </c>
      <c r="CI6" s="34">
        <v>1</v>
      </c>
      <c r="CJ6" s="32">
        <v>0</v>
      </c>
      <c r="CK6" s="33">
        <v>1</v>
      </c>
      <c r="CL6" s="34">
        <v>4</v>
      </c>
      <c r="CM6" s="32">
        <v>0</v>
      </c>
      <c r="CN6" s="33">
        <v>0</v>
      </c>
      <c r="CO6" s="34">
        <v>0</v>
      </c>
      <c r="CP6" s="32">
        <v>0</v>
      </c>
      <c r="CQ6" s="33">
        <v>2</v>
      </c>
      <c r="CR6" s="34">
        <v>0</v>
      </c>
      <c r="CS6" s="32">
        <v>0</v>
      </c>
      <c r="CT6" s="33">
        <v>0</v>
      </c>
      <c r="CU6" s="34">
        <v>0</v>
      </c>
      <c r="CV6" s="33">
        <v>0</v>
      </c>
      <c r="CW6" s="33">
        <v>0</v>
      </c>
      <c r="CX6" s="33">
        <v>0</v>
      </c>
      <c r="CY6" s="32">
        <f>SUMIF(D5:CX5,"*Große Werdienſtmedaillen*",D6:CX6)</f>
        <v>7</v>
      </c>
      <c r="CZ6" s="33">
        <f>SUMIF(D5:CX5,"*Preismedaillen*",D6:CX6)</f>
        <v>82</v>
      </c>
      <c r="DA6" s="34">
        <f>SUMIF(D5:CX5,"*Ehrenbolle Rwähnungen*",D6:CX6)</f>
        <v>95</v>
      </c>
      <c r="DB6" s="34">
        <f t="shared" ref="DB6:DB35" si="1">SUM(D6:CX6)</f>
        <v>187</v>
      </c>
      <c r="DC6" s="62">
        <f t="shared" ref="DC6:DF6" si="2">SUM(CY6:CY9)</f>
        <v>28</v>
      </c>
      <c r="DD6" s="62">
        <f t="shared" si="2"/>
        <v>552</v>
      </c>
      <c r="DE6" s="62">
        <f t="shared" si="2"/>
        <v>645</v>
      </c>
      <c r="DF6" s="62">
        <f t="shared" si="2"/>
        <v>1255</v>
      </c>
    </row>
    <row r="7" spans="1:110" ht="24" customHeight="1" x14ac:dyDescent="0.15">
      <c r="A7" s="76"/>
      <c r="B7" s="30">
        <v>2</v>
      </c>
      <c r="C7" s="30" t="str">
        <f t="shared" si="0"/>
        <v>II</v>
      </c>
      <c r="D7" s="31">
        <v>1</v>
      </c>
      <c r="E7" s="1">
        <v>39</v>
      </c>
      <c r="F7" s="17">
        <v>33</v>
      </c>
      <c r="G7" s="31">
        <v>0</v>
      </c>
      <c r="H7" s="1">
        <v>0</v>
      </c>
      <c r="I7" s="17">
        <v>0</v>
      </c>
      <c r="J7" s="31">
        <v>0</v>
      </c>
      <c r="K7" s="1">
        <v>0</v>
      </c>
      <c r="L7" s="17">
        <v>0</v>
      </c>
      <c r="M7" s="31">
        <v>0</v>
      </c>
      <c r="N7" s="1">
        <v>0</v>
      </c>
      <c r="O7" s="17">
        <v>0</v>
      </c>
      <c r="P7" s="31">
        <v>0</v>
      </c>
      <c r="Q7" s="1">
        <v>0</v>
      </c>
      <c r="R7" s="17">
        <v>0</v>
      </c>
      <c r="S7" s="31">
        <v>0</v>
      </c>
      <c r="T7" s="1">
        <v>0</v>
      </c>
      <c r="U7" s="17">
        <v>0</v>
      </c>
      <c r="V7" s="31">
        <v>0</v>
      </c>
      <c r="W7" s="1">
        <v>0</v>
      </c>
      <c r="X7" s="17">
        <v>0</v>
      </c>
      <c r="Y7" s="31">
        <v>0</v>
      </c>
      <c r="Z7" s="1">
        <v>0</v>
      </c>
      <c r="AA7" s="17">
        <v>0</v>
      </c>
      <c r="AB7" s="31">
        <v>0</v>
      </c>
      <c r="AC7" s="1">
        <v>1</v>
      </c>
      <c r="AD7" s="17">
        <v>1</v>
      </c>
      <c r="AE7" s="31">
        <v>0</v>
      </c>
      <c r="AF7" s="1">
        <v>2</v>
      </c>
      <c r="AG7" s="17">
        <v>2</v>
      </c>
      <c r="AH7" s="31">
        <v>0</v>
      </c>
      <c r="AI7" s="1">
        <v>0</v>
      </c>
      <c r="AJ7" s="17">
        <v>0</v>
      </c>
      <c r="AK7" s="31">
        <v>0</v>
      </c>
      <c r="AL7" s="1">
        <v>0</v>
      </c>
      <c r="AM7" s="17">
        <v>0</v>
      </c>
      <c r="AN7" s="31">
        <v>0</v>
      </c>
      <c r="AO7" s="1">
        <v>15</v>
      </c>
      <c r="AP7" s="17">
        <v>8</v>
      </c>
      <c r="AQ7" s="31">
        <v>0</v>
      </c>
      <c r="AR7" s="1">
        <v>1</v>
      </c>
      <c r="AS7" s="17">
        <v>2</v>
      </c>
      <c r="AT7" s="31">
        <v>0</v>
      </c>
      <c r="AU7" s="1">
        <v>1</v>
      </c>
      <c r="AV7" s="17">
        <v>0</v>
      </c>
      <c r="AW7" s="31">
        <v>0</v>
      </c>
      <c r="AX7" s="1">
        <v>2</v>
      </c>
      <c r="AY7" s="17">
        <v>0</v>
      </c>
      <c r="AZ7" s="31">
        <v>0</v>
      </c>
      <c r="BA7" s="1">
        <v>1</v>
      </c>
      <c r="BB7" s="1">
        <v>0</v>
      </c>
      <c r="BC7" s="31">
        <v>2</v>
      </c>
      <c r="BD7" s="1">
        <v>20</v>
      </c>
      <c r="BE7" s="17">
        <v>9</v>
      </c>
      <c r="BF7" s="1">
        <v>0</v>
      </c>
      <c r="BG7" s="1">
        <v>0</v>
      </c>
      <c r="BH7" s="17">
        <v>0</v>
      </c>
      <c r="BI7" s="1">
        <v>0</v>
      </c>
      <c r="BJ7" s="1">
        <v>1</v>
      </c>
      <c r="BK7" s="17">
        <v>2</v>
      </c>
      <c r="BL7" s="31">
        <v>0</v>
      </c>
      <c r="BM7" s="1">
        <v>5</v>
      </c>
      <c r="BN7" s="17">
        <v>9</v>
      </c>
      <c r="BO7" s="31">
        <v>0</v>
      </c>
      <c r="BP7" s="1">
        <v>0</v>
      </c>
      <c r="BQ7" s="17">
        <v>0</v>
      </c>
      <c r="BR7" s="31">
        <v>0</v>
      </c>
      <c r="BS7" s="1">
        <v>0</v>
      </c>
      <c r="BT7" s="17">
        <v>0</v>
      </c>
      <c r="BU7" s="31">
        <v>0</v>
      </c>
      <c r="BV7" s="1">
        <v>0</v>
      </c>
      <c r="BW7" s="17">
        <v>0</v>
      </c>
      <c r="BX7" s="31">
        <v>0</v>
      </c>
      <c r="BY7" s="1">
        <v>2</v>
      </c>
      <c r="BZ7" s="17">
        <v>1</v>
      </c>
      <c r="CA7" s="31">
        <v>0</v>
      </c>
      <c r="CB7" s="1">
        <v>2</v>
      </c>
      <c r="CC7" s="17">
        <v>3</v>
      </c>
      <c r="CD7" s="31">
        <v>0</v>
      </c>
      <c r="CE7" s="1">
        <v>0</v>
      </c>
      <c r="CF7" s="17">
        <v>0</v>
      </c>
      <c r="CG7" s="31">
        <v>0</v>
      </c>
      <c r="CH7" s="1">
        <v>0</v>
      </c>
      <c r="CI7" s="17">
        <v>0</v>
      </c>
      <c r="CJ7" s="31">
        <v>0</v>
      </c>
      <c r="CK7" s="1">
        <v>0</v>
      </c>
      <c r="CL7" s="17">
        <v>1</v>
      </c>
      <c r="CM7" s="31">
        <v>0</v>
      </c>
      <c r="CN7" s="1">
        <v>0</v>
      </c>
      <c r="CO7" s="17">
        <v>0</v>
      </c>
      <c r="CP7" s="31">
        <v>1</v>
      </c>
      <c r="CQ7" s="1">
        <v>2</v>
      </c>
      <c r="CR7" s="17">
        <v>1</v>
      </c>
      <c r="CS7" s="31">
        <v>0</v>
      </c>
      <c r="CT7" s="1">
        <v>0</v>
      </c>
      <c r="CU7" s="17">
        <v>0</v>
      </c>
      <c r="CV7" s="1">
        <v>0</v>
      </c>
      <c r="CW7" s="1">
        <v>0</v>
      </c>
      <c r="CX7" s="1">
        <v>0</v>
      </c>
      <c r="CY7" s="31">
        <f>SUMIF(D5:CX5,"*Große Werdienſtmedaillen*",D7:CX7)</f>
        <v>4</v>
      </c>
      <c r="CZ7" s="1">
        <f>SUMIF(D5:CX5,"*Preismedaillen*",D7:CX7)</f>
        <v>94</v>
      </c>
      <c r="DA7" s="17">
        <f>SUMIF(D5:CX5,"*Ehrenbolle Rwähnungen*",D7:CX7)</f>
        <v>72</v>
      </c>
      <c r="DB7" s="34">
        <f t="shared" si="1"/>
        <v>170</v>
      </c>
      <c r="DC7" s="76"/>
      <c r="DD7" s="76"/>
      <c r="DE7" s="76"/>
      <c r="DF7" s="76"/>
    </row>
    <row r="8" spans="1:110" ht="24" customHeight="1" x14ac:dyDescent="0.15">
      <c r="A8" s="76"/>
      <c r="B8" s="30">
        <v>3</v>
      </c>
      <c r="C8" s="30" t="str">
        <f t="shared" si="0"/>
        <v>III</v>
      </c>
      <c r="D8" s="31">
        <v>1</v>
      </c>
      <c r="E8" s="1">
        <v>35</v>
      </c>
      <c r="F8" s="17">
        <v>22</v>
      </c>
      <c r="G8" s="31">
        <v>0</v>
      </c>
      <c r="H8" s="1">
        <v>10</v>
      </c>
      <c r="I8" s="17">
        <v>12</v>
      </c>
      <c r="J8" s="31">
        <v>0</v>
      </c>
      <c r="K8" s="1">
        <v>6</v>
      </c>
      <c r="L8" s="17">
        <v>8</v>
      </c>
      <c r="M8" s="31">
        <v>0</v>
      </c>
      <c r="N8" s="1">
        <v>7</v>
      </c>
      <c r="O8" s="17">
        <v>4</v>
      </c>
      <c r="P8" s="31">
        <v>0</v>
      </c>
      <c r="Q8" s="1">
        <v>3</v>
      </c>
      <c r="R8" s="17">
        <v>2</v>
      </c>
      <c r="S8" s="31">
        <v>0</v>
      </c>
      <c r="T8" s="1">
        <v>0</v>
      </c>
      <c r="U8" s="17">
        <v>1</v>
      </c>
      <c r="V8" s="31">
        <v>0</v>
      </c>
      <c r="W8" s="1">
        <v>3</v>
      </c>
      <c r="X8" s="17">
        <v>4</v>
      </c>
      <c r="Y8" s="31">
        <v>0</v>
      </c>
      <c r="Z8" s="1">
        <v>1</v>
      </c>
      <c r="AA8" s="17">
        <v>3</v>
      </c>
      <c r="AB8" s="31">
        <v>1</v>
      </c>
      <c r="AC8" s="1">
        <v>13</v>
      </c>
      <c r="AD8" s="17">
        <v>9</v>
      </c>
      <c r="AE8" s="31">
        <v>0</v>
      </c>
      <c r="AF8" s="1">
        <v>1</v>
      </c>
      <c r="AG8" s="17">
        <v>6</v>
      </c>
      <c r="AH8" s="31">
        <v>0</v>
      </c>
      <c r="AI8" s="1">
        <v>1</v>
      </c>
      <c r="AJ8" s="17">
        <v>0</v>
      </c>
      <c r="AK8" s="31">
        <v>0</v>
      </c>
      <c r="AL8" s="1">
        <v>0</v>
      </c>
      <c r="AM8" s="17">
        <v>1</v>
      </c>
      <c r="AN8" s="31">
        <v>0</v>
      </c>
      <c r="AO8" s="1">
        <v>2</v>
      </c>
      <c r="AP8" s="17">
        <v>6</v>
      </c>
      <c r="AQ8" s="31">
        <v>0</v>
      </c>
      <c r="AR8" s="1">
        <v>0</v>
      </c>
      <c r="AS8" s="17">
        <v>0</v>
      </c>
      <c r="AT8" s="31">
        <v>0</v>
      </c>
      <c r="AU8" s="1">
        <v>0</v>
      </c>
      <c r="AV8" s="17">
        <v>0</v>
      </c>
      <c r="AW8" s="31">
        <v>0</v>
      </c>
      <c r="AX8" s="1">
        <v>0</v>
      </c>
      <c r="AY8" s="17">
        <v>0</v>
      </c>
      <c r="AZ8" s="31">
        <v>0</v>
      </c>
      <c r="BA8" s="1">
        <v>1</v>
      </c>
      <c r="BB8" s="1">
        <v>1</v>
      </c>
      <c r="BC8" s="31">
        <v>4</v>
      </c>
      <c r="BD8" s="1">
        <v>19</v>
      </c>
      <c r="BE8" s="17">
        <v>22</v>
      </c>
      <c r="BF8" s="1">
        <v>0</v>
      </c>
      <c r="BG8" s="1">
        <v>0</v>
      </c>
      <c r="BH8" s="17">
        <v>2</v>
      </c>
      <c r="BI8" s="1">
        <v>0</v>
      </c>
      <c r="BJ8" s="1">
        <v>0</v>
      </c>
      <c r="BK8" s="17">
        <v>1</v>
      </c>
      <c r="BL8" s="31">
        <v>0</v>
      </c>
      <c r="BM8" s="1">
        <v>2</v>
      </c>
      <c r="BN8" s="17">
        <v>4</v>
      </c>
      <c r="BO8" s="31">
        <v>0</v>
      </c>
      <c r="BP8" s="1">
        <v>0</v>
      </c>
      <c r="BQ8" s="17">
        <v>0</v>
      </c>
      <c r="BR8" s="31">
        <v>0</v>
      </c>
      <c r="BS8" s="1">
        <v>3</v>
      </c>
      <c r="BT8" s="17">
        <v>3</v>
      </c>
      <c r="BU8" s="31">
        <v>0</v>
      </c>
      <c r="BV8" s="1">
        <v>0</v>
      </c>
      <c r="BW8" s="17">
        <v>0</v>
      </c>
      <c r="BX8" s="31">
        <v>0</v>
      </c>
      <c r="BY8" s="1">
        <v>8</v>
      </c>
      <c r="BZ8" s="17">
        <v>13</v>
      </c>
      <c r="CA8" s="31">
        <v>0</v>
      </c>
      <c r="CB8" s="1">
        <v>2</v>
      </c>
      <c r="CC8" s="17">
        <v>0</v>
      </c>
      <c r="CD8" s="31">
        <v>0</v>
      </c>
      <c r="CE8" s="1">
        <v>0</v>
      </c>
      <c r="CF8" s="17">
        <v>0</v>
      </c>
      <c r="CG8" s="31">
        <v>0</v>
      </c>
      <c r="CH8" s="1">
        <v>1</v>
      </c>
      <c r="CI8" s="17">
        <v>1</v>
      </c>
      <c r="CJ8" s="31">
        <v>0</v>
      </c>
      <c r="CK8" s="1">
        <v>8</v>
      </c>
      <c r="CL8" s="17">
        <v>7</v>
      </c>
      <c r="CM8" s="31">
        <v>0</v>
      </c>
      <c r="CN8" s="1">
        <v>0</v>
      </c>
      <c r="CO8" s="17">
        <v>0</v>
      </c>
      <c r="CP8" s="31">
        <v>0</v>
      </c>
      <c r="CQ8" s="1">
        <v>1</v>
      </c>
      <c r="CR8" s="17">
        <v>0</v>
      </c>
      <c r="CS8" s="31">
        <v>0</v>
      </c>
      <c r="CT8" s="1">
        <v>1</v>
      </c>
      <c r="CU8" s="17">
        <v>0</v>
      </c>
      <c r="CV8" s="1">
        <v>0</v>
      </c>
      <c r="CW8" s="1">
        <v>1</v>
      </c>
      <c r="CX8" s="1">
        <v>0</v>
      </c>
      <c r="CY8" s="31">
        <f>SUMIF(D5:CX5,"*Große Werdienſtmedaillen*",D8:CX8)</f>
        <v>6</v>
      </c>
      <c r="CZ8" s="1">
        <f>SUMIF(D5:CX5,"*Preismedaillen*",D8:CX8)</f>
        <v>129</v>
      </c>
      <c r="DA8" s="17">
        <f>SUMIF(D5:CX5,"*Ehrenbolle Rwähnungen*",D8:CX8)</f>
        <v>120</v>
      </c>
      <c r="DB8" s="34">
        <f t="shared" si="1"/>
        <v>267</v>
      </c>
      <c r="DC8" s="76"/>
      <c r="DD8" s="76"/>
      <c r="DE8" s="76"/>
      <c r="DF8" s="76"/>
    </row>
    <row r="9" spans="1:110" ht="24" customHeight="1" x14ac:dyDescent="0.15">
      <c r="A9" s="61"/>
      <c r="B9" s="30">
        <v>4</v>
      </c>
      <c r="C9" s="30" t="str">
        <f t="shared" si="0"/>
        <v>IV</v>
      </c>
      <c r="D9" s="31">
        <v>2</v>
      </c>
      <c r="E9" s="1">
        <v>29</v>
      </c>
      <c r="F9" s="17">
        <v>44</v>
      </c>
      <c r="G9" s="31">
        <v>0</v>
      </c>
      <c r="H9" s="1">
        <v>2</v>
      </c>
      <c r="I9" s="17">
        <v>15</v>
      </c>
      <c r="J9" s="31">
        <v>0</v>
      </c>
      <c r="K9" s="1">
        <v>13</v>
      </c>
      <c r="L9" s="17">
        <v>32</v>
      </c>
      <c r="M9" s="31">
        <v>1</v>
      </c>
      <c r="N9" s="1">
        <v>37</v>
      </c>
      <c r="O9" s="17">
        <v>21</v>
      </c>
      <c r="P9" s="31">
        <v>0</v>
      </c>
      <c r="Q9" s="1">
        <v>10</v>
      </c>
      <c r="R9" s="17">
        <v>9</v>
      </c>
      <c r="S9" s="31">
        <v>0</v>
      </c>
      <c r="T9" s="1">
        <v>1</v>
      </c>
      <c r="U9" s="17">
        <v>1</v>
      </c>
      <c r="V9" s="31">
        <v>0</v>
      </c>
      <c r="W9" s="1">
        <v>8</v>
      </c>
      <c r="X9" s="17">
        <v>7</v>
      </c>
      <c r="Y9" s="31">
        <v>1</v>
      </c>
      <c r="Z9" s="1">
        <v>1</v>
      </c>
      <c r="AA9" s="17">
        <v>2</v>
      </c>
      <c r="AB9" s="31">
        <v>0</v>
      </c>
      <c r="AC9" s="1">
        <v>20</v>
      </c>
      <c r="AD9" s="17">
        <v>15</v>
      </c>
      <c r="AE9" s="31">
        <v>0</v>
      </c>
      <c r="AF9" s="1">
        <v>10</v>
      </c>
      <c r="AG9" s="17">
        <v>18</v>
      </c>
      <c r="AH9" s="31">
        <v>0</v>
      </c>
      <c r="AI9" s="1">
        <v>1</v>
      </c>
      <c r="AJ9" s="17">
        <v>6</v>
      </c>
      <c r="AK9" s="31">
        <v>0</v>
      </c>
      <c r="AL9" s="1">
        <v>0</v>
      </c>
      <c r="AM9" s="17">
        <v>0</v>
      </c>
      <c r="AN9" s="31">
        <v>0</v>
      </c>
      <c r="AO9" s="1">
        <v>11</v>
      </c>
      <c r="AP9" s="17">
        <v>27</v>
      </c>
      <c r="AQ9" s="31">
        <v>0</v>
      </c>
      <c r="AR9" s="1">
        <v>1</v>
      </c>
      <c r="AS9" s="17">
        <v>1</v>
      </c>
      <c r="AT9" s="31">
        <v>0</v>
      </c>
      <c r="AU9" s="1">
        <v>0</v>
      </c>
      <c r="AV9" s="17">
        <v>4</v>
      </c>
      <c r="AW9" s="31">
        <v>0</v>
      </c>
      <c r="AX9" s="1">
        <v>1</v>
      </c>
      <c r="AY9" s="17">
        <v>0</v>
      </c>
      <c r="AZ9" s="31">
        <v>0</v>
      </c>
      <c r="BA9" s="1">
        <v>0</v>
      </c>
      <c r="BB9" s="1">
        <v>1</v>
      </c>
      <c r="BC9" s="31">
        <v>4</v>
      </c>
      <c r="BD9" s="1">
        <v>50</v>
      </c>
      <c r="BE9" s="17">
        <v>62</v>
      </c>
      <c r="BF9" s="1">
        <v>0</v>
      </c>
      <c r="BG9" s="1">
        <v>0</v>
      </c>
      <c r="BH9" s="17">
        <v>1</v>
      </c>
      <c r="BI9" s="1">
        <v>0</v>
      </c>
      <c r="BJ9" s="1">
        <v>2</v>
      </c>
      <c r="BK9" s="17">
        <v>5</v>
      </c>
      <c r="BL9" s="31">
        <v>0</v>
      </c>
      <c r="BM9" s="1">
        <v>12</v>
      </c>
      <c r="BN9" s="17">
        <v>11</v>
      </c>
      <c r="BO9" s="31">
        <v>0</v>
      </c>
      <c r="BP9" s="1">
        <v>0</v>
      </c>
      <c r="BQ9" s="17">
        <v>1</v>
      </c>
      <c r="BR9" s="31">
        <v>0</v>
      </c>
      <c r="BS9" s="1">
        <v>3</v>
      </c>
      <c r="BT9" s="17">
        <v>17</v>
      </c>
      <c r="BU9" s="31">
        <v>0</v>
      </c>
      <c r="BV9" s="1">
        <v>0</v>
      </c>
      <c r="BW9" s="17">
        <v>2</v>
      </c>
      <c r="BX9" s="31">
        <v>0</v>
      </c>
      <c r="BY9" s="1">
        <v>10</v>
      </c>
      <c r="BZ9" s="17">
        <v>29</v>
      </c>
      <c r="CA9" s="31">
        <v>0</v>
      </c>
      <c r="CB9" s="1">
        <v>2</v>
      </c>
      <c r="CC9" s="17">
        <v>7</v>
      </c>
      <c r="CD9" s="31">
        <v>0</v>
      </c>
      <c r="CE9" s="1">
        <v>0</v>
      </c>
      <c r="CF9" s="17">
        <v>1</v>
      </c>
      <c r="CG9" s="31">
        <v>0</v>
      </c>
      <c r="CH9" s="1">
        <v>0</v>
      </c>
      <c r="CI9" s="17">
        <v>0</v>
      </c>
      <c r="CJ9" s="31">
        <v>1</v>
      </c>
      <c r="CK9" s="1">
        <v>13</v>
      </c>
      <c r="CL9" s="17">
        <v>18</v>
      </c>
      <c r="CM9" s="31">
        <v>0</v>
      </c>
      <c r="CN9" s="1">
        <v>0</v>
      </c>
      <c r="CO9" s="17">
        <v>2</v>
      </c>
      <c r="CP9" s="31">
        <v>0</v>
      </c>
      <c r="CQ9" s="1">
        <v>9</v>
      </c>
      <c r="CR9" s="17">
        <v>12</v>
      </c>
      <c r="CS9" s="31">
        <v>1</v>
      </c>
      <c r="CT9" s="1">
        <v>1</v>
      </c>
      <c r="CU9" s="17">
        <v>2</v>
      </c>
      <c r="CV9" s="1">
        <v>1</v>
      </c>
      <c r="CW9" s="1">
        <v>0</v>
      </c>
      <c r="CX9" s="1">
        <v>0</v>
      </c>
      <c r="CY9" s="31">
        <f>SUMIF(D5:CX5,"*Große Werdienſtmedaillen*",D9:CX9)</f>
        <v>11</v>
      </c>
      <c r="CZ9" s="1">
        <f>SUMIF(D5:CX5,"*Preismedaillen*",D9:CX9)</f>
        <v>247</v>
      </c>
      <c r="DA9" s="17">
        <f>SUMIF(D5:CX5,"*Ehrenbolle Rwähnungen*",D9:CX9)</f>
        <v>358</v>
      </c>
      <c r="DB9" s="34">
        <f t="shared" si="1"/>
        <v>631</v>
      </c>
      <c r="DC9" s="61"/>
      <c r="DD9" s="61"/>
      <c r="DE9" s="61"/>
      <c r="DF9" s="61"/>
    </row>
    <row r="10" spans="1:110" ht="24" customHeight="1" x14ac:dyDescent="0.15">
      <c r="A10" s="78" t="s">
        <v>93</v>
      </c>
      <c r="B10" s="30">
        <v>5</v>
      </c>
      <c r="C10" s="30" t="str">
        <f t="shared" si="0"/>
        <v>V</v>
      </c>
      <c r="D10" s="31">
        <v>4</v>
      </c>
      <c r="E10" s="1">
        <v>65</v>
      </c>
      <c r="F10" s="17">
        <v>0</v>
      </c>
      <c r="G10" s="31">
        <v>0</v>
      </c>
      <c r="H10" s="1">
        <v>1</v>
      </c>
      <c r="I10" s="17">
        <v>0</v>
      </c>
      <c r="J10" s="31">
        <v>0</v>
      </c>
      <c r="K10" s="1">
        <v>0</v>
      </c>
      <c r="L10" s="17">
        <v>0</v>
      </c>
      <c r="M10" s="31">
        <v>0</v>
      </c>
      <c r="N10" s="1">
        <v>0</v>
      </c>
      <c r="O10" s="17">
        <v>0</v>
      </c>
      <c r="P10" s="31">
        <v>0</v>
      </c>
      <c r="Q10" s="1">
        <v>0</v>
      </c>
      <c r="R10" s="17">
        <v>0</v>
      </c>
      <c r="S10" s="31">
        <v>0</v>
      </c>
      <c r="T10" s="1">
        <v>0</v>
      </c>
      <c r="U10" s="17">
        <v>0</v>
      </c>
      <c r="V10" s="31">
        <v>0</v>
      </c>
      <c r="W10" s="1">
        <v>0</v>
      </c>
      <c r="X10" s="17">
        <v>0</v>
      </c>
      <c r="Y10" s="31">
        <v>0</v>
      </c>
      <c r="Z10" s="1">
        <v>0</v>
      </c>
      <c r="AA10" s="17">
        <v>0</v>
      </c>
      <c r="AB10" s="31">
        <v>0</v>
      </c>
      <c r="AC10" s="1">
        <v>2</v>
      </c>
      <c r="AD10" s="17">
        <v>0</v>
      </c>
      <c r="AE10" s="31">
        <v>1</v>
      </c>
      <c r="AF10" s="1">
        <v>3</v>
      </c>
      <c r="AG10" s="17">
        <v>0</v>
      </c>
      <c r="AH10" s="31">
        <v>0</v>
      </c>
      <c r="AI10" s="1">
        <v>0</v>
      </c>
      <c r="AJ10" s="17">
        <v>0</v>
      </c>
      <c r="AK10" s="31">
        <v>0</v>
      </c>
      <c r="AL10" s="1">
        <v>0</v>
      </c>
      <c r="AM10" s="17">
        <v>0</v>
      </c>
      <c r="AN10" s="31">
        <v>0</v>
      </c>
      <c r="AO10" s="1">
        <v>1</v>
      </c>
      <c r="AP10" s="17">
        <v>0</v>
      </c>
      <c r="AQ10" s="31">
        <v>0</v>
      </c>
      <c r="AR10" s="1">
        <v>0</v>
      </c>
      <c r="AS10" s="17">
        <v>0</v>
      </c>
      <c r="AT10" s="31">
        <v>0</v>
      </c>
      <c r="AU10" s="1">
        <v>0</v>
      </c>
      <c r="AV10" s="17">
        <v>0</v>
      </c>
      <c r="AW10" s="31">
        <v>0</v>
      </c>
      <c r="AX10" s="1">
        <v>0</v>
      </c>
      <c r="AY10" s="17">
        <v>0</v>
      </c>
      <c r="AZ10" s="31">
        <v>0</v>
      </c>
      <c r="BA10" s="1">
        <v>0</v>
      </c>
      <c r="BB10" s="1">
        <v>0</v>
      </c>
      <c r="BC10" s="31">
        <v>1</v>
      </c>
      <c r="BD10" s="1">
        <v>10</v>
      </c>
      <c r="BE10" s="17">
        <v>0</v>
      </c>
      <c r="BF10" s="1">
        <v>0</v>
      </c>
      <c r="BG10" s="1">
        <v>0</v>
      </c>
      <c r="BH10" s="17">
        <v>0</v>
      </c>
      <c r="BI10" s="1">
        <v>0</v>
      </c>
      <c r="BJ10" s="1">
        <v>1</v>
      </c>
      <c r="BK10" s="17">
        <v>0</v>
      </c>
      <c r="BL10" s="31">
        <v>0</v>
      </c>
      <c r="BM10" s="1">
        <v>1</v>
      </c>
      <c r="BN10" s="17">
        <v>0</v>
      </c>
      <c r="BO10" s="31">
        <v>0</v>
      </c>
      <c r="BP10" s="1">
        <v>0</v>
      </c>
      <c r="BQ10" s="17">
        <v>0</v>
      </c>
      <c r="BR10" s="31">
        <v>0</v>
      </c>
      <c r="BS10" s="1">
        <v>0</v>
      </c>
      <c r="BT10" s="17">
        <v>0</v>
      </c>
      <c r="BU10" s="31">
        <v>0</v>
      </c>
      <c r="BV10" s="1">
        <v>0</v>
      </c>
      <c r="BW10" s="17">
        <v>0</v>
      </c>
      <c r="BX10" s="31">
        <v>0</v>
      </c>
      <c r="BY10" s="1">
        <v>0</v>
      </c>
      <c r="BZ10" s="17">
        <v>0</v>
      </c>
      <c r="CA10" s="31">
        <v>0</v>
      </c>
      <c r="CB10" s="1">
        <v>0</v>
      </c>
      <c r="CC10" s="17">
        <v>0</v>
      </c>
      <c r="CD10" s="31">
        <v>0</v>
      </c>
      <c r="CE10" s="1">
        <v>0</v>
      </c>
      <c r="CF10" s="17">
        <v>0</v>
      </c>
      <c r="CG10" s="31">
        <v>0</v>
      </c>
      <c r="CH10" s="1">
        <v>0</v>
      </c>
      <c r="CI10" s="17">
        <v>0</v>
      </c>
      <c r="CJ10" s="31">
        <v>0</v>
      </c>
      <c r="CK10" s="1">
        <v>0</v>
      </c>
      <c r="CL10" s="17">
        <v>0</v>
      </c>
      <c r="CM10" s="31">
        <v>0</v>
      </c>
      <c r="CN10" s="1">
        <v>0</v>
      </c>
      <c r="CO10" s="17">
        <v>0</v>
      </c>
      <c r="CP10" s="31">
        <v>0</v>
      </c>
      <c r="CQ10" s="1">
        <v>0</v>
      </c>
      <c r="CR10" s="17">
        <v>0</v>
      </c>
      <c r="CS10" s="31">
        <v>0</v>
      </c>
      <c r="CT10" s="1">
        <v>0</v>
      </c>
      <c r="CU10" s="17">
        <v>0</v>
      </c>
      <c r="CV10" s="1">
        <v>0</v>
      </c>
      <c r="CW10" s="1">
        <v>0</v>
      </c>
      <c r="CX10" s="1">
        <v>0</v>
      </c>
      <c r="CY10" s="32">
        <f>SUMIF(D5:CX5,"*Große Werdienſtmedaillen*",D10:CX10)</f>
        <v>6</v>
      </c>
      <c r="CZ10" s="33">
        <f>SUMIF(D5:CX5,"*Preismedaillen*",D10:CX10)</f>
        <v>84</v>
      </c>
      <c r="DA10" s="34">
        <f>SUMIF(D5:CX5,"*Ehrenbolle Rwähnungen*",D10:CX10)</f>
        <v>0</v>
      </c>
      <c r="DB10" s="34">
        <f t="shared" si="1"/>
        <v>90</v>
      </c>
      <c r="DC10" s="62">
        <f t="shared" ref="DC10:DF10" si="3">SUM(CY10:CY15)</f>
        <v>88</v>
      </c>
      <c r="DD10" s="62">
        <f t="shared" si="3"/>
        <v>516</v>
      </c>
      <c r="DE10" s="62">
        <f t="shared" si="3"/>
        <v>162</v>
      </c>
      <c r="DF10" s="62">
        <f t="shared" si="3"/>
        <v>767</v>
      </c>
    </row>
    <row r="11" spans="1:110" ht="24" customHeight="1" x14ac:dyDescent="0.15">
      <c r="A11" s="76"/>
      <c r="B11" s="30">
        <v>6</v>
      </c>
      <c r="C11" s="30" t="str">
        <f t="shared" si="0"/>
        <v>VI</v>
      </c>
      <c r="D11" s="31">
        <v>15</v>
      </c>
      <c r="E11" s="1">
        <v>51</v>
      </c>
      <c r="F11" s="17">
        <v>0</v>
      </c>
      <c r="G11" s="31">
        <v>0</v>
      </c>
      <c r="H11" s="1">
        <v>0</v>
      </c>
      <c r="I11" s="17">
        <v>0</v>
      </c>
      <c r="J11" s="31">
        <v>0</v>
      </c>
      <c r="K11" s="1">
        <v>0</v>
      </c>
      <c r="L11" s="17">
        <v>0</v>
      </c>
      <c r="M11" s="31">
        <v>0</v>
      </c>
      <c r="N11" s="1">
        <v>0</v>
      </c>
      <c r="O11" s="17">
        <v>0</v>
      </c>
      <c r="P11" s="31">
        <v>0</v>
      </c>
      <c r="Q11" s="1">
        <v>0</v>
      </c>
      <c r="R11" s="17">
        <v>0</v>
      </c>
      <c r="S11" s="31">
        <v>0</v>
      </c>
      <c r="T11" s="1">
        <v>0</v>
      </c>
      <c r="U11" s="17">
        <v>0</v>
      </c>
      <c r="V11" s="31">
        <v>0</v>
      </c>
      <c r="W11" s="1">
        <v>0</v>
      </c>
      <c r="X11" s="17">
        <v>0</v>
      </c>
      <c r="Y11" s="31">
        <v>0</v>
      </c>
      <c r="Z11" s="1">
        <v>0</v>
      </c>
      <c r="AA11" s="17">
        <v>0</v>
      </c>
      <c r="AB11" s="31">
        <v>1</v>
      </c>
      <c r="AC11" s="1">
        <v>7</v>
      </c>
      <c r="AD11" s="17">
        <v>0</v>
      </c>
      <c r="AE11" s="31">
        <v>0</v>
      </c>
      <c r="AF11" s="1">
        <v>2</v>
      </c>
      <c r="AG11" s="17">
        <v>0</v>
      </c>
      <c r="AH11" s="31">
        <v>0</v>
      </c>
      <c r="AI11" s="1">
        <v>0</v>
      </c>
      <c r="AJ11" s="17">
        <v>0</v>
      </c>
      <c r="AK11" s="31">
        <v>0</v>
      </c>
      <c r="AL11" s="1">
        <v>0</v>
      </c>
      <c r="AM11" s="17">
        <v>0</v>
      </c>
      <c r="AN11" s="31">
        <v>2</v>
      </c>
      <c r="AO11" s="1">
        <v>4</v>
      </c>
      <c r="AP11" s="17">
        <v>0</v>
      </c>
      <c r="AQ11" s="31">
        <v>0</v>
      </c>
      <c r="AR11" s="1">
        <v>0</v>
      </c>
      <c r="AS11" s="17">
        <v>0</v>
      </c>
      <c r="AT11" s="31">
        <v>0</v>
      </c>
      <c r="AU11" s="1">
        <v>0</v>
      </c>
      <c r="AV11" s="17">
        <v>0</v>
      </c>
      <c r="AW11" s="31">
        <v>0</v>
      </c>
      <c r="AX11" s="1">
        <v>0</v>
      </c>
      <c r="AY11" s="17">
        <v>0</v>
      </c>
      <c r="AZ11" s="31">
        <v>0</v>
      </c>
      <c r="BA11" s="1">
        <v>0</v>
      </c>
      <c r="BB11" s="1">
        <v>0</v>
      </c>
      <c r="BC11" s="31">
        <v>4</v>
      </c>
      <c r="BD11" s="1">
        <v>24</v>
      </c>
      <c r="BE11" s="17">
        <v>0</v>
      </c>
      <c r="BF11" s="1">
        <v>0</v>
      </c>
      <c r="BG11" s="1">
        <v>0</v>
      </c>
      <c r="BH11" s="17">
        <v>0</v>
      </c>
      <c r="BI11" s="1">
        <v>0</v>
      </c>
      <c r="BJ11" s="1">
        <v>0</v>
      </c>
      <c r="BK11" s="17">
        <v>0</v>
      </c>
      <c r="BL11" s="31">
        <v>0</v>
      </c>
      <c r="BM11" s="1">
        <v>1</v>
      </c>
      <c r="BN11" s="17">
        <v>0</v>
      </c>
      <c r="BO11" s="31">
        <v>0</v>
      </c>
      <c r="BP11" s="1">
        <v>0</v>
      </c>
      <c r="BQ11" s="17">
        <v>0</v>
      </c>
      <c r="BR11" s="31">
        <v>0</v>
      </c>
      <c r="BS11" s="1">
        <v>0</v>
      </c>
      <c r="BT11" s="17">
        <v>0</v>
      </c>
      <c r="BU11" s="31">
        <v>0</v>
      </c>
      <c r="BV11" s="1">
        <v>0</v>
      </c>
      <c r="BW11" s="17">
        <v>0</v>
      </c>
      <c r="BX11" s="31">
        <v>0</v>
      </c>
      <c r="BY11" s="1">
        <v>0</v>
      </c>
      <c r="BZ11" s="17">
        <v>0</v>
      </c>
      <c r="CA11" s="31">
        <v>0</v>
      </c>
      <c r="CB11" s="1">
        <v>0</v>
      </c>
      <c r="CC11" s="17">
        <v>0</v>
      </c>
      <c r="CD11" s="31">
        <v>0</v>
      </c>
      <c r="CE11" s="1">
        <v>0</v>
      </c>
      <c r="CF11" s="17">
        <v>0</v>
      </c>
      <c r="CG11" s="31">
        <v>0</v>
      </c>
      <c r="CH11" s="1">
        <v>1</v>
      </c>
      <c r="CI11" s="17">
        <v>0</v>
      </c>
      <c r="CJ11" s="31">
        <v>0</v>
      </c>
      <c r="CK11" s="1">
        <v>0</v>
      </c>
      <c r="CL11" s="17">
        <v>0</v>
      </c>
      <c r="CM11" s="31">
        <v>0</v>
      </c>
      <c r="CN11" s="1">
        <v>0</v>
      </c>
      <c r="CO11" s="17">
        <v>0</v>
      </c>
      <c r="CP11" s="31">
        <v>0</v>
      </c>
      <c r="CQ11" s="1">
        <v>1</v>
      </c>
      <c r="CR11" s="17">
        <v>0</v>
      </c>
      <c r="CS11" s="31">
        <v>0</v>
      </c>
      <c r="CT11" s="1">
        <v>0</v>
      </c>
      <c r="CU11" s="17">
        <v>0</v>
      </c>
      <c r="CV11" s="1">
        <v>0</v>
      </c>
      <c r="CW11" s="1">
        <v>6</v>
      </c>
      <c r="CX11" s="1">
        <v>0</v>
      </c>
      <c r="CY11" s="31">
        <f>SUMIF(D5:CX5,"*Große Werdienſtmedaillen*",D11:CX11)</f>
        <v>22</v>
      </c>
      <c r="CZ11" s="1">
        <f>SUMIF(D5:CX5,"*Preismedaillen*",D11:CX11)</f>
        <v>97</v>
      </c>
      <c r="DA11" s="17">
        <f>SUMIF(D5:CX5,"*Ehrenbolle Rwähnungen*",D11:CX11)</f>
        <v>0</v>
      </c>
      <c r="DB11" s="34">
        <f t="shared" si="1"/>
        <v>119</v>
      </c>
      <c r="DC11" s="76"/>
      <c r="DD11" s="76"/>
      <c r="DE11" s="76"/>
      <c r="DF11" s="76"/>
    </row>
    <row r="12" spans="1:110" ht="24" customHeight="1" x14ac:dyDescent="0.15">
      <c r="A12" s="76"/>
      <c r="B12" s="30">
        <v>7</v>
      </c>
      <c r="C12" s="30" t="str">
        <f t="shared" si="0"/>
        <v>VII</v>
      </c>
      <c r="D12" s="31">
        <v>3</v>
      </c>
      <c r="E12" s="1">
        <v>17</v>
      </c>
      <c r="F12" s="17">
        <v>6</v>
      </c>
      <c r="G12" s="31">
        <v>0</v>
      </c>
      <c r="H12" s="1">
        <v>0</v>
      </c>
      <c r="I12" s="17">
        <v>0</v>
      </c>
      <c r="J12" s="31">
        <v>0</v>
      </c>
      <c r="K12" s="1">
        <v>0</v>
      </c>
      <c r="L12" s="17">
        <v>0</v>
      </c>
      <c r="M12" s="31">
        <v>0</v>
      </c>
      <c r="N12" s="1">
        <v>0</v>
      </c>
      <c r="O12" s="17">
        <v>0</v>
      </c>
      <c r="P12" s="31">
        <v>0</v>
      </c>
      <c r="Q12" s="1">
        <v>0</v>
      </c>
      <c r="R12" s="17">
        <v>0</v>
      </c>
      <c r="S12" s="31">
        <v>0</v>
      </c>
      <c r="T12" s="1">
        <v>0</v>
      </c>
      <c r="U12" s="17">
        <v>0</v>
      </c>
      <c r="V12" s="31">
        <v>0</v>
      </c>
      <c r="W12" s="1">
        <v>0</v>
      </c>
      <c r="X12" s="17">
        <v>0</v>
      </c>
      <c r="Y12" s="31">
        <v>0</v>
      </c>
      <c r="Z12" s="1">
        <v>0</v>
      </c>
      <c r="AA12" s="17">
        <v>0</v>
      </c>
      <c r="AB12" s="31">
        <v>0</v>
      </c>
      <c r="AC12" s="1">
        <v>1</v>
      </c>
      <c r="AD12" s="17">
        <v>0</v>
      </c>
      <c r="AE12" s="31">
        <v>0</v>
      </c>
      <c r="AF12" s="1">
        <v>0</v>
      </c>
      <c r="AG12" s="17">
        <v>0</v>
      </c>
      <c r="AH12" s="31">
        <v>0</v>
      </c>
      <c r="AI12" s="1">
        <v>0</v>
      </c>
      <c r="AJ12" s="17">
        <v>0</v>
      </c>
      <c r="AK12" s="31">
        <v>0</v>
      </c>
      <c r="AL12" s="1">
        <v>0</v>
      </c>
      <c r="AM12" s="17">
        <v>0</v>
      </c>
      <c r="AN12" s="31">
        <v>0</v>
      </c>
      <c r="AO12" s="1">
        <v>0</v>
      </c>
      <c r="AP12" s="17">
        <v>0</v>
      </c>
      <c r="AQ12" s="31">
        <v>0</v>
      </c>
      <c r="AR12" s="1">
        <v>0</v>
      </c>
      <c r="AS12" s="17">
        <v>0</v>
      </c>
      <c r="AT12" s="31">
        <v>0</v>
      </c>
      <c r="AU12" s="1">
        <v>0</v>
      </c>
      <c r="AV12" s="17">
        <v>0</v>
      </c>
      <c r="AW12" s="31">
        <v>0</v>
      </c>
      <c r="AX12" s="1">
        <v>0</v>
      </c>
      <c r="AY12" s="17">
        <v>0</v>
      </c>
      <c r="AZ12" s="31">
        <v>0</v>
      </c>
      <c r="BA12" s="1">
        <v>0</v>
      </c>
      <c r="BB12" s="1">
        <v>0</v>
      </c>
      <c r="BC12" s="31">
        <v>0</v>
      </c>
      <c r="BD12" s="1">
        <v>2</v>
      </c>
      <c r="BE12" s="17">
        <v>0</v>
      </c>
      <c r="BF12" s="1">
        <v>0</v>
      </c>
      <c r="BG12" s="1">
        <v>0</v>
      </c>
      <c r="BH12" s="17">
        <v>0</v>
      </c>
      <c r="BI12" s="1">
        <v>0</v>
      </c>
      <c r="BJ12" s="1">
        <v>1</v>
      </c>
      <c r="BK12" s="17">
        <v>0</v>
      </c>
      <c r="BL12" s="31">
        <v>0</v>
      </c>
      <c r="BM12" s="1">
        <v>0</v>
      </c>
      <c r="BN12" s="17">
        <v>0</v>
      </c>
      <c r="BO12" s="31">
        <v>0</v>
      </c>
      <c r="BP12" s="1">
        <v>0</v>
      </c>
      <c r="BQ12" s="17">
        <v>0</v>
      </c>
      <c r="BR12" s="31">
        <v>0</v>
      </c>
      <c r="BS12" s="1">
        <v>0</v>
      </c>
      <c r="BT12" s="17">
        <v>0</v>
      </c>
      <c r="BU12" s="31">
        <v>0</v>
      </c>
      <c r="BV12" s="1">
        <v>0</v>
      </c>
      <c r="BW12" s="17">
        <v>0</v>
      </c>
      <c r="BX12" s="31">
        <v>0</v>
      </c>
      <c r="BY12" s="1">
        <v>0</v>
      </c>
      <c r="BZ12" s="17">
        <v>0</v>
      </c>
      <c r="CA12" s="31">
        <v>0</v>
      </c>
      <c r="CB12" s="1">
        <v>0</v>
      </c>
      <c r="CC12" s="17">
        <v>0</v>
      </c>
      <c r="CD12" s="31">
        <v>0</v>
      </c>
      <c r="CE12" s="1">
        <v>0</v>
      </c>
      <c r="CF12" s="17">
        <v>0</v>
      </c>
      <c r="CG12" s="31">
        <v>0</v>
      </c>
      <c r="CH12" s="1">
        <v>2</v>
      </c>
      <c r="CI12" s="17">
        <v>1</v>
      </c>
      <c r="CJ12" s="31">
        <v>0</v>
      </c>
      <c r="CK12" s="1">
        <v>0</v>
      </c>
      <c r="CL12" s="17">
        <v>0</v>
      </c>
      <c r="CM12" s="31">
        <v>0</v>
      </c>
      <c r="CN12" s="1">
        <v>0</v>
      </c>
      <c r="CO12" s="17">
        <v>0</v>
      </c>
      <c r="CP12" s="31">
        <v>0</v>
      </c>
      <c r="CQ12" s="1">
        <v>0</v>
      </c>
      <c r="CR12" s="17">
        <v>0</v>
      </c>
      <c r="CS12" s="31">
        <v>0</v>
      </c>
      <c r="CT12" s="1">
        <v>0</v>
      </c>
      <c r="CU12" s="17">
        <v>0</v>
      </c>
      <c r="CV12" s="1">
        <v>0</v>
      </c>
      <c r="CW12" s="1">
        <v>0</v>
      </c>
      <c r="CX12" s="1">
        <v>0</v>
      </c>
      <c r="CY12" s="31">
        <f>SUMIF(D5:CX5,"*Große Werdienſtmedaillen*",D12:CX12)</f>
        <v>3</v>
      </c>
      <c r="CZ12" s="1">
        <f>SUMIF(D5:CX5,"*Preismedaillen*",D12:CX12)</f>
        <v>23</v>
      </c>
      <c r="DA12" s="17">
        <f>SUMIF(D5:CX5,"*Ehrenbolle Rwähnungen*",D12:CX12)</f>
        <v>7</v>
      </c>
      <c r="DB12" s="34">
        <f t="shared" si="1"/>
        <v>33</v>
      </c>
      <c r="DC12" s="76"/>
      <c r="DD12" s="76"/>
      <c r="DE12" s="76"/>
      <c r="DF12" s="76"/>
    </row>
    <row r="13" spans="1:110" ht="24" customHeight="1" x14ac:dyDescent="0.15">
      <c r="A13" s="76"/>
      <c r="B13" s="30">
        <v>8</v>
      </c>
      <c r="C13" s="30" t="str">
        <f t="shared" si="0"/>
        <v>VIII</v>
      </c>
      <c r="D13" s="31">
        <v>5</v>
      </c>
      <c r="E13" s="1">
        <v>45</v>
      </c>
      <c r="F13" s="17">
        <v>8</v>
      </c>
      <c r="G13" s="31">
        <v>0</v>
      </c>
      <c r="H13" s="1">
        <v>0</v>
      </c>
      <c r="I13" s="17">
        <v>0</v>
      </c>
      <c r="J13" s="31">
        <v>0</v>
      </c>
      <c r="K13" s="1">
        <v>0</v>
      </c>
      <c r="L13" s="17">
        <v>0</v>
      </c>
      <c r="M13" s="31">
        <v>0</v>
      </c>
      <c r="N13" s="1">
        <v>0</v>
      </c>
      <c r="O13" s="17">
        <v>0</v>
      </c>
      <c r="P13" s="31">
        <v>0</v>
      </c>
      <c r="Q13" s="1">
        <v>0</v>
      </c>
      <c r="R13" s="17">
        <v>0</v>
      </c>
      <c r="S13" s="31">
        <v>0</v>
      </c>
      <c r="T13" s="1">
        <v>0</v>
      </c>
      <c r="U13" s="17">
        <v>0</v>
      </c>
      <c r="V13" s="31">
        <v>0</v>
      </c>
      <c r="W13" s="1">
        <v>0</v>
      </c>
      <c r="X13" s="17">
        <v>0</v>
      </c>
      <c r="Y13" s="31">
        <v>0</v>
      </c>
      <c r="Z13" s="1">
        <v>0</v>
      </c>
      <c r="AA13" s="17">
        <v>0</v>
      </c>
      <c r="AB13" s="31">
        <v>0</v>
      </c>
      <c r="AC13" s="1">
        <v>2</v>
      </c>
      <c r="AD13" s="17">
        <v>3</v>
      </c>
      <c r="AE13" s="31">
        <v>0</v>
      </c>
      <c r="AF13" s="1">
        <v>8</v>
      </c>
      <c r="AG13" s="17">
        <v>4</v>
      </c>
      <c r="AH13" s="31">
        <v>0</v>
      </c>
      <c r="AI13" s="1">
        <v>0</v>
      </c>
      <c r="AJ13" s="17">
        <v>0</v>
      </c>
      <c r="AK13" s="31">
        <v>0</v>
      </c>
      <c r="AL13" s="1">
        <v>0</v>
      </c>
      <c r="AM13" s="17">
        <v>0</v>
      </c>
      <c r="AN13" s="31">
        <v>0</v>
      </c>
      <c r="AO13" s="1">
        <v>0</v>
      </c>
      <c r="AP13" s="17">
        <v>3</v>
      </c>
      <c r="AQ13" s="31">
        <v>0</v>
      </c>
      <c r="AR13" s="1">
        <v>0</v>
      </c>
      <c r="AS13" s="17">
        <v>1</v>
      </c>
      <c r="AT13" s="31">
        <v>0</v>
      </c>
      <c r="AU13" s="1">
        <v>0</v>
      </c>
      <c r="AV13" s="17">
        <v>0</v>
      </c>
      <c r="AW13" s="31">
        <v>0</v>
      </c>
      <c r="AX13" s="1">
        <v>0</v>
      </c>
      <c r="AY13" s="17">
        <v>0</v>
      </c>
      <c r="AZ13" s="31">
        <v>0</v>
      </c>
      <c r="BA13" s="1">
        <v>1</v>
      </c>
      <c r="BB13" s="1">
        <v>1</v>
      </c>
      <c r="BC13" s="31">
        <v>3</v>
      </c>
      <c r="BD13" s="1">
        <v>17</v>
      </c>
      <c r="BE13" s="17">
        <v>3</v>
      </c>
      <c r="BF13" s="1">
        <v>0</v>
      </c>
      <c r="BG13" s="1">
        <v>0</v>
      </c>
      <c r="BH13" s="17">
        <v>0</v>
      </c>
      <c r="BI13" s="1">
        <v>0</v>
      </c>
      <c r="BJ13" s="1">
        <v>0</v>
      </c>
      <c r="BK13" s="17">
        <v>0</v>
      </c>
      <c r="BL13" s="31">
        <v>1</v>
      </c>
      <c r="BM13" s="1">
        <v>0</v>
      </c>
      <c r="BN13" s="17">
        <v>2</v>
      </c>
      <c r="BO13" s="31">
        <v>0</v>
      </c>
      <c r="BP13" s="1">
        <v>0</v>
      </c>
      <c r="BQ13" s="17">
        <v>0</v>
      </c>
      <c r="BR13" s="31">
        <v>0</v>
      </c>
      <c r="BS13" s="1">
        <v>0</v>
      </c>
      <c r="BT13" s="17">
        <v>0</v>
      </c>
      <c r="BU13" s="31">
        <v>0</v>
      </c>
      <c r="BV13" s="1">
        <v>0</v>
      </c>
      <c r="BW13" s="17">
        <v>0</v>
      </c>
      <c r="BX13" s="31">
        <v>0</v>
      </c>
      <c r="BY13" s="1">
        <v>0</v>
      </c>
      <c r="BZ13" s="17">
        <v>0</v>
      </c>
      <c r="CA13" s="31">
        <v>0</v>
      </c>
      <c r="CB13" s="1">
        <v>0</v>
      </c>
      <c r="CC13" s="17">
        <v>0</v>
      </c>
      <c r="CD13" s="31">
        <v>0</v>
      </c>
      <c r="CE13" s="1">
        <v>0</v>
      </c>
      <c r="CF13" s="17">
        <v>0</v>
      </c>
      <c r="CG13" s="31">
        <v>0</v>
      </c>
      <c r="CH13" s="1">
        <v>1</v>
      </c>
      <c r="CI13" s="17">
        <v>1</v>
      </c>
      <c r="CJ13" s="31">
        <v>0</v>
      </c>
      <c r="CK13" s="1">
        <v>1</v>
      </c>
      <c r="CL13" s="17">
        <v>0</v>
      </c>
      <c r="CM13" s="31">
        <v>0</v>
      </c>
      <c r="CN13" s="1">
        <v>0</v>
      </c>
      <c r="CO13" s="17">
        <v>0</v>
      </c>
      <c r="CP13" s="31">
        <v>0</v>
      </c>
      <c r="CQ13" s="1">
        <v>0</v>
      </c>
      <c r="CR13" s="17">
        <v>0</v>
      </c>
      <c r="CS13" s="31">
        <v>0</v>
      </c>
      <c r="CT13" s="1">
        <v>0</v>
      </c>
      <c r="CU13" s="17">
        <v>0</v>
      </c>
      <c r="CV13" s="1">
        <v>0</v>
      </c>
      <c r="CW13" s="1">
        <v>0</v>
      </c>
      <c r="CX13" s="1">
        <v>0</v>
      </c>
      <c r="CY13" s="31">
        <f>SUMIF(D5:CX5,"*Große Werdienſtmedaillen*",D13:CX13)</f>
        <v>9</v>
      </c>
      <c r="CZ13" s="1">
        <f>SUMIF(D5:CX5,"*Preismedaillen*",D13:CX13)</f>
        <v>75</v>
      </c>
      <c r="DA13" s="17">
        <f>SUMIF(D5:CX5,"*Ehrenbolle Rwähnungen*",D13:CX13)</f>
        <v>26</v>
      </c>
      <c r="DB13" s="34">
        <f t="shared" si="1"/>
        <v>110</v>
      </c>
      <c r="DC13" s="76"/>
      <c r="DD13" s="76"/>
      <c r="DE13" s="76"/>
      <c r="DF13" s="76"/>
    </row>
    <row r="14" spans="1:110" ht="24" customHeight="1" x14ac:dyDescent="0.15">
      <c r="A14" s="76"/>
      <c r="B14" s="30">
        <v>9</v>
      </c>
      <c r="C14" s="30" t="str">
        <f t="shared" si="0"/>
        <v>IX</v>
      </c>
      <c r="D14" s="31">
        <v>4</v>
      </c>
      <c r="E14" s="1">
        <v>29</v>
      </c>
      <c r="F14" s="17">
        <v>1</v>
      </c>
      <c r="G14" s="31">
        <v>0</v>
      </c>
      <c r="H14" s="1">
        <v>0</v>
      </c>
      <c r="I14" s="17">
        <v>0</v>
      </c>
      <c r="J14" s="31">
        <v>0</v>
      </c>
      <c r="K14" s="1">
        <v>0</v>
      </c>
      <c r="L14" s="17">
        <v>0</v>
      </c>
      <c r="M14" s="31">
        <v>0</v>
      </c>
      <c r="N14" s="1">
        <v>0</v>
      </c>
      <c r="O14" s="17">
        <v>0</v>
      </c>
      <c r="P14" s="31">
        <v>0</v>
      </c>
      <c r="Q14" s="1">
        <v>0</v>
      </c>
      <c r="R14" s="17">
        <v>0</v>
      </c>
      <c r="S14" s="31">
        <v>0</v>
      </c>
      <c r="T14" s="1">
        <v>0</v>
      </c>
      <c r="U14" s="17">
        <v>0</v>
      </c>
      <c r="V14" s="31">
        <v>0</v>
      </c>
      <c r="W14" s="1">
        <v>0</v>
      </c>
      <c r="X14" s="17">
        <v>0</v>
      </c>
      <c r="Y14" s="31">
        <v>0</v>
      </c>
      <c r="Z14" s="1">
        <v>0</v>
      </c>
      <c r="AA14" s="17">
        <v>0</v>
      </c>
      <c r="AB14" s="31">
        <v>1</v>
      </c>
      <c r="AC14" s="1">
        <v>1</v>
      </c>
      <c r="AD14" s="17">
        <v>0</v>
      </c>
      <c r="AE14" s="31">
        <v>0</v>
      </c>
      <c r="AF14" s="1">
        <v>4</v>
      </c>
      <c r="AG14" s="17">
        <v>0</v>
      </c>
      <c r="AH14" s="31">
        <v>0</v>
      </c>
      <c r="AI14" s="1">
        <v>0</v>
      </c>
      <c r="AJ14" s="17">
        <v>0</v>
      </c>
      <c r="AK14" s="31">
        <v>0</v>
      </c>
      <c r="AL14" s="1">
        <v>0</v>
      </c>
      <c r="AM14" s="17">
        <v>0</v>
      </c>
      <c r="AQ14" s="31">
        <v>0</v>
      </c>
      <c r="AR14" s="1">
        <v>0</v>
      </c>
      <c r="AS14" s="17">
        <v>0</v>
      </c>
      <c r="AT14" s="31">
        <v>0</v>
      </c>
      <c r="AU14" s="1">
        <v>0</v>
      </c>
      <c r="AV14" s="17">
        <v>0</v>
      </c>
      <c r="AW14" s="31">
        <v>0</v>
      </c>
      <c r="AX14" s="1">
        <v>0</v>
      </c>
      <c r="AY14" s="17">
        <v>0</v>
      </c>
      <c r="AZ14" s="31">
        <v>0</v>
      </c>
      <c r="BA14" s="1">
        <v>0</v>
      </c>
      <c r="BB14" s="1">
        <v>0</v>
      </c>
      <c r="BC14" s="31">
        <v>0</v>
      </c>
      <c r="BD14" s="1">
        <v>3</v>
      </c>
      <c r="BE14" s="17">
        <v>0</v>
      </c>
      <c r="BF14" s="1">
        <v>0</v>
      </c>
      <c r="BG14" s="1">
        <v>0</v>
      </c>
      <c r="BH14" s="17">
        <v>0</v>
      </c>
      <c r="BI14" s="1">
        <v>0</v>
      </c>
      <c r="BJ14" s="1">
        <v>1</v>
      </c>
      <c r="BK14" s="17">
        <v>0</v>
      </c>
      <c r="BL14" s="31">
        <v>0</v>
      </c>
      <c r="BM14" s="1">
        <v>0</v>
      </c>
      <c r="BN14" s="17">
        <v>0</v>
      </c>
      <c r="BO14" s="31">
        <v>0</v>
      </c>
      <c r="BP14" s="1">
        <v>0</v>
      </c>
      <c r="BQ14" s="17">
        <v>0</v>
      </c>
      <c r="BR14" s="31">
        <v>0</v>
      </c>
      <c r="BS14" s="1">
        <v>0</v>
      </c>
      <c r="BT14" s="17">
        <v>0</v>
      </c>
      <c r="BU14" s="31">
        <v>0</v>
      </c>
      <c r="BV14" s="1">
        <v>0</v>
      </c>
      <c r="BW14" s="17">
        <v>0</v>
      </c>
      <c r="BX14" s="31">
        <v>0</v>
      </c>
      <c r="BY14" s="1">
        <v>0</v>
      </c>
      <c r="BZ14" s="17">
        <v>0</v>
      </c>
      <c r="CA14" s="31">
        <v>0</v>
      </c>
      <c r="CB14" s="1">
        <v>0</v>
      </c>
      <c r="CC14" s="17">
        <v>0</v>
      </c>
      <c r="CD14" s="31">
        <v>0</v>
      </c>
      <c r="CE14" s="1">
        <v>0</v>
      </c>
      <c r="CF14" s="17">
        <v>0</v>
      </c>
      <c r="CG14" s="31">
        <v>0</v>
      </c>
      <c r="CH14" s="1">
        <v>0</v>
      </c>
      <c r="CI14" s="17">
        <v>0</v>
      </c>
      <c r="CJ14" s="31">
        <v>0</v>
      </c>
      <c r="CK14" s="1">
        <v>0</v>
      </c>
      <c r="CL14" s="17">
        <v>0</v>
      </c>
      <c r="CM14" s="31">
        <v>0</v>
      </c>
      <c r="CN14" s="1">
        <v>0</v>
      </c>
      <c r="CO14" s="17">
        <v>0</v>
      </c>
      <c r="CP14" s="31">
        <v>0</v>
      </c>
      <c r="CQ14" s="1">
        <v>0</v>
      </c>
      <c r="CR14" s="17">
        <v>0</v>
      </c>
      <c r="CS14" s="31">
        <v>0</v>
      </c>
      <c r="CT14" s="1">
        <v>0</v>
      </c>
      <c r="CU14" s="17">
        <v>0</v>
      </c>
      <c r="CV14" s="1">
        <v>0</v>
      </c>
      <c r="CW14" s="1">
        <v>0</v>
      </c>
      <c r="CX14" s="1">
        <v>0</v>
      </c>
      <c r="CY14" s="31">
        <f>SUMIF(D5:CX5,"*Große Werdienſtmedaillen*",D14:CX14)</f>
        <v>5</v>
      </c>
      <c r="CZ14" s="1">
        <f>SUMIF(D5:CX5,"*Preismedaillen*",D14:CX14)</f>
        <v>38</v>
      </c>
      <c r="DA14" s="17">
        <f>SUMIF(D5:CX5,"*Ehrenbolle Rwähnungen*",D14:CX14)</f>
        <v>1</v>
      </c>
      <c r="DB14" s="34">
        <f t="shared" si="1"/>
        <v>44</v>
      </c>
      <c r="DC14" s="76"/>
      <c r="DD14" s="76"/>
      <c r="DE14" s="76"/>
      <c r="DF14" s="76"/>
    </row>
    <row r="15" spans="1:110" ht="24" customHeight="1" x14ac:dyDescent="0.15">
      <c r="A15" s="61"/>
      <c r="B15" s="30">
        <v>10</v>
      </c>
      <c r="C15" s="30" t="str">
        <f t="shared" si="0"/>
        <v>X</v>
      </c>
      <c r="D15" s="31">
        <v>21</v>
      </c>
      <c r="E15" s="1">
        <v>95</v>
      </c>
      <c r="F15" s="17">
        <v>35</v>
      </c>
      <c r="G15" s="31">
        <v>0</v>
      </c>
      <c r="H15" s="1">
        <v>0</v>
      </c>
      <c r="I15" s="17">
        <v>1</v>
      </c>
      <c r="J15" s="31">
        <v>0</v>
      </c>
      <c r="K15" s="1">
        <v>0</v>
      </c>
      <c r="L15" s="17">
        <v>1</v>
      </c>
      <c r="M15" s="31">
        <v>0</v>
      </c>
      <c r="N15" s="1">
        <v>1</v>
      </c>
      <c r="O15" s="17">
        <v>1</v>
      </c>
      <c r="P15" s="31">
        <v>0</v>
      </c>
      <c r="Q15" s="1">
        <v>0</v>
      </c>
      <c r="R15" s="17">
        <v>0</v>
      </c>
      <c r="S15" s="31">
        <v>0</v>
      </c>
      <c r="T15" s="1">
        <v>0</v>
      </c>
      <c r="U15" s="17">
        <v>1</v>
      </c>
      <c r="V15" s="31">
        <v>0</v>
      </c>
      <c r="W15" s="1">
        <v>0</v>
      </c>
      <c r="X15" s="17">
        <v>0</v>
      </c>
      <c r="Y15" s="31">
        <v>0</v>
      </c>
      <c r="Z15" s="1">
        <v>0</v>
      </c>
      <c r="AA15" s="17">
        <v>0</v>
      </c>
      <c r="AB15" s="31">
        <v>1</v>
      </c>
      <c r="AC15" s="1">
        <v>13</v>
      </c>
      <c r="AD15" s="17">
        <v>6</v>
      </c>
      <c r="AE15" s="31">
        <v>0</v>
      </c>
      <c r="AF15" s="1">
        <v>5</v>
      </c>
      <c r="AG15" s="17">
        <v>3</v>
      </c>
      <c r="AH15" s="31">
        <v>0</v>
      </c>
      <c r="AI15" s="1">
        <v>0</v>
      </c>
      <c r="AJ15" s="17">
        <v>0</v>
      </c>
      <c r="AK15" s="31">
        <v>0</v>
      </c>
      <c r="AL15" s="1">
        <v>3</v>
      </c>
      <c r="AM15" s="17">
        <v>2</v>
      </c>
      <c r="AN15" s="31">
        <v>1</v>
      </c>
      <c r="AO15" s="1">
        <v>13</v>
      </c>
      <c r="AP15" s="17">
        <v>11</v>
      </c>
      <c r="AQ15" s="31">
        <v>2</v>
      </c>
      <c r="AR15" s="1">
        <v>2</v>
      </c>
      <c r="AS15" s="17">
        <v>2</v>
      </c>
      <c r="AT15" s="31">
        <v>0</v>
      </c>
      <c r="AU15" s="1">
        <v>2</v>
      </c>
      <c r="AV15" s="17">
        <v>1</v>
      </c>
      <c r="AW15" s="31">
        <v>0</v>
      </c>
      <c r="AX15" s="1">
        <v>2</v>
      </c>
      <c r="AY15" s="17">
        <v>5</v>
      </c>
      <c r="AZ15" s="31">
        <v>0</v>
      </c>
      <c r="BA15" s="1">
        <v>1</v>
      </c>
      <c r="BB15" s="1">
        <v>2</v>
      </c>
      <c r="BC15" s="31">
        <v>14</v>
      </c>
      <c r="BD15" s="1">
        <v>41</v>
      </c>
      <c r="BE15" s="17">
        <v>34</v>
      </c>
      <c r="BF15" s="1">
        <v>0</v>
      </c>
      <c r="BG15" s="1">
        <v>0</v>
      </c>
      <c r="BH15" s="17">
        <v>0</v>
      </c>
      <c r="BI15" s="1">
        <v>1</v>
      </c>
      <c r="BJ15" s="1">
        <v>0</v>
      </c>
      <c r="BK15" s="17">
        <v>1</v>
      </c>
      <c r="BL15" s="31">
        <v>0</v>
      </c>
      <c r="BM15" s="1">
        <v>3</v>
      </c>
      <c r="BN15" s="17">
        <v>9</v>
      </c>
      <c r="BO15" s="31">
        <v>0</v>
      </c>
      <c r="BP15" s="1">
        <v>0</v>
      </c>
      <c r="BQ15" s="17">
        <v>0</v>
      </c>
      <c r="BR15" s="31">
        <v>0</v>
      </c>
      <c r="BS15" s="1">
        <v>1</v>
      </c>
      <c r="BT15" s="17">
        <v>0</v>
      </c>
      <c r="BU15" s="31">
        <v>0</v>
      </c>
      <c r="BV15" s="1">
        <v>0</v>
      </c>
      <c r="BW15" s="17">
        <v>0</v>
      </c>
      <c r="BX15" s="31">
        <v>0</v>
      </c>
      <c r="BY15" s="1">
        <v>1</v>
      </c>
      <c r="BZ15" s="17">
        <v>1</v>
      </c>
      <c r="CA15" s="31">
        <v>0</v>
      </c>
      <c r="CB15" s="1">
        <v>1</v>
      </c>
      <c r="CC15" s="17">
        <v>0</v>
      </c>
      <c r="CD15" s="31">
        <v>0</v>
      </c>
      <c r="CE15" s="1">
        <v>0</v>
      </c>
      <c r="CF15" s="17">
        <v>2</v>
      </c>
      <c r="CG15" s="31">
        <v>2</v>
      </c>
      <c r="CH15" s="1">
        <v>12</v>
      </c>
      <c r="CI15" s="17">
        <v>11</v>
      </c>
      <c r="CJ15" s="31">
        <v>0</v>
      </c>
      <c r="CK15" s="1">
        <v>1</v>
      </c>
      <c r="CL15" s="17">
        <v>0</v>
      </c>
      <c r="CM15" s="31">
        <v>0</v>
      </c>
      <c r="CN15" s="1">
        <v>0</v>
      </c>
      <c r="CO15" s="17">
        <v>0</v>
      </c>
      <c r="CP15" s="31">
        <v>1</v>
      </c>
      <c r="CQ15" s="1">
        <v>2</v>
      </c>
      <c r="CR15" s="17">
        <v>0</v>
      </c>
      <c r="CS15" s="31">
        <v>0</v>
      </c>
      <c r="CT15" s="1">
        <v>0</v>
      </c>
      <c r="CU15" s="17">
        <v>0</v>
      </c>
      <c r="CV15" s="1">
        <v>0</v>
      </c>
      <c r="CW15" s="1">
        <v>0</v>
      </c>
      <c r="CX15" s="1">
        <v>0</v>
      </c>
      <c r="CY15" s="35">
        <f>SUMIF(D5:CX5,"*Große Werdienſtmedaillen*",D15:CX15)</f>
        <v>43</v>
      </c>
      <c r="CZ15" s="36">
        <f>SUMIF(D5:CX5,"*Preismedaillen*",D15:CX15)</f>
        <v>199</v>
      </c>
      <c r="DA15" s="37">
        <f>SUMIF(D5:CX5,"*Ehrenbolle Rwähnungen*",D15:CX15)</f>
        <v>128</v>
      </c>
      <c r="DB15" s="34">
        <f t="shared" si="1"/>
        <v>371</v>
      </c>
      <c r="DC15" s="61"/>
      <c r="DD15" s="61"/>
      <c r="DE15" s="61"/>
      <c r="DF15" s="61"/>
    </row>
    <row r="16" spans="1:110" ht="24" customHeight="1" x14ac:dyDescent="0.15">
      <c r="A16" s="78" t="s">
        <v>94</v>
      </c>
      <c r="B16" s="30">
        <v>11</v>
      </c>
      <c r="C16" s="30" t="str">
        <f t="shared" si="0"/>
        <v>XI</v>
      </c>
      <c r="D16" s="31">
        <v>0</v>
      </c>
      <c r="E16" s="1">
        <v>16</v>
      </c>
      <c r="F16" s="17">
        <v>5</v>
      </c>
      <c r="G16" s="31">
        <v>0</v>
      </c>
      <c r="H16" s="1">
        <v>0</v>
      </c>
      <c r="I16" s="17">
        <v>0</v>
      </c>
      <c r="J16" s="31">
        <v>0</v>
      </c>
      <c r="K16" s="1">
        <v>0</v>
      </c>
      <c r="L16" s="17">
        <v>0</v>
      </c>
      <c r="M16" s="31">
        <v>0</v>
      </c>
      <c r="N16" s="1">
        <v>0</v>
      </c>
      <c r="O16" s="17">
        <v>0</v>
      </c>
      <c r="P16" s="31">
        <v>0</v>
      </c>
      <c r="Q16" s="1">
        <v>0</v>
      </c>
      <c r="R16" s="17">
        <v>0</v>
      </c>
      <c r="S16" s="31">
        <v>0</v>
      </c>
      <c r="T16" s="1">
        <v>0</v>
      </c>
      <c r="U16" s="17">
        <v>0</v>
      </c>
      <c r="V16" s="31">
        <v>0</v>
      </c>
      <c r="W16" s="1">
        <v>0</v>
      </c>
      <c r="X16" s="17">
        <v>0</v>
      </c>
      <c r="Y16" s="31">
        <v>0</v>
      </c>
      <c r="Z16" s="1">
        <v>0</v>
      </c>
      <c r="AA16" s="17">
        <v>0</v>
      </c>
      <c r="AB16" s="31">
        <v>0</v>
      </c>
      <c r="AC16" s="1">
        <v>2</v>
      </c>
      <c r="AD16" s="17">
        <v>0</v>
      </c>
      <c r="AE16" s="31">
        <v>0</v>
      </c>
      <c r="AF16" s="1">
        <v>1</v>
      </c>
      <c r="AG16" s="17">
        <v>1</v>
      </c>
      <c r="AH16" s="31">
        <v>0</v>
      </c>
      <c r="AI16" s="1">
        <v>0</v>
      </c>
      <c r="AJ16" s="17">
        <v>0</v>
      </c>
      <c r="AK16" s="31">
        <v>0</v>
      </c>
      <c r="AL16" s="1">
        <v>0</v>
      </c>
      <c r="AM16" s="17">
        <v>0</v>
      </c>
      <c r="AN16" s="31">
        <v>0</v>
      </c>
      <c r="AO16" s="1">
        <v>2</v>
      </c>
      <c r="AP16" s="17">
        <v>0</v>
      </c>
      <c r="AQ16" s="31">
        <v>0</v>
      </c>
      <c r="AR16" s="1">
        <v>0</v>
      </c>
      <c r="AS16" s="17">
        <v>2</v>
      </c>
      <c r="AT16" s="31">
        <v>0</v>
      </c>
      <c r="AU16" s="1">
        <v>2</v>
      </c>
      <c r="AV16" s="17">
        <v>0</v>
      </c>
      <c r="AW16" s="31">
        <v>0</v>
      </c>
      <c r="AX16" s="1">
        <v>1</v>
      </c>
      <c r="AY16" s="17">
        <v>0</v>
      </c>
      <c r="AZ16" s="31">
        <v>0</v>
      </c>
      <c r="BA16" s="1">
        <v>0</v>
      </c>
      <c r="BB16" s="1">
        <v>0</v>
      </c>
      <c r="BC16" s="31">
        <v>0</v>
      </c>
      <c r="BD16" s="1">
        <v>8</v>
      </c>
      <c r="BE16" s="17">
        <v>0</v>
      </c>
      <c r="BF16" s="1">
        <v>0</v>
      </c>
      <c r="BG16" s="1">
        <v>0</v>
      </c>
      <c r="BH16" s="17">
        <v>0</v>
      </c>
      <c r="BI16" s="1">
        <v>0</v>
      </c>
      <c r="BJ16" s="1">
        <v>0</v>
      </c>
      <c r="BK16" s="17">
        <v>0</v>
      </c>
      <c r="BL16" s="31">
        <v>0</v>
      </c>
      <c r="BM16" s="1">
        <v>1</v>
      </c>
      <c r="BN16" s="17">
        <v>0</v>
      </c>
      <c r="BO16" s="31">
        <v>0</v>
      </c>
      <c r="BP16" s="1">
        <v>0</v>
      </c>
      <c r="BQ16" s="17">
        <v>0</v>
      </c>
      <c r="BR16" s="31">
        <v>0</v>
      </c>
      <c r="BS16" s="1">
        <v>1</v>
      </c>
      <c r="BT16" s="17">
        <v>0</v>
      </c>
      <c r="BU16" s="31">
        <v>0</v>
      </c>
      <c r="BV16" s="1">
        <v>0</v>
      </c>
      <c r="BW16" s="17">
        <v>0</v>
      </c>
      <c r="BX16" s="31">
        <v>0</v>
      </c>
      <c r="BY16" s="1">
        <v>0</v>
      </c>
      <c r="BZ16" s="17">
        <v>0</v>
      </c>
      <c r="CA16" s="31">
        <v>0</v>
      </c>
      <c r="CB16" s="1">
        <v>0</v>
      </c>
      <c r="CC16" s="17">
        <v>0</v>
      </c>
      <c r="CD16" s="31">
        <v>0</v>
      </c>
      <c r="CE16" s="1">
        <v>0</v>
      </c>
      <c r="CF16" s="17">
        <v>0</v>
      </c>
      <c r="CG16" s="31">
        <v>0</v>
      </c>
      <c r="CH16" s="1">
        <v>7</v>
      </c>
      <c r="CI16" s="17">
        <v>2</v>
      </c>
      <c r="CJ16" s="31">
        <v>0</v>
      </c>
      <c r="CK16" s="1">
        <v>0</v>
      </c>
      <c r="CL16" s="17">
        <v>0</v>
      </c>
      <c r="CM16" s="31">
        <v>0</v>
      </c>
      <c r="CN16" s="1">
        <v>0</v>
      </c>
      <c r="CO16" s="17">
        <v>0</v>
      </c>
      <c r="CP16" s="31">
        <v>0</v>
      </c>
      <c r="CQ16" s="1">
        <v>0</v>
      </c>
      <c r="CR16" s="17">
        <v>0</v>
      </c>
      <c r="CS16" s="31">
        <v>0</v>
      </c>
      <c r="CT16" s="1">
        <v>0</v>
      </c>
      <c r="CU16" s="17">
        <v>0</v>
      </c>
      <c r="CV16" s="1">
        <v>0</v>
      </c>
      <c r="CW16" s="1">
        <v>0</v>
      </c>
      <c r="CX16" s="1">
        <v>0</v>
      </c>
      <c r="CY16" s="31">
        <f>SUMIF(D5:CX5,"*Große Werdienſtmedaillen*",D16:CX16)</f>
        <v>0</v>
      </c>
      <c r="CZ16" s="1">
        <f>SUMIF(D5:CX5,"*Preismedaillen*",D16:CX16)</f>
        <v>41</v>
      </c>
      <c r="DA16" s="17">
        <f>SUMIF(D5:CX5,"*Ehrenbolle Rwähnungen*",D16:CX16)</f>
        <v>10</v>
      </c>
      <c r="DB16" s="34">
        <f t="shared" si="1"/>
        <v>51</v>
      </c>
      <c r="DC16" s="62">
        <f t="shared" ref="DC16:DF16" ca="1" si="4">SUM(CY16:CY25)</f>
        <v>5</v>
      </c>
      <c r="DD16" s="62">
        <f t="shared" si="4"/>
        <v>923</v>
      </c>
      <c r="DE16" s="62">
        <f t="shared" si="4"/>
        <v>539</v>
      </c>
      <c r="DF16" s="62">
        <f t="shared" si="4"/>
        <v>1472</v>
      </c>
    </row>
    <row r="17" spans="1:110" ht="24" customHeight="1" x14ac:dyDescent="0.15">
      <c r="A17" s="76"/>
      <c r="B17" s="30">
        <v>12</v>
      </c>
      <c r="C17" s="30" t="str">
        <f t="shared" si="0"/>
        <v>XII</v>
      </c>
      <c r="D17" s="31">
        <v>0</v>
      </c>
      <c r="E17" s="1">
        <v>74</v>
      </c>
      <c r="F17" s="17">
        <v>15</v>
      </c>
      <c r="G17" s="31">
        <v>0</v>
      </c>
      <c r="H17" s="1">
        <v>2</v>
      </c>
      <c r="I17" s="17">
        <v>0</v>
      </c>
      <c r="J17" s="31">
        <v>0</v>
      </c>
      <c r="K17" s="1">
        <v>0</v>
      </c>
      <c r="L17" s="17">
        <v>1</v>
      </c>
      <c r="M17" s="31">
        <v>0</v>
      </c>
      <c r="N17" s="1">
        <v>0</v>
      </c>
      <c r="O17" s="17">
        <v>0</v>
      </c>
      <c r="P17" s="31">
        <v>0</v>
      </c>
      <c r="Q17" s="1">
        <v>0</v>
      </c>
      <c r="R17" s="17">
        <v>0</v>
      </c>
      <c r="S17" s="31">
        <v>0</v>
      </c>
      <c r="T17" s="1">
        <v>0</v>
      </c>
      <c r="U17" s="17">
        <v>0</v>
      </c>
      <c r="V17" s="31">
        <v>0</v>
      </c>
      <c r="W17" s="1">
        <v>0</v>
      </c>
      <c r="X17" s="17">
        <v>0</v>
      </c>
      <c r="Y17" s="31">
        <v>0</v>
      </c>
      <c r="Z17" s="1">
        <v>0</v>
      </c>
      <c r="AA17" s="17">
        <v>0</v>
      </c>
      <c r="AB17" s="31">
        <v>0</v>
      </c>
      <c r="AC17" s="1">
        <v>1</v>
      </c>
      <c r="AD17" s="17">
        <v>0</v>
      </c>
      <c r="AE17" s="31">
        <v>0</v>
      </c>
      <c r="AF17" s="1">
        <v>4</v>
      </c>
      <c r="AG17" s="17">
        <v>1</v>
      </c>
      <c r="AH17" s="31">
        <v>0</v>
      </c>
      <c r="AI17" s="1">
        <v>0</v>
      </c>
      <c r="AJ17" s="17">
        <v>0</v>
      </c>
      <c r="AK17" s="31">
        <v>0</v>
      </c>
      <c r="AL17" s="1">
        <v>0</v>
      </c>
      <c r="AM17" s="17">
        <v>0</v>
      </c>
      <c r="AN17" s="31">
        <v>0</v>
      </c>
      <c r="AO17" s="1">
        <v>19</v>
      </c>
      <c r="AP17" s="17">
        <v>0</v>
      </c>
      <c r="AQ17" s="31">
        <v>0</v>
      </c>
      <c r="AR17" s="1">
        <v>0</v>
      </c>
      <c r="AS17" s="17">
        <v>0</v>
      </c>
      <c r="AT17" s="31">
        <v>0</v>
      </c>
      <c r="AU17" s="1">
        <v>14</v>
      </c>
      <c r="AV17" s="17">
        <v>0</v>
      </c>
      <c r="AW17" s="31">
        <v>0</v>
      </c>
      <c r="AX17" s="1">
        <v>0</v>
      </c>
      <c r="AY17" s="17">
        <v>0</v>
      </c>
      <c r="AZ17" s="31">
        <v>0</v>
      </c>
      <c r="BA17" s="1">
        <v>0</v>
      </c>
      <c r="BB17" s="1">
        <v>0</v>
      </c>
      <c r="BC17" s="31">
        <v>0</v>
      </c>
      <c r="BD17" s="1">
        <v>35</v>
      </c>
      <c r="BE17" s="17">
        <v>6</v>
      </c>
      <c r="BF17" s="1">
        <v>0</v>
      </c>
      <c r="BG17" s="1">
        <v>0</v>
      </c>
      <c r="BH17" s="17">
        <v>0</v>
      </c>
      <c r="BI17" s="1">
        <v>0</v>
      </c>
      <c r="BJ17" s="1">
        <v>1</v>
      </c>
      <c r="BK17" s="17">
        <v>1</v>
      </c>
      <c r="BL17" s="31">
        <v>0</v>
      </c>
      <c r="BM17" s="1">
        <v>5</v>
      </c>
      <c r="BN17" s="17">
        <v>2</v>
      </c>
      <c r="BO17" s="31">
        <v>0</v>
      </c>
      <c r="BP17" s="1">
        <v>0</v>
      </c>
      <c r="BQ17" s="17">
        <v>0</v>
      </c>
      <c r="BR17" s="31">
        <v>0</v>
      </c>
      <c r="BS17" s="1">
        <v>0</v>
      </c>
      <c r="BT17" s="17">
        <v>0</v>
      </c>
      <c r="BU17" s="31">
        <v>0</v>
      </c>
      <c r="BV17" s="1">
        <v>0</v>
      </c>
      <c r="BW17" s="17">
        <v>0</v>
      </c>
      <c r="BX17" s="31">
        <v>0</v>
      </c>
      <c r="BY17" s="1">
        <v>6</v>
      </c>
      <c r="BZ17" s="17">
        <v>0</v>
      </c>
      <c r="CA17" s="31">
        <v>0</v>
      </c>
      <c r="CB17" s="1">
        <v>0</v>
      </c>
      <c r="CC17" s="17">
        <v>0</v>
      </c>
      <c r="CD17" s="31">
        <v>0</v>
      </c>
      <c r="CE17" s="1">
        <v>0</v>
      </c>
      <c r="CF17" s="17">
        <v>0</v>
      </c>
      <c r="CG17" s="31">
        <v>0</v>
      </c>
      <c r="CH17" s="1">
        <v>0</v>
      </c>
      <c r="CI17" s="17">
        <v>0</v>
      </c>
      <c r="CJ17" s="31">
        <v>0</v>
      </c>
      <c r="CK17" s="1">
        <v>0</v>
      </c>
      <c r="CL17" s="17">
        <v>0</v>
      </c>
      <c r="CM17" s="31">
        <v>0</v>
      </c>
      <c r="CN17" s="1">
        <v>0</v>
      </c>
      <c r="CO17" s="17">
        <v>0</v>
      </c>
      <c r="CP17" s="31">
        <v>0</v>
      </c>
      <c r="CQ17" s="1">
        <v>0</v>
      </c>
      <c r="CR17" s="17">
        <v>0</v>
      </c>
      <c r="CS17" s="31">
        <v>0</v>
      </c>
      <c r="CT17" s="1">
        <v>0</v>
      </c>
      <c r="CU17" s="17">
        <v>0</v>
      </c>
      <c r="CV17" s="1">
        <v>0</v>
      </c>
      <c r="CW17" s="1">
        <v>0</v>
      </c>
      <c r="CX17" s="1">
        <v>0</v>
      </c>
      <c r="CY17" s="31">
        <f>SUMIF(D5:CX5,"*Große Werdienſtmedaillen*",D17:CX17)</f>
        <v>0</v>
      </c>
      <c r="CZ17" s="1">
        <f>SUMIF(D5:CX5,"*Preismedaillen*",D17:CX17)</f>
        <v>161</v>
      </c>
      <c r="DA17" s="17">
        <f>SUMIF(D5:CX5,"*Ehrenbolle Rwähnungen*",D17:CX17)</f>
        <v>26</v>
      </c>
      <c r="DB17" s="34">
        <f t="shared" si="1"/>
        <v>187</v>
      </c>
      <c r="DC17" s="76"/>
      <c r="DD17" s="76"/>
      <c r="DE17" s="76"/>
      <c r="DF17" s="76"/>
    </row>
    <row r="18" spans="1:110" ht="24" customHeight="1" x14ac:dyDescent="0.15">
      <c r="A18" s="76"/>
      <c r="B18" s="30">
        <v>13</v>
      </c>
      <c r="C18" s="30" t="str">
        <f t="shared" si="0"/>
        <v>XIII</v>
      </c>
      <c r="D18" s="31">
        <v>0</v>
      </c>
      <c r="E18" s="1">
        <v>31</v>
      </c>
      <c r="F18" s="17">
        <v>7</v>
      </c>
      <c r="G18" s="31">
        <v>0</v>
      </c>
      <c r="H18" s="1">
        <v>0</v>
      </c>
      <c r="I18" s="17">
        <v>0</v>
      </c>
      <c r="J18" s="31">
        <v>0</v>
      </c>
      <c r="K18" s="1">
        <v>0</v>
      </c>
      <c r="L18" s="17">
        <v>0</v>
      </c>
      <c r="M18" s="31">
        <v>0</v>
      </c>
      <c r="N18" s="1">
        <v>0</v>
      </c>
      <c r="O18" s="17">
        <v>0</v>
      </c>
      <c r="P18" s="31">
        <v>0</v>
      </c>
      <c r="Q18" s="1">
        <v>0</v>
      </c>
      <c r="R18" s="17">
        <v>0</v>
      </c>
      <c r="S18" s="31">
        <v>0</v>
      </c>
      <c r="T18" s="1">
        <v>0</v>
      </c>
      <c r="U18" s="17">
        <v>0</v>
      </c>
      <c r="V18" s="31">
        <v>0</v>
      </c>
      <c r="W18" s="1">
        <v>0</v>
      </c>
      <c r="X18" s="17">
        <v>0</v>
      </c>
      <c r="Y18" s="31">
        <v>0</v>
      </c>
      <c r="Z18" s="1">
        <v>0</v>
      </c>
      <c r="AA18" s="17">
        <v>0</v>
      </c>
      <c r="AB18" s="31">
        <v>0</v>
      </c>
      <c r="AC18" s="1">
        <v>0</v>
      </c>
      <c r="AD18" s="17">
        <v>0</v>
      </c>
      <c r="AE18" s="31">
        <v>0</v>
      </c>
      <c r="AF18" s="1">
        <v>0</v>
      </c>
      <c r="AG18" s="17">
        <v>0</v>
      </c>
      <c r="AH18" s="31">
        <v>0</v>
      </c>
      <c r="AI18" s="1">
        <v>0</v>
      </c>
      <c r="AJ18" s="17">
        <v>0</v>
      </c>
      <c r="AK18" s="31">
        <v>0</v>
      </c>
      <c r="AL18" s="1">
        <v>0</v>
      </c>
      <c r="AM18" s="17">
        <v>0</v>
      </c>
      <c r="AN18" s="31">
        <v>0</v>
      </c>
      <c r="AO18" s="1">
        <v>7</v>
      </c>
      <c r="AP18" s="17">
        <v>6</v>
      </c>
      <c r="AQ18" s="31">
        <v>0</v>
      </c>
      <c r="AR18" s="1">
        <v>0</v>
      </c>
      <c r="AS18" s="17">
        <v>2</v>
      </c>
      <c r="AT18" s="31">
        <v>0</v>
      </c>
      <c r="AU18" s="1">
        <v>0</v>
      </c>
      <c r="AV18" s="17">
        <v>0</v>
      </c>
      <c r="AW18" s="31">
        <v>0</v>
      </c>
      <c r="AX18" s="1">
        <v>0</v>
      </c>
      <c r="AY18" s="17">
        <v>0</v>
      </c>
      <c r="AZ18" s="31">
        <v>0</v>
      </c>
      <c r="BA18" s="1">
        <v>0</v>
      </c>
      <c r="BB18" s="1">
        <v>0</v>
      </c>
      <c r="BC18" s="31">
        <v>1</v>
      </c>
      <c r="BD18" s="1">
        <v>47</v>
      </c>
      <c r="BE18" s="17">
        <v>17</v>
      </c>
      <c r="BF18" s="1">
        <v>0</v>
      </c>
      <c r="BG18" s="1">
        <v>0</v>
      </c>
      <c r="BH18" s="17">
        <v>0</v>
      </c>
      <c r="BI18" s="1">
        <v>0</v>
      </c>
      <c r="BJ18" s="1">
        <v>0</v>
      </c>
      <c r="BK18" s="17">
        <v>0</v>
      </c>
      <c r="BL18" s="31">
        <v>0</v>
      </c>
      <c r="BM18" s="1">
        <v>8</v>
      </c>
      <c r="BN18" s="17">
        <v>10</v>
      </c>
      <c r="BO18" s="31">
        <v>0</v>
      </c>
      <c r="BP18" s="1">
        <v>0</v>
      </c>
      <c r="BQ18" s="17">
        <v>0</v>
      </c>
      <c r="BR18" s="31">
        <v>0</v>
      </c>
      <c r="BS18" s="1">
        <v>0</v>
      </c>
      <c r="BT18" s="17">
        <v>0</v>
      </c>
      <c r="BU18" s="31">
        <v>0</v>
      </c>
      <c r="BV18" s="1">
        <v>0</v>
      </c>
      <c r="BW18" s="17">
        <v>2</v>
      </c>
      <c r="BX18" s="31">
        <v>0</v>
      </c>
      <c r="BY18" s="1">
        <v>4</v>
      </c>
      <c r="BZ18" s="17">
        <v>5</v>
      </c>
      <c r="CA18" s="31">
        <v>0</v>
      </c>
      <c r="CB18" s="1">
        <v>6</v>
      </c>
      <c r="CC18" s="17">
        <v>1</v>
      </c>
      <c r="CD18" s="31">
        <v>0</v>
      </c>
      <c r="CE18" s="1">
        <v>0</v>
      </c>
      <c r="CF18" s="17">
        <v>0</v>
      </c>
      <c r="CG18" s="31">
        <v>0</v>
      </c>
      <c r="CH18" s="1">
        <v>17</v>
      </c>
      <c r="CI18" s="17">
        <v>10</v>
      </c>
      <c r="CJ18" s="31">
        <v>0</v>
      </c>
      <c r="CK18" s="1">
        <v>1</v>
      </c>
      <c r="CL18" s="17">
        <v>0</v>
      </c>
      <c r="CM18" s="31">
        <v>0</v>
      </c>
      <c r="CN18" s="1">
        <v>0</v>
      </c>
      <c r="CO18" s="17">
        <v>0</v>
      </c>
      <c r="CP18" s="31">
        <v>0</v>
      </c>
      <c r="CQ18" s="1">
        <v>1</v>
      </c>
      <c r="CR18" s="17">
        <v>0</v>
      </c>
      <c r="CS18" s="31">
        <v>0</v>
      </c>
      <c r="CT18" s="1">
        <v>0</v>
      </c>
      <c r="CU18" s="17">
        <v>0</v>
      </c>
      <c r="CV18" s="1">
        <v>0</v>
      </c>
      <c r="CW18" s="1">
        <v>2</v>
      </c>
      <c r="CX18" s="1">
        <v>0</v>
      </c>
      <c r="CY18" s="31">
        <f>SUMIF(D5:CX5,"*Große Werdienſtmedaillen*",D18:CX18)</f>
        <v>1</v>
      </c>
      <c r="CZ18" s="1">
        <f>SUMIF(D5:CX5,"*Preismedaillen*",D18:CX18)</f>
        <v>124</v>
      </c>
      <c r="DA18" s="17">
        <f>SUMIF(D5:CX5,"*Ehrenbolle Rwähnungen*",D18:CX18)</f>
        <v>60</v>
      </c>
      <c r="DB18" s="34">
        <f t="shared" si="1"/>
        <v>185</v>
      </c>
      <c r="DC18" s="76"/>
      <c r="DD18" s="76"/>
      <c r="DE18" s="76"/>
      <c r="DF18" s="76"/>
    </row>
    <row r="19" spans="1:110" ht="24" customHeight="1" x14ac:dyDescent="0.15">
      <c r="A19" s="76"/>
      <c r="B19" s="30">
        <v>14</v>
      </c>
      <c r="C19" s="30" t="str">
        <f t="shared" si="0"/>
        <v>XIV</v>
      </c>
      <c r="D19" s="31">
        <v>0</v>
      </c>
      <c r="E19" s="1">
        <v>22</v>
      </c>
      <c r="F19" s="17">
        <v>29</v>
      </c>
      <c r="G19" s="31">
        <v>0</v>
      </c>
      <c r="H19" s="1">
        <v>0</v>
      </c>
      <c r="I19" s="17">
        <v>0</v>
      </c>
      <c r="J19" s="31">
        <v>0</v>
      </c>
      <c r="K19" s="1">
        <v>0</v>
      </c>
      <c r="L19" s="17">
        <v>0</v>
      </c>
      <c r="M19" s="31">
        <v>0</v>
      </c>
      <c r="N19" s="1">
        <v>0</v>
      </c>
      <c r="O19" s="17">
        <v>0</v>
      </c>
      <c r="P19" s="31">
        <v>0</v>
      </c>
      <c r="Q19" s="1">
        <v>0</v>
      </c>
      <c r="R19" s="17">
        <v>0</v>
      </c>
      <c r="S19" s="31">
        <v>0</v>
      </c>
      <c r="T19" s="1">
        <v>0</v>
      </c>
      <c r="U19" s="17">
        <v>0</v>
      </c>
      <c r="V19" s="31">
        <v>0</v>
      </c>
      <c r="W19" s="1">
        <v>0</v>
      </c>
      <c r="X19" s="17">
        <v>0</v>
      </c>
      <c r="Y19" s="31">
        <v>0</v>
      </c>
      <c r="Z19" s="1">
        <v>0</v>
      </c>
      <c r="AA19" s="17">
        <v>0</v>
      </c>
      <c r="AB19" s="31">
        <v>0</v>
      </c>
      <c r="AC19" s="1">
        <v>0</v>
      </c>
      <c r="AD19" s="17">
        <v>0</v>
      </c>
      <c r="AE19" s="31">
        <v>0</v>
      </c>
      <c r="AF19" s="1">
        <v>7</v>
      </c>
      <c r="AG19" s="17">
        <v>9</v>
      </c>
      <c r="AH19" s="31">
        <v>0</v>
      </c>
      <c r="AI19" s="1">
        <v>0</v>
      </c>
      <c r="AJ19" s="17">
        <v>1</v>
      </c>
      <c r="AK19" s="31">
        <v>0</v>
      </c>
      <c r="AL19" s="1">
        <v>0</v>
      </c>
      <c r="AM19" s="17">
        <v>0</v>
      </c>
      <c r="AN19" s="31">
        <v>0</v>
      </c>
      <c r="AO19" s="1">
        <v>4</v>
      </c>
      <c r="AP19" s="17">
        <v>6</v>
      </c>
      <c r="AQ19" s="31">
        <v>0</v>
      </c>
      <c r="AR19" s="1">
        <v>0</v>
      </c>
      <c r="AS19" s="17">
        <v>0</v>
      </c>
      <c r="AT19" s="31">
        <v>0</v>
      </c>
      <c r="AU19" s="1">
        <v>2</v>
      </c>
      <c r="AV19" s="17">
        <v>1</v>
      </c>
      <c r="AW19" s="31">
        <v>0</v>
      </c>
      <c r="AX19" s="1">
        <v>0</v>
      </c>
      <c r="AY19" s="17">
        <v>1</v>
      </c>
      <c r="AZ19" s="31">
        <v>0</v>
      </c>
      <c r="BA19" s="1">
        <v>0</v>
      </c>
      <c r="BB19" s="1">
        <v>1</v>
      </c>
      <c r="BC19" s="31">
        <v>0</v>
      </c>
      <c r="BD19" s="1">
        <v>8</v>
      </c>
      <c r="BE19" s="17">
        <v>5</v>
      </c>
      <c r="BF19" s="1">
        <v>0</v>
      </c>
      <c r="BG19" s="1">
        <v>0</v>
      </c>
      <c r="BH19" s="17">
        <v>0</v>
      </c>
      <c r="BI19" s="1">
        <v>0</v>
      </c>
      <c r="BJ19" s="1">
        <v>0</v>
      </c>
      <c r="BK19" s="17">
        <v>2</v>
      </c>
      <c r="BL19" s="31">
        <v>0</v>
      </c>
      <c r="BM19" s="1">
        <v>1</v>
      </c>
      <c r="BN19" s="17">
        <v>2</v>
      </c>
      <c r="BO19" s="31">
        <v>0</v>
      </c>
      <c r="BP19" s="1">
        <v>0</v>
      </c>
      <c r="BQ19" s="17">
        <v>0</v>
      </c>
      <c r="BR19" s="31">
        <v>0</v>
      </c>
      <c r="BS19" s="1">
        <v>0</v>
      </c>
      <c r="BT19" s="17">
        <v>0</v>
      </c>
      <c r="BU19" s="31">
        <v>0</v>
      </c>
      <c r="BV19" s="1">
        <v>0</v>
      </c>
      <c r="BW19" s="17">
        <v>0</v>
      </c>
      <c r="BX19" s="31">
        <v>0</v>
      </c>
      <c r="BY19" s="1">
        <v>1</v>
      </c>
      <c r="BZ19" s="17">
        <v>3</v>
      </c>
      <c r="CA19" s="31">
        <v>0</v>
      </c>
      <c r="CB19" s="1">
        <v>0</v>
      </c>
      <c r="CC19" s="17">
        <v>0</v>
      </c>
      <c r="CD19" s="31">
        <v>0</v>
      </c>
      <c r="CE19" s="1">
        <v>0</v>
      </c>
      <c r="CF19" s="17">
        <v>0</v>
      </c>
      <c r="CG19" s="31">
        <v>0</v>
      </c>
      <c r="CH19" s="1">
        <v>0</v>
      </c>
      <c r="CI19" s="17">
        <v>1</v>
      </c>
      <c r="CJ19" s="31">
        <v>0</v>
      </c>
      <c r="CK19" s="1">
        <v>1</v>
      </c>
      <c r="CL19" s="17">
        <v>1</v>
      </c>
      <c r="CM19" s="31">
        <v>0</v>
      </c>
      <c r="CN19" s="1">
        <v>0</v>
      </c>
      <c r="CO19" s="17">
        <v>0</v>
      </c>
      <c r="CP19" s="31">
        <v>0</v>
      </c>
      <c r="CQ19" s="1">
        <v>0</v>
      </c>
      <c r="CR19" s="17">
        <v>0</v>
      </c>
      <c r="CS19" s="31">
        <v>0</v>
      </c>
      <c r="CT19" s="1">
        <v>0</v>
      </c>
      <c r="CU19" s="17">
        <v>0</v>
      </c>
      <c r="CV19" s="1">
        <v>0</v>
      </c>
      <c r="CW19" s="1">
        <v>0</v>
      </c>
      <c r="CX19" s="1">
        <v>0</v>
      </c>
      <c r="CY19" s="31">
        <f>SUMIF(D5:CX5,"*Große Werdienſtmedaillen*",D19:CX19)</f>
        <v>0</v>
      </c>
      <c r="CZ19" s="1">
        <f>SUMIF(D5:CX5,"*Preismedaillen*",D19:CX19)</f>
        <v>46</v>
      </c>
      <c r="DA19" s="17">
        <f>SUMIF(D5:CX5,"*Ehrenbolle Rwähnungen*",D19:CX19)</f>
        <v>62</v>
      </c>
      <c r="DB19" s="34">
        <f t="shared" si="1"/>
        <v>108</v>
      </c>
      <c r="DC19" s="76"/>
      <c r="DD19" s="76"/>
      <c r="DE19" s="76"/>
      <c r="DF19" s="76"/>
    </row>
    <row r="20" spans="1:110" ht="24" customHeight="1" x14ac:dyDescent="0.15">
      <c r="A20" s="76"/>
      <c r="B20" s="30">
        <v>15</v>
      </c>
      <c r="C20" s="30" t="str">
        <f t="shared" si="0"/>
        <v>XV</v>
      </c>
      <c r="D20" s="31">
        <v>0</v>
      </c>
      <c r="E20" s="1">
        <v>26</v>
      </c>
      <c r="F20" s="17">
        <v>15</v>
      </c>
      <c r="G20" s="31">
        <v>0</v>
      </c>
      <c r="H20" s="1">
        <v>0</v>
      </c>
      <c r="I20" s="17">
        <v>0</v>
      </c>
      <c r="J20" s="31">
        <v>0</v>
      </c>
      <c r="K20" s="1">
        <v>0</v>
      </c>
      <c r="L20" s="17">
        <v>0</v>
      </c>
      <c r="M20" s="31">
        <v>0</v>
      </c>
      <c r="N20" s="1">
        <v>0</v>
      </c>
      <c r="O20" s="17">
        <v>0</v>
      </c>
      <c r="P20" s="31">
        <v>0</v>
      </c>
      <c r="Q20" s="1">
        <v>0</v>
      </c>
      <c r="R20" s="17">
        <v>0</v>
      </c>
      <c r="S20" s="31">
        <v>0</v>
      </c>
      <c r="T20" s="1">
        <v>0</v>
      </c>
      <c r="U20" s="17">
        <v>0</v>
      </c>
      <c r="V20" s="31">
        <v>0</v>
      </c>
      <c r="W20" s="1">
        <v>0</v>
      </c>
      <c r="X20" s="17">
        <v>0</v>
      </c>
      <c r="Y20" s="31">
        <v>0</v>
      </c>
      <c r="Z20" s="1">
        <v>0</v>
      </c>
      <c r="AA20" s="17">
        <v>0</v>
      </c>
      <c r="AB20" s="31">
        <v>0</v>
      </c>
      <c r="AC20" s="1">
        <v>1</v>
      </c>
      <c r="AD20" s="17">
        <v>0</v>
      </c>
      <c r="AE20" s="31">
        <v>0</v>
      </c>
      <c r="AF20" s="1">
        <v>4</v>
      </c>
      <c r="AG20" s="17">
        <v>1</v>
      </c>
      <c r="AH20" s="31">
        <v>0</v>
      </c>
      <c r="AI20" s="1">
        <v>0</v>
      </c>
      <c r="AJ20" s="17">
        <v>0</v>
      </c>
      <c r="AK20" s="31">
        <v>0</v>
      </c>
      <c r="AL20" s="1">
        <v>0</v>
      </c>
      <c r="AM20" s="17">
        <v>0</v>
      </c>
      <c r="AN20" s="31">
        <v>0</v>
      </c>
      <c r="AO20" s="1">
        <v>9</v>
      </c>
      <c r="AP20" s="17">
        <v>8</v>
      </c>
      <c r="AQ20" s="31">
        <v>0</v>
      </c>
      <c r="AR20" s="1">
        <v>0</v>
      </c>
      <c r="AS20" s="17">
        <v>1</v>
      </c>
      <c r="AT20" s="31">
        <v>0</v>
      </c>
      <c r="AU20" s="1">
        <v>0</v>
      </c>
      <c r="AV20" s="17">
        <v>0</v>
      </c>
      <c r="AW20" s="31">
        <v>0</v>
      </c>
      <c r="AX20" s="1">
        <v>0</v>
      </c>
      <c r="AY20" s="17">
        <v>0</v>
      </c>
      <c r="AZ20" s="31">
        <v>0</v>
      </c>
      <c r="BA20" s="1">
        <v>0</v>
      </c>
      <c r="BB20" s="1">
        <v>0</v>
      </c>
      <c r="BC20" s="31">
        <v>1</v>
      </c>
      <c r="BD20" s="1">
        <v>13</v>
      </c>
      <c r="BE20" s="17">
        <v>10</v>
      </c>
      <c r="BF20" s="1">
        <v>0</v>
      </c>
      <c r="BG20" s="1">
        <v>0</v>
      </c>
      <c r="BH20" s="17">
        <v>0</v>
      </c>
      <c r="BI20" s="1">
        <v>0</v>
      </c>
      <c r="BJ20" s="1">
        <v>0</v>
      </c>
      <c r="BK20" s="17">
        <v>0</v>
      </c>
      <c r="BL20" s="31">
        <v>0</v>
      </c>
      <c r="BM20" s="1">
        <v>6</v>
      </c>
      <c r="BN20" s="17">
        <v>4</v>
      </c>
      <c r="BO20" s="31">
        <v>0</v>
      </c>
      <c r="BP20" s="1">
        <v>0</v>
      </c>
      <c r="BQ20" s="17">
        <v>0</v>
      </c>
      <c r="BR20" s="31">
        <v>0</v>
      </c>
      <c r="BS20" s="1">
        <v>0</v>
      </c>
      <c r="BT20" s="17">
        <v>1</v>
      </c>
      <c r="BU20" s="31">
        <v>0</v>
      </c>
      <c r="BV20" s="1">
        <v>0</v>
      </c>
      <c r="BW20" s="17">
        <v>0</v>
      </c>
      <c r="BX20" s="31">
        <v>0</v>
      </c>
      <c r="BY20" s="1">
        <v>1</v>
      </c>
      <c r="BZ20" s="17">
        <v>0</v>
      </c>
      <c r="CA20" s="31">
        <v>0</v>
      </c>
      <c r="CB20" s="1">
        <v>0</v>
      </c>
      <c r="CC20" s="17">
        <v>0</v>
      </c>
      <c r="CD20" s="31">
        <v>0</v>
      </c>
      <c r="CE20" s="1">
        <v>0</v>
      </c>
      <c r="CF20" s="17">
        <v>0</v>
      </c>
      <c r="CG20" s="31">
        <v>0</v>
      </c>
      <c r="CH20" s="1">
        <v>0</v>
      </c>
      <c r="CI20" s="17">
        <v>0</v>
      </c>
      <c r="CJ20" s="31">
        <v>0</v>
      </c>
      <c r="CK20" s="1">
        <v>0</v>
      </c>
      <c r="CL20" s="17">
        <v>0</v>
      </c>
      <c r="CM20" s="31">
        <v>0</v>
      </c>
      <c r="CN20" s="1">
        <v>0</v>
      </c>
      <c r="CO20" s="17">
        <v>0</v>
      </c>
      <c r="CP20" s="31">
        <v>0</v>
      </c>
      <c r="CQ20" s="1">
        <v>0</v>
      </c>
      <c r="CR20" s="17">
        <v>0</v>
      </c>
      <c r="CS20" s="31">
        <v>0</v>
      </c>
      <c r="CT20" s="1">
        <v>0</v>
      </c>
      <c r="CU20" s="17">
        <v>0</v>
      </c>
      <c r="CV20" s="1">
        <v>0</v>
      </c>
      <c r="CW20" s="1">
        <v>0</v>
      </c>
      <c r="CX20" s="1">
        <v>0</v>
      </c>
      <c r="CY20" s="31">
        <f>SUMIF(D5:CX5,"*Große Werdienſtmedaillen*",D20:CX20)</f>
        <v>1</v>
      </c>
      <c r="CZ20" s="1">
        <f>SUMIF(D5:CX5,"*Preismedaillen*",D20:CX20)</f>
        <v>60</v>
      </c>
      <c r="DA20" s="17">
        <f>SUMIF(D5:CX5,"*Ehrenbolle Rwähnungen*",D20:CX20)</f>
        <v>40</v>
      </c>
      <c r="DB20" s="34">
        <f t="shared" si="1"/>
        <v>101</v>
      </c>
      <c r="DC20" s="76"/>
      <c r="DD20" s="76"/>
      <c r="DE20" s="76"/>
      <c r="DF20" s="76"/>
    </row>
    <row r="21" spans="1:110" ht="24" customHeight="1" x14ac:dyDescent="0.15">
      <c r="A21" s="76"/>
      <c r="B21" s="30">
        <v>16</v>
      </c>
      <c r="C21" s="30" t="str">
        <f t="shared" si="0"/>
        <v>XVI</v>
      </c>
      <c r="D21" s="31">
        <v>0</v>
      </c>
      <c r="E21" s="1">
        <v>43</v>
      </c>
      <c r="F21" s="17">
        <v>39</v>
      </c>
      <c r="G21" s="31">
        <v>0</v>
      </c>
      <c r="H21" s="1">
        <v>3</v>
      </c>
      <c r="I21" s="17">
        <v>2</v>
      </c>
      <c r="J21" s="31">
        <v>0</v>
      </c>
      <c r="K21" s="1">
        <v>0</v>
      </c>
      <c r="L21" s="17">
        <v>1</v>
      </c>
      <c r="M21" s="31">
        <v>0</v>
      </c>
      <c r="N21" s="1">
        <v>0</v>
      </c>
      <c r="O21" s="17">
        <v>0</v>
      </c>
      <c r="P21" s="31">
        <v>0</v>
      </c>
      <c r="Q21" s="1">
        <v>0</v>
      </c>
      <c r="R21" s="17">
        <v>0</v>
      </c>
      <c r="S21" s="31">
        <v>0</v>
      </c>
      <c r="T21" s="1">
        <v>0</v>
      </c>
      <c r="U21" s="17">
        <v>0</v>
      </c>
      <c r="V21" s="31">
        <v>0</v>
      </c>
      <c r="W21" s="1">
        <v>0</v>
      </c>
      <c r="X21" s="17">
        <v>0</v>
      </c>
      <c r="Y21" s="31">
        <v>0</v>
      </c>
      <c r="Z21" s="1">
        <v>0</v>
      </c>
      <c r="AA21" s="17">
        <v>0</v>
      </c>
      <c r="AB21" s="31">
        <v>0</v>
      </c>
      <c r="AC21" s="1">
        <v>5</v>
      </c>
      <c r="AD21" s="17">
        <v>1</v>
      </c>
      <c r="AE21" s="31">
        <v>0</v>
      </c>
      <c r="AF21" s="1">
        <v>4</v>
      </c>
      <c r="AG21" s="17">
        <v>4</v>
      </c>
      <c r="AH21" s="31">
        <v>0</v>
      </c>
      <c r="AI21" s="1">
        <v>0</v>
      </c>
      <c r="AJ21" s="17">
        <v>0</v>
      </c>
      <c r="AK21" s="31">
        <v>0</v>
      </c>
      <c r="AL21" s="1">
        <v>1</v>
      </c>
      <c r="AM21" s="17">
        <v>1</v>
      </c>
      <c r="AN21" s="31">
        <v>0</v>
      </c>
      <c r="AO21" s="1">
        <v>7</v>
      </c>
      <c r="AP21" s="17">
        <v>7</v>
      </c>
      <c r="AQ21" s="31">
        <v>0</v>
      </c>
      <c r="AR21" s="1">
        <v>0</v>
      </c>
      <c r="AS21" s="17">
        <v>1</v>
      </c>
      <c r="AT21" s="31">
        <v>0</v>
      </c>
      <c r="AW21" s="31">
        <v>0</v>
      </c>
      <c r="AX21" s="1">
        <v>0</v>
      </c>
      <c r="AY21" s="17">
        <v>0</v>
      </c>
      <c r="AZ21" s="31">
        <v>0</v>
      </c>
      <c r="BA21" s="1">
        <v>0</v>
      </c>
      <c r="BB21" s="1">
        <v>0</v>
      </c>
      <c r="BC21" s="31">
        <v>0</v>
      </c>
      <c r="BD21" s="1">
        <v>26</v>
      </c>
      <c r="BE21" s="17">
        <v>13</v>
      </c>
      <c r="BF21" s="1">
        <v>0</v>
      </c>
      <c r="BG21" s="1">
        <v>0</v>
      </c>
      <c r="BH21" s="17">
        <v>0</v>
      </c>
      <c r="BI21" s="1">
        <v>0</v>
      </c>
      <c r="BJ21" s="1">
        <v>0</v>
      </c>
      <c r="BK21" s="17">
        <v>0</v>
      </c>
      <c r="BL21" s="31">
        <v>0</v>
      </c>
      <c r="BM21" s="1">
        <v>1</v>
      </c>
      <c r="BN21" s="17">
        <v>1</v>
      </c>
      <c r="BO21" s="31">
        <v>0</v>
      </c>
      <c r="BP21" s="1">
        <v>0</v>
      </c>
      <c r="BQ21" s="17">
        <v>0</v>
      </c>
      <c r="BR21" s="31">
        <v>0</v>
      </c>
      <c r="BS21" s="1">
        <v>0</v>
      </c>
      <c r="BT21" s="17">
        <v>0</v>
      </c>
      <c r="BU21" s="31">
        <v>0</v>
      </c>
      <c r="BV21" s="1">
        <v>0</v>
      </c>
      <c r="BW21" s="17">
        <v>0</v>
      </c>
      <c r="BX21" s="31">
        <v>0</v>
      </c>
      <c r="BY21" s="1">
        <v>3</v>
      </c>
      <c r="BZ21" s="17">
        <v>0</v>
      </c>
      <c r="CA21" s="31">
        <v>0</v>
      </c>
      <c r="CB21" s="1">
        <v>0</v>
      </c>
      <c r="CC21" s="17">
        <v>0</v>
      </c>
      <c r="CD21" s="31">
        <v>0</v>
      </c>
      <c r="CE21" s="1">
        <v>0</v>
      </c>
      <c r="CF21" s="17">
        <v>0</v>
      </c>
      <c r="CG21" s="31">
        <v>0</v>
      </c>
      <c r="CH21" s="1">
        <v>1</v>
      </c>
      <c r="CI21" s="17">
        <v>1</v>
      </c>
      <c r="CJ21" s="31">
        <v>0</v>
      </c>
      <c r="CK21" s="1">
        <v>0</v>
      </c>
      <c r="CL21" s="17">
        <v>2</v>
      </c>
      <c r="CM21" s="31">
        <v>0</v>
      </c>
      <c r="CN21" s="1">
        <v>0</v>
      </c>
      <c r="CO21" s="17">
        <v>0</v>
      </c>
      <c r="CP21" s="31">
        <v>0</v>
      </c>
      <c r="CQ21" s="1">
        <v>0</v>
      </c>
      <c r="CR21" s="17">
        <v>0</v>
      </c>
      <c r="CS21" s="31">
        <v>0</v>
      </c>
      <c r="CT21" s="1">
        <v>0</v>
      </c>
      <c r="CU21" s="17">
        <v>0</v>
      </c>
      <c r="CV21" s="1">
        <v>0</v>
      </c>
      <c r="CW21" s="1">
        <v>1</v>
      </c>
      <c r="CX21" s="1">
        <v>0</v>
      </c>
      <c r="CY21" s="31">
        <f>SUMIF(D5:CX5,"*Große Werdienſtmedaillen*",D21:CX21)</f>
        <v>0</v>
      </c>
      <c r="CZ21" s="1">
        <f>SUMIF(D5:CX5,"*Preismedaillen*",D21:CX21)</f>
        <v>95</v>
      </c>
      <c r="DA21" s="17">
        <f>SUMIF(D5:CX5,"*Ehrenbolle Rwähnungen*",D21:CX21)</f>
        <v>71</v>
      </c>
      <c r="DB21" s="34">
        <f t="shared" si="1"/>
        <v>168</v>
      </c>
      <c r="DC21" s="76"/>
      <c r="DD21" s="76"/>
      <c r="DE21" s="76"/>
      <c r="DF21" s="76"/>
    </row>
    <row r="22" spans="1:110" ht="24" customHeight="1" x14ac:dyDescent="0.15">
      <c r="A22" s="76"/>
      <c r="B22" s="30">
        <v>17</v>
      </c>
      <c r="C22" s="30" t="str">
        <f t="shared" si="0"/>
        <v>XVII</v>
      </c>
      <c r="D22" s="31">
        <v>0</v>
      </c>
      <c r="E22" s="1">
        <v>34</v>
      </c>
      <c r="F22" s="17">
        <v>20</v>
      </c>
      <c r="G22" s="31">
        <v>0</v>
      </c>
      <c r="H22" s="1">
        <v>1</v>
      </c>
      <c r="I22" s="17">
        <v>1</v>
      </c>
      <c r="J22" s="31">
        <v>0</v>
      </c>
      <c r="K22" s="1">
        <v>1</v>
      </c>
      <c r="L22" s="17">
        <v>2</v>
      </c>
      <c r="M22" s="31">
        <v>0</v>
      </c>
      <c r="N22" s="1">
        <v>1</v>
      </c>
      <c r="O22" s="17">
        <v>0</v>
      </c>
      <c r="P22" s="31">
        <v>0</v>
      </c>
      <c r="Q22" s="1">
        <v>0</v>
      </c>
      <c r="R22" s="17">
        <v>0</v>
      </c>
      <c r="S22" s="31">
        <v>0</v>
      </c>
      <c r="T22" s="1">
        <v>0</v>
      </c>
      <c r="U22" s="17">
        <v>0</v>
      </c>
      <c r="V22" s="31">
        <v>0</v>
      </c>
      <c r="W22" s="1">
        <v>0</v>
      </c>
      <c r="X22" s="17">
        <v>0</v>
      </c>
      <c r="Y22" s="31">
        <v>0</v>
      </c>
      <c r="Z22" s="1">
        <v>1</v>
      </c>
      <c r="AA22" s="17">
        <v>0</v>
      </c>
      <c r="AB22" s="31">
        <v>0</v>
      </c>
      <c r="AC22" s="1">
        <v>2</v>
      </c>
      <c r="AD22" s="17">
        <v>6</v>
      </c>
      <c r="AE22" s="31">
        <v>0</v>
      </c>
      <c r="AF22" s="1">
        <v>2</v>
      </c>
      <c r="AG22" s="17">
        <v>4</v>
      </c>
      <c r="AH22" s="31">
        <v>0</v>
      </c>
      <c r="AI22" s="1">
        <v>0</v>
      </c>
      <c r="AJ22" s="17">
        <v>0</v>
      </c>
      <c r="AK22" s="31">
        <v>0</v>
      </c>
      <c r="AL22" s="1">
        <v>1</v>
      </c>
      <c r="AM22" s="17">
        <v>0</v>
      </c>
      <c r="AO22" s="1">
        <v>7</v>
      </c>
      <c r="AP22" s="17">
        <v>13</v>
      </c>
      <c r="AQ22" s="31">
        <v>0</v>
      </c>
      <c r="AR22" s="1">
        <v>1</v>
      </c>
      <c r="AS22" s="17">
        <v>2</v>
      </c>
      <c r="AT22" s="31">
        <v>0</v>
      </c>
      <c r="AU22" s="1">
        <v>2</v>
      </c>
      <c r="AV22" s="1">
        <v>1</v>
      </c>
      <c r="AW22" s="31">
        <v>0</v>
      </c>
      <c r="AX22" s="1">
        <v>2</v>
      </c>
      <c r="AY22" s="17">
        <v>1</v>
      </c>
      <c r="AZ22" s="31">
        <v>0</v>
      </c>
      <c r="BA22" s="1">
        <v>0</v>
      </c>
      <c r="BB22" s="1">
        <v>0</v>
      </c>
      <c r="BC22" s="31">
        <v>0</v>
      </c>
      <c r="BD22" s="1">
        <v>25</v>
      </c>
      <c r="BE22" s="17">
        <v>22</v>
      </c>
      <c r="BF22" s="1">
        <v>0</v>
      </c>
      <c r="BG22" s="1">
        <v>0</v>
      </c>
      <c r="BH22" s="17">
        <v>0</v>
      </c>
      <c r="BI22" s="1">
        <v>0</v>
      </c>
      <c r="BJ22" s="1">
        <v>1</v>
      </c>
      <c r="BK22" s="17">
        <v>2</v>
      </c>
      <c r="BL22" s="31">
        <v>1</v>
      </c>
      <c r="BM22" s="1">
        <v>4</v>
      </c>
      <c r="BN22" s="17">
        <v>2</v>
      </c>
      <c r="BO22" s="31">
        <v>0</v>
      </c>
      <c r="BP22" s="1">
        <v>0</v>
      </c>
      <c r="BQ22" s="17">
        <v>0</v>
      </c>
      <c r="BR22" s="31">
        <v>0</v>
      </c>
      <c r="BS22" s="1">
        <v>0</v>
      </c>
      <c r="BT22" s="17">
        <v>0</v>
      </c>
      <c r="BU22" s="31">
        <v>0</v>
      </c>
      <c r="BV22" s="1">
        <v>1</v>
      </c>
      <c r="BW22" s="17">
        <v>0</v>
      </c>
      <c r="BX22" s="31">
        <v>0</v>
      </c>
      <c r="BY22" s="1">
        <v>1</v>
      </c>
      <c r="BZ22" s="17">
        <v>1</v>
      </c>
      <c r="CA22" s="31">
        <v>0</v>
      </c>
      <c r="CB22" s="1">
        <v>1</v>
      </c>
      <c r="CC22" s="17">
        <v>1</v>
      </c>
      <c r="CD22" s="31">
        <v>0</v>
      </c>
      <c r="CE22" s="1">
        <v>0</v>
      </c>
      <c r="CF22" s="17">
        <v>0</v>
      </c>
      <c r="CG22" s="31">
        <v>0</v>
      </c>
      <c r="CH22" s="1">
        <v>0</v>
      </c>
      <c r="CI22" s="17">
        <v>0</v>
      </c>
      <c r="CJ22" s="31">
        <v>0</v>
      </c>
      <c r="CK22" s="1">
        <v>0</v>
      </c>
      <c r="CL22" s="17">
        <v>0</v>
      </c>
      <c r="CM22" s="31">
        <v>0</v>
      </c>
      <c r="CN22" s="1">
        <v>0</v>
      </c>
      <c r="CO22" s="17">
        <v>0</v>
      </c>
      <c r="CP22" s="31">
        <v>0</v>
      </c>
      <c r="CQ22" s="1">
        <v>0</v>
      </c>
      <c r="CR22" s="17">
        <v>0</v>
      </c>
      <c r="CS22" s="31">
        <v>0</v>
      </c>
      <c r="CT22" s="1">
        <v>0</v>
      </c>
      <c r="CU22" s="17">
        <v>0</v>
      </c>
      <c r="CV22" s="1">
        <v>0</v>
      </c>
      <c r="CW22" s="1">
        <v>0</v>
      </c>
      <c r="CX22" s="1">
        <v>0</v>
      </c>
      <c r="CY22" s="31">
        <f>SUMIF(D5:CX5,"*Große Werdienſtmedaillen*",D22:CX22)</f>
        <v>1</v>
      </c>
      <c r="CZ22" s="1">
        <f>SUMIF(D5:CX5,"*Preismedaillen*",D22:CX22)</f>
        <v>88</v>
      </c>
      <c r="DA22" s="17">
        <f>SUMIF(D5:CX5,"*Ehrenbolle Rwähnungen*",D22:CX22)</f>
        <v>77</v>
      </c>
      <c r="DB22" s="34">
        <f t="shared" si="1"/>
        <v>167</v>
      </c>
      <c r="DC22" s="76"/>
      <c r="DD22" s="76"/>
      <c r="DE22" s="76"/>
      <c r="DF22" s="76"/>
    </row>
    <row r="23" spans="1:110" ht="24" customHeight="1" x14ac:dyDescent="0.15">
      <c r="A23" s="76"/>
      <c r="B23" s="30">
        <v>18</v>
      </c>
      <c r="C23" s="30" t="str">
        <f t="shared" si="0"/>
        <v>XVIII</v>
      </c>
      <c r="D23" s="31">
        <v>0</v>
      </c>
      <c r="E23" s="1">
        <v>18</v>
      </c>
      <c r="F23" s="17">
        <v>0</v>
      </c>
      <c r="G23" s="31">
        <v>0</v>
      </c>
      <c r="H23" s="1">
        <v>0</v>
      </c>
      <c r="I23" s="17">
        <v>0</v>
      </c>
      <c r="J23" s="31">
        <v>0</v>
      </c>
      <c r="K23" s="1">
        <v>0</v>
      </c>
      <c r="L23" s="17">
        <v>0</v>
      </c>
      <c r="M23" s="31">
        <v>0</v>
      </c>
      <c r="N23" s="1">
        <v>0</v>
      </c>
      <c r="O23" s="17">
        <v>0</v>
      </c>
      <c r="P23" s="31">
        <v>0</v>
      </c>
      <c r="Q23" s="1">
        <v>0</v>
      </c>
      <c r="R23" s="17">
        <v>0</v>
      </c>
      <c r="S23" s="31">
        <v>0</v>
      </c>
      <c r="T23" s="1">
        <v>0</v>
      </c>
      <c r="U23" s="17">
        <v>0</v>
      </c>
      <c r="V23" s="31">
        <v>0</v>
      </c>
      <c r="W23" s="1">
        <v>0</v>
      </c>
      <c r="X23" s="17">
        <v>0</v>
      </c>
      <c r="Y23" s="31">
        <v>0</v>
      </c>
      <c r="Z23" s="1">
        <v>0</v>
      </c>
      <c r="AA23" s="17">
        <v>0</v>
      </c>
      <c r="AB23" s="31">
        <v>0</v>
      </c>
      <c r="AC23" s="1">
        <v>0</v>
      </c>
      <c r="AD23" s="17">
        <v>0</v>
      </c>
      <c r="AE23" s="31">
        <v>0</v>
      </c>
      <c r="AF23" s="1">
        <v>0</v>
      </c>
      <c r="AG23" s="17">
        <v>0</v>
      </c>
      <c r="AH23" s="31">
        <v>0</v>
      </c>
      <c r="AI23" s="1">
        <v>0</v>
      </c>
      <c r="AJ23" s="17">
        <v>0</v>
      </c>
      <c r="AK23" s="31">
        <v>0</v>
      </c>
      <c r="AL23" s="1">
        <v>0</v>
      </c>
      <c r="AM23" s="17">
        <v>0</v>
      </c>
      <c r="AN23" s="31">
        <v>0</v>
      </c>
      <c r="AO23" s="1">
        <v>2</v>
      </c>
      <c r="AP23" s="17">
        <v>0</v>
      </c>
      <c r="AQ23" s="31">
        <v>0</v>
      </c>
      <c r="AR23" s="1">
        <v>0</v>
      </c>
      <c r="AS23" s="17">
        <v>0</v>
      </c>
      <c r="AT23" s="31">
        <v>0</v>
      </c>
      <c r="AW23" s="31">
        <v>0</v>
      </c>
      <c r="AX23" s="1">
        <v>0</v>
      </c>
      <c r="AY23" s="17">
        <v>0</v>
      </c>
      <c r="AZ23" s="31">
        <v>0</v>
      </c>
      <c r="BA23" s="1">
        <v>0</v>
      </c>
      <c r="BB23" s="1">
        <v>0</v>
      </c>
      <c r="BC23" s="31">
        <v>0</v>
      </c>
      <c r="BD23" s="1">
        <v>17</v>
      </c>
      <c r="BE23" s="17">
        <v>0</v>
      </c>
      <c r="BF23" s="1">
        <v>0</v>
      </c>
      <c r="BG23" s="1">
        <v>0</v>
      </c>
      <c r="BH23" s="17">
        <v>0</v>
      </c>
      <c r="BI23" s="1">
        <v>0</v>
      </c>
      <c r="BJ23" s="1">
        <v>0</v>
      </c>
      <c r="BK23" s="17">
        <v>0</v>
      </c>
      <c r="BL23" s="31">
        <v>0</v>
      </c>
      <c r="BM23" s="1">
        <v>2</v>
      </c>
      <c r="BN23" s="17">
        <v>0</v>
      </c>
      <c r="BO23" s="31">
        <v>0</v>
      </c>
      <c r="BP23" s="1">
        <v>0</v>
      </c>
      <c r="BQ23" s="17">
        <v>0</v>
      </c>
      <c r="BR23" s="31">
        <v>0</v>
      </c>
      <c r="BS23" s="1">
        <v>0</v>
      </c>
      <c r="BT23" s="17">
        <v>0</v>
      </c>
      <c r="BU23" s="31">
        <v>0</v>
      </c>
      <c r="BV23" s="1">
        <v>0</v>
      </c>
      <c r="BW23" s="17">
        <v>0</v>
      </c>
      <c r="BX23" s="31">
        <v>0</v>
      </c>
      <c r="BY23" s="1">
        <v>0</v>
      </c>
      <c r="BZ23" s="17">
        <v>0</v>
      </c>
      <c r="CA23" s="31">
        <v>0</v>
      </c>
      <c r="CB23" s="1">
        <v>0</v>
      </c>
      <c r="CC23" s="17">
        <v>0</v>
      </c>
      <c r="CD23" s="31">
        <v>0</v>
      </c>
      <c r="CE23" s="1">
        <v>0</v>
      </c>
      <c r="CF23" s="17">
        <v>0</v>
      </c>
      <c r="CG23" s="31">
        <v>0</v>
      </c>
      <c r="CH23" s="1">
        <v>3</v>
      </c>
      <c r="CI23" s="17">
        <v>0</v>
      </c>
      <c r="CJ23" s="31">
        <v>0</v>
      </c>
      <c r="CK23" s="1">
        <v>0</v>
      </c>
      <c r="CL23" s="17">
        <v>0</v>
      </c>
      <c r="CM23" s="31">
        <v>0</v>
      </c>
      <c r="CN23" s="1">
        <v>0</v>
      </c>
      <c r="CO23" s="17">
        <v>0</v>
      </c>
      <c r="CP23" s="31">
        <v>0</v>
      </c>
      <c r="CQ23" s="1">
        <v>0</v>
      </c>
      <c r="CR23" s="17">
        <v>0</v>
      </c>
      <c r="CS23" s="31">
        <v>0</v>
      </c>
      <c r="CT23" s="1">
        <v>0</v>
      </c>
      <c r="CU23" s="17">
        <v>0</v>
      </c>
      <c r="CV23" s="1">
        <v>0</v>
      </c>
      <c r="CW23" s="1">
        <v>0</v>
      </c>
      <c r="CX23" s="1">
        <v>0</v>
      </c>
      <c r="CY23" s="31">
        <f>SUMIF(D5:CX5,"*Große Werdienſtmedaillen*",D23:CX23)</f>
        <v>0</v>
      </c>
      <c r="CZ23" s="1">
        <f>SUMIF(D5:CX5,"*Preismedaillen*",D23:CX23)</f>
        <v>42</v>
      </c>
      <c r="DA23" s="17">
        <f>SUMIF(D5:CX5,"*Ehrenbolle Rwähnungen*",D23:CX23)</f>
        <v>0</v>
      </c>
      <c r="DB23" s="34">
        <f t="shared" si="1"/>
        <v>42</v>
      </c>
      <c r="DC23" s="76"/>
      <c r="DD23" s="76"/>
      <c r="DE23" s="76"/>
      <c r="DF23" s="76"/>
    </row>
    <row r="24" spans="1:110" ht="24" customHeight="1" x14ac:dyDescent="0.15">
      <c r="A24" s="76"/>
      <c r="B24" s="30">
        <v>19</v>
      </c>
      <c r="C24" s="30" t="str">
        <f t="shared" si="0"/>
        <v>XIX</v>
      </c>
      <c r="D24" s="31">
        <v>1</v>
      </c>
      <c r="E24" s="1">
        <v>83</v>
      </c>
      <c r="F24" s="17">
        <v>57</v>
      </c>
      <c r="G24" s="31">
        <v>0</v>
      </c>
      <c r="H24" s="1">
        <v>0</v>
      </c>
      <c r="I24" s="17">
        <v>0</v>
      </c>
      <c r="J24" s="31">
        <v>0</v>
      </c>
      <c r="K24" s="1">
        <v>0</v>
      </c>
      <c r="L24" s="17">
        <v>1</v>
      </c>
      <c r="M24" s="31">
        <v>0</v>
      </c>
      <c r="N24" s="1">
        <v>0</v>
      </c>
      <c r="O24" s="17">
        <v>0</v>
      </c>
      <c r="P24" s="31">
        <v>0</v>
      </c>
      <c r="Q24" s="1">
        <v>0</v>
      </c>
      <c r="R24" s="17">
        <v>0</v>
      </c>
      <c r="S24" s="31">
        <v>0</v>
      </c>
      <c r="T24" s="1">
        <v>0</v>
      </c>
      <c r="U24" s="17">
        <v>0</v>
      </c>
      <c r="V24" s="31">
        <v>0</v>
      </c>
      <c r="W24" s="1">
        <v>0</v>
      </c>
      <c r="X24" s="17">
        <v>0</v>
      </c>
      <c r="Y24" s="31">
        <v>0</v>
      </c>
      <c r="Z24" s="1">
        <v>0</v>
      </c>
      <c r="AA24" s="17">
        <v>0</v>
      </c>
      <c r="AB24" s="31">
        <v>0</v>
      </c>
      <c r="AC24" s="1">
        <v>1</v>
      </c>
      <c r="AD24" s="17">
        <v>1</v>
      </c>
      <c r="AE24" s="31">
        <v>0</v>
      </c>
      <c r="AF24" s="1">
        <v>18</v>
      </c>
      <c r="AG24" s="17">
        <v>5</v>
      </c>
      <c r="AH24" s="31">
        <v>0</v>
      </c>
      <c r="AI24" s="1">
        <v>0</v>
      </c>
      <c r="AJ24" s="17">
        <v>0</v>
      </c>
      <c r="AK24" s="31">
        <v>0</v>
      </c>
      <c r="AL24" s="1">
        <v>1</v>
      </c>
      <c r="AM24" s="17">
        <v>0</v>
      </c>
      <c r="AN24" s="31">
        <v>0</v>
      </c>
      <c r="AO24" s="1">
        <v>4</v>
      </c>
      <c r="AP24" s="17">
        <v>9</v>
      </c>
      <c r="AQ24" s="31">
        <v>0</v>
      </c>
      <c r="AR24" s="1">
        <v>0</v>
      </c>
      <c r="AS24" s="17">
        <v>0</v>
      </c>
      <c r="AT24" s="31">
        <v>0</v>
      </c>
      <c r="AU24" s="1">
        <v>5</v>
      </c>
      <c r="AV24" s="17">
        <v>3</v>
      </c>
      <c r="AW24" s="31">
        <v>0</v>
      </c>
      <c r="AX24" s="1">
        <v>0</v>
      </c>
      <c r="AY24" s="17">
        <v>0</v>
      </c>
      <c r="AZ24" s="31">
        <v>0</v>
      </c>
      <c r="BA24" s="1">
        <v>1</v>
      </c>
      <c r="BB24" s="1">
        <v>0</v>
      </c>
      <c r="BC24" s="31">
        <v>1</v>
      </c>
      <c r="BD24" s="1">
        <v>26</v>
      </c>
      <c r="BE24" s="17">
        <v>15</v>
      </c>
      <c r="BF24" s="1">
        <v>0</v>
      </c>
      <c r="BG24" s="1">
        <v>0</v>
      </c>
      <c r="BH24" s="17">
        <v>1</v>
      </c>
      <c r="BI24" s="1">
        <v>0</v>
      </c>
      <c r="BJ24" s="1">
        <v>1</v>
      </c>
      <c r="BK24" s="17">
        <v>0</v>
      </c>
      <c r="BL24" s="31">
        <v>0</v>
      </c>
      <c r="BM24" s="1">
        <v>1</v>
      </c>
      <c r="BN24" s="17">
        <v>3</v>
      </c>
      <c r="BO24" s="31">
        <v>0</v>
      </c>
      <c r="BP24" s="1">
        <v>0</v>
      </c>
      <c r="BQ24" s="17">
        <v>0</v>
      </c>
      <c r="BR24" s="31">
        <v>0</v>
      </c>
      <c r="BS24" s="1">
        <v>0</v>
      </c>
      <c r="BT24" s="17">
        <v>1</v>
      </c>
      <c r="BU24" s="31">
        <v>0</v>
      </c>
      <c r="BV24" s="1">
        <v>0</v>
      </c>
      <c r="BW24" s="17">
        <v>0</v>
      </c>
      <c r="BX24" s="31">
        <v>0</v>
      </c>
      <c r="BY24" s="1">
        <v>0</v>
      </c>
      <c r="BZ24" s="17">
        <v>1</v>
      </c>
      <c r="CA24" s="31">
        <v>0</v>
      </c>
      <c r="CB24" s="1">
        <v>1</v>
      </c>
      <c r="CC24" s="17">
        <v>2</v>
      </c>
      <c r="CD24" s="31">
        <v>0</v>
      </c>
      <c r="CE24" s="1">
        <v>4</v>
      </c>
      <c r="CF24" s="17">
        <v>0</v>
      </c>
      <c r="CG24" s="31">
        <v>0</v>
      </c>
      <c r="CH24" s="1">
        <v>11</v>
      </c>
      <c r="CI24" s="17">
        <v>3</v>
      </c>
      <c r="CJ24" s="31">
        <v>0</v>
      </c>
      <c r="CK24" s="1">
        <v>3</v>
      </c>
      <c r="CL24" s="17">
        <v>1</v>
      </c>
      <c r="CM24" s="31">
        <v>0</v>
      </c>
      <c r="CN24" s="1">
        <v>0</v>
      </c>
      <c r="CO24" s="17">
        <v>0</v>
      </c>
      <c r="CP24" s="31">
        <v>0</v>
      </c>
      <c r="CQ24" s="1">
        <v>1</v>
      </c>
      <c r="CR24" s="17">
        <v>0</v>
      </c>
      <c r="CS24" s="31">
        <v>0</v>
      </c>
      <c r="CT24" s="1">
        <v>0</v>
      </c>
      <c r="CU24" s="17">
        <v>0</v>
      </c>
      <c r="CV24" s="1">
        <v>0</v>
      </c>
      <c r="CW24" s="1">
        <v>0</v>
      </c>
      <c r="CX24" s="1">
        <v>0</v>
      </c>
      <c r="CY24" s="31">
        <f ca="1">SUMIF(D5:CX43,"*Große Werdienſtmedaillen*",D24:CX24)</f>
        <v>2</v>
      </c>
      <c r="CZ24" s="1">
        <f>SUMIF(D5:CX5,"*Preismedaillen*",D24:CX24)</f>
        <v>161</v>
      </c>
      <c r="DA24" s="17">
        <f>SUMIF(D5:CX5,"*Ehrenbolle Rwähnungen*",D24:CX24)</f>
        <v>103</v>
      </c>
      <c r="DB24" s="34">
        <f t="shared" si="1"/>
        <v>266</v>
      </c>
      <c r="DC24" s="76"/>
      <c r="DD24" s="76"/>
      <c r="DE24" s="76"/>
      <c r="DF24" s="76"/>
    </row>
    <row r="25" spans="1:110" ht="24" customHeight="1" x14ac:dyDescent="0.15">
      <c r="A25" s="61"/>
      <c r="B25" s="30">
        <v>20</v>
      </c>
      <c r="C25" s="30" t="str">
        <f t="shared" si="0"/>
        <v>XX</v>
      </c>
      <c r="D25" s="31">
        <v>0</v>
      </c>
      <c r="E25" s="1">
        <v>50</v>
      </c>
      <c r="F25" s="17">
        <v>49</v>
      </c>
      <c r="G25" s="31">
        <v>0</v>
      </c>
      <c r="H25" s="1">
        <v>0</v>
      </c>
      <c r="I25" s="17">
        <v>2</v>
      </c>
      <c r="J25" s="31">
        <v>0</v>
      </c>
      <c r="K25" s="1">
        <v>0</v>
      </c>
      <c r="L25" s="17">
        <v>0</v>
      </c>
      <c r="M25" s="31">
        <v>0</v>
      </c>
      <c r="N25" s="1">
        <v>0</v>
      </c>
      <c r="O25" s="17">
        <v>1</v>
      </c>
      <c r="P25" s="31">
        <v>0</v>
      </c>
      <c r="Q25" s="1">
        <v>0</v>
      </c>
      <c r="R25" s="17">
        <v>0</v>
      </c>
      <c r="S25" s="31">
        <v>0</v>
      </c>
      <c r="T25" s="1">
        <v>0</v>
      </c>
      <c r="U25" s="17">
        <v>0</v>
      </c>
      <c r="V25" s="31">
        <v>0</v>
      </c>
      <c r="W25" s="1">
        <v>0</v>
      </c>
      <c r="X25" s="17">
        <v>0</v>
      </c>
      <c r="Y25" s="31">
        <v>0</v>
      </c>
      <c r="Z25" s="1">
        <v>0</v>
      </c>
      <c r="AA25" s="17">
        <v>0</v>
      </c>
      <c r="AB25" s="31">
        <v>0</v>
      </c>
      <c r="AC25" s="1">
        <v>3</v>
      </c>
      <c r="AD25" s="17">
        <v>3</v>
      </c>
      <c r="AE25" s="31">
        <v>0</v>
      </c>
      <c r="AF25" s="1">
        <v>1</v>
      </c>
      <c r="AG25" s="17">
        <v>2</v>
      </c>
      <c r="AH25" s="31">
        <v>0</v>
      </c>
      <c r="AI25" s="1">
        <v>0</v>
      </c>
      <c r="AJ25" s="17">
        <v>0</v>
      </c>
      <c r="AK25" s="31">
        <v>0</v>
      </c>
      <c r="AL25" s="1">
        <v>0</v>
      </c>
      <c r="AM25" s="17">
        <v>0</v>
      </c>
      <c r="AN25" s="31">
        <v>0</v>
      </c>
      <c r="AO25" s="1">
        <v>2</v>
      </c>
      <c r="AP25" s="17">
        <v>3</v>
      </c>
      <c r="AQ25" s="31">
        <v>0</v>
      </c>
      <c r="AR25" s="1">
        <v>0</v>
      </c>
      <c r="AS25" s="17">
        <v>0</v>
      </c>
      <c r="AT25" s="31">
        <v>0</v>
      </c>
      <c r="AU25" s="1">
        <v>7</v>
      </c>
      <c r="AV25" s="17">
        <v>0</v>
      </c>
      <c r="AW25" s="31">
        <v>0</v>
      </c>
      <c r="AX25" s="1">
        <v>0</v>
      </c>
      <c r="AY25" s="17">
        <v>0</v>
      </c>
      <c r="AZ25" s="31">
        <v>0</v>
      </c>
      <c r="BA25" s="1">
        <v>0</v>
      </c>
      <c r="BB25" s="1">
        <v>0</v>
      </c>
      <c r="BC25" s="31">
        <v>0</v>
      </c>
      <c r="BD25" s="1">
        <v>26</v>
      </c>
      <c r="BE25" s="17">
        <v>16</v>
      </c>
      <c r="BF25" s="1">
        <v>0</v>
      </c>
      <c r="BG25" s="1">
        <v>0</v>
      </c>
      <c r="BH25" s="17">
        <v>0</v>
      </c>
      <c r="BI25" s="1">
        <v>0</v>
      </c>
      <c r="BJ25" s="1">
        <v>0</v>
      </c>
      <c r="BK25" s="17">
        <v>0</v>
      </c>
      <c r="BL25" s="31">
        <v>0</v>
      </c>
      <c r="BM25" s="1">
        <v>7</v>
      </c>
      <c r="BN25" s="17">
        <v>3</v>
      </c>
      <c r="BO25" s="31">
        <v>0</v>
      </c>
      <c r="BP25" s="1">
        <v>0</v>
      </c>
      <c r="BQ25" s="17">
        <v>0</v>
      </c>
      <c r="BR25" s="31">
        <v>0</v>
      </c>
      <c r="BS25" s="1">
        <v>0</v>
      </c>
      <c r="BT25" s="17">
        <v>0</v>
      </c>
      <c r="BU25" s="31">
        <v>0</v>
      </c>
      <c r="BV25" s="1">
        <v>0</v>
      </c>
      <c r="BW25" s="17">
        <v>0</v>
      </c>
      <c r="BX25" s="31">
        <v>0</v>
      </c>
      <c r="BY25" s="1">
        <v>2</v>
      </c>
      <c r="BZ25" s="17">
        <v>3</v>
      </c>
      <c r="CA25" s="31">
        <v>0</v>
      </c>
      <c r="CB25" s="1">
        <v>0</v>
      </c>
      <c r="CC25" s="17">
        <v>0</v>
      </c>
      <c r="CD25" s="31">
        <v>0</v>
      </c>
      <c r="CE25" s="1">
        <v>0</v>
      </c>
      <c r="CF25" s="17">
        <v>0</v>
      </c>
      <c r="CG25" s="31">
        <v>0</v>
      </c>
      <c r="CH25" s="1">
        <v>2</v>
      </c>
      <c r="CI25" s="17">
        <v>2</v>
      </c>
      <c r="CJ25" s="31">
        <v>0</v>
      </c>
      <c r="CK25" s="1">
        <v>0</v>
      </c>
      <c r="CL25" s="17">
        <v>0</v>
      </c>
      <c r="CM25" s="31">
        <v>0</v>
      </c>
      <c r="CN25" s="1">
        <v>0</v>
      </c>
      <c r="CO25" s="17">
        <v>0</v>
      </c>
      <c r="CP25" s="31">
        <v>0</v>
      </c>
      <c r="CQ25" s="1">
        <v>2</v>
      </c>
      <c r="CR25" s="17">
        <v>0</v>
      </c>
      <c r="CS25" s="31">
        <v>0</v>
      </c>
      <c r="CT25" s="1">
        <v>0</v>
      </c>
      <c r="CU25" s="17">
        <v>4</v>
      </c>
      <c r="CV25" s="1">
        <v>0</v>
      </c>
      <c r="CW25" s="1">
        <v>3</v>
      </c>
      <c r="CX25" s="1">
        <v>4</v>
      </c>
      <c r="CY25" s="31">
        <f>SUMIF(D5:CX5,"*Große Werdienſtmedaillen*",D25:CX25)</f>
        <v>0</v>
      </c>
      <c r="CZ25" s="1">
        <f>SUMIF(D5:CX5,"*Preismedaillen*",D25:CX25)</f>
        <v>105</v>
      </c>
      <c r="DA25" s="17">
        <f>SUMIF(D5:CX5,"*Ehrenbolle Rwähnungen*",D25:CX25)</f>
        <v>90</v>
      </c>
      <c r="DB25" s="34">
        <f t="shared" si="1"/>
        <v>197</v>
      </c>
      <c r="DC25" s="61"/>
      <c r="DD25" s="61"/>
      <c r="DE25" s="61"/>
      <c r="DF25" s="61"/>
    </row>
    <row r="26" spans="1:110" ht="24" customHeight="1" x14ac:dyDescent="0.15">
      <c r="A26" s="78" t="s">
        <v>95</v>
      </c>
      <c r="B26" s="30">
        <v>21</v>
      </c>
      <c r="C26" s="30" t="str">
        <f t="shared" si="0"/>
        <v>XXI</v>
      </c>
      <c r="D26" s="31">
        <v>1</v>
      </c>
      <c r="E26" s="1">
        <v>61</v>
      </c>
      <c r="F26" s="17">
        <v>50</v>
      </c>
      <c r="G26" s="31">
        <v>0</v>
      </c>
      <c r="H26" s="1">
        <v>0</v>
      </c>
      <c r="I26" s="17">
        <v>5</v>
      </c>
      <c r="J26" s="31">
        <v>0</v>
      </c>
      <c r="K26" s="1">
        <v>0</v>
      </c>
      <c r="L26" s="17">
        <v>0</v>
      </c>
      <c r="M26" s="31">
        <v>0</v>
      </c>
      <c r="N26" s="1">
        <v>0</v>
      </c>
      <c r="O26" s="17">
        <v>0</v>
      </c>
      <c r="P26" s="31">
        <v>0</v>
      </c>
      <c r="Q26" s="1">
        <v>0</v>
      </c>
      <c r="R26" s="17">
        <v>0</v>
      </c>
      <c r="S26" s="31">
        <v>0</v>
      </c>
      <c r="T26" s="1">
        <v>0</v>
      </c>
      <c r="U26" s="17">
        <v>0</v>
      </c>
      <c r="V26" s="31">
        <v>0</v>
      </c>
      <c r="W26" s="1">
        <v>0</v>
      </c>
      <c r="X26" s="17">
        <v>0</v>
      </c>
      <c r="Y26" s="31">
        <v>0</v>
      </c>
      <c r="Z26" s="1">
        <v>0</v>
      </c>
      <c r="AA26" s="17">
        <v>0</v>
      </c>
      <c r="AB26" s="31">
        <v>0</v>
      </c>
      <c r="AC26" s="1">
        <v>3</v>
      </c>
      <c r="AD26" s="17">
        <v>1</v>
      </c>
      <c r="AE26" s="31">
        <v>0</v>
      </c>
      <c r="AF26" s="1">
        <v>0</v>
      </c>
      <c r="AG26" s="17">
        <v>1</v>
      </c>
      <c r="AH26" s="31">
        <v>0</v>
      </c>
      <c r="AI26" s="1">
        <v>0</v>
      </c>
      <c r="AJ26" s="17">
        <v>0</v>
      </c>
      <c r="AK26" s="31">
        <v>0</v>
      </c>
      <c r="AL26" s="1">
        <v>0</v>
      </c>
      <c r="AM26" s="17">
        <v>1</v>
      </c>
      <c r="AN26" s="31">
        <v>0</v>
      </c>
      <c r="AO26" s="1">
        <v>4</v>
      </c>
      <c r="AP26" s="17">
        <v>5</v>
      </c>
      <c r="AQ26" s="31">
        <v>0</v>
      </c>
      <c r="AR26" s="1">
        <v>0</v>
      </c>
      <c r="AS26" s="17">
        <v>0</v>
      </c>
      <c r="AT26" s="31">
        <v>0</v>
      </c>
      <c r="AU26" s="1">
        <v>0</v>
      </c>
      <c r="AV26" s="17">
        <v>2</v>
      </c>
      <c r="AW26" s="31">
        <v>0</v>
      </c>
      <c r="AX26" s="1">
        <v>2</v>
      </c>
      <c r="AY26" s="17">
        <v>0</v>
      </c>
      <c r="AZ26" s="31">
        <v>0</v>
      </c>
      <c r="BA26" s="1">
        <v>0</v>
      </c>
      <c r="BB26" s="1">
        <v>1</v>
      </c>
      <c r="BC26" s="31">
        <v>0</v>
      </c>
      <c r="BD26" s="1">
        <v>7</v>
      </c>
      <c r="BE26" s="17">
        <v>5</v>
      </c>
      <c r="BF26" s="1">
        <v>0</v>
      </c>
      <c r="BG26" s="1">
        <v>0</v>
      </c>
      <c r="BH26" s="17">
        <v>0</v>
      </c>
      <c r="BI26" s="1">
        <v>0</v>
      </c>
      <c r="BJ26" s="1">
        <v>0</v>
      </c>
      <c r="BK26" s="17">
        <v>0</v>
      </c>
      <c r="BL26" s="31">
        <v>0</v>
      </c>
      <c r="BM26" s="1">
        <v>4</v>
      </c>
      <c r="BN26" s="17">
        <v>10</v>
      </c>
      <c r="BO26" s="31">
        <v>0</v>
      </c>
      <c r="BP26" s="1">
        <v>0</v>
      </c>
      <c r="BQ26" s="17">
        <v>0</v>
      </c>
      <c r="BR26" s="31">
        <v>0</v>
      </c>
      <c r="BS26" s="1">
        <v>0</v>
      </c>
      <c r="BT26" s="17">
        <v>1</v>
      </c>
      <c r="BU26" s="31">
        <v>0</v>
      </c>
      <c r="BV26" s="1">
        <v>0</v>
      </c>
      <c r="BW26" s="17">
        <v>0</v>
      </c>
      <c r="BX26" s="31">
        <v>0</v>
      </c>
      <c r="BY26" s="1">
        <v>2</v>
      </c>
      <c r="BZ26" s="17">
        <v>0</v>
      </c>
      <c r="CA26" s="31">
        <v>0</v>
      </c>
      <c r="CB26" s="1">
        <v>0</v>
      </c>
      <c r="CC26" s="17">
        <v>0</v>
      </c>
      <c r="CD26" s="31">
        <v>0</v>
      </c>
      <c r="CE26" s="1">
        <v>1</v>
      </c>
      <c r="CF26" s="17">
        <v>1</v>
      </c>
      <c r="CG26" s="31">
        <v>0</v>
      </c>
      <c r="CH26" s="1">
        <v>1</v>
      </c>
      <c r="CI26" s="17">
        <v>2</v>
      </c>
      <c r="CJ26" s="31">
        <v>0</v>
      </c>
      <c r="CK26" s="1">
        <v>0</v>
      </c>
      <c r="CL26" s="17">
        <v>1</v>
      </c>
      <c r="CM26" s="31">
        <v>0</v>
      </c>
      <c r="CN26" s="1">
        <v>0</v>
      </c>
      <c r="CO26" s="17">
        <v>0</v>
      </c>
      <c r="CP26" s="31">
        <v>0</v>
      </c>
      <c r="CQ26" s="1">
        <v>0</v>
      </c>
      <c r="CR26" s="17">
        <v>0</v>
      </c>
      <c r="CS26" s="31">
        <v>0</v>
      </c>
      <c r="CT26" s="1">
        <v>0</v>
      </c>
      <c r="CU26" s="17">
        <v>0</v>
      </c>
      <c r="CV26" s="1">
        <v>0</v>
      </c>
      <c r="CW26" s="1">
        <v>2</v>
      </c>
      <c r="CX26" s="1">
        <v>2</v>
      </c>
      <c r="CY26" s="32">
        <f>SUMIF(D5:CX5,"*Große Werdienſtmedaillen*",D26:CX26)</f>
        <v>1</v>
      </c>
      <c r="CZ26" s="33">
        <f>SUMIF(D5:CX5,"*Preismedaillen*",D26:CX26)</f>
        <v>87</v>
      </c>
      <c r="DA26" s="34">
        <f>SUMIF(D5:CX5,"*Ehrenbolle Rwähnungen*",D26:CX26)</f>
        <v>83</v>
      </c>
      <c r="DB26" s="34">
        <f t="shared" si="1"/>
        <v>176</v>
      </c>
      <c r="DC26" s="62">
        <f t="shared" ref="DC26:DF26" si="5">SUM(CY26:CY30)</f>
        <v>32</v>
      </c>
      <c r="DD26" s="77">
        <f t="shared" si="5"/>
        <v>509</v>
      </c>
      <c r="DE26" s="62">
        <f t="shared" si="5"/>
        <v>399</v>
      </c>
      <c r="DF26" s="77">
        <f t="shared" si="5"/>
        <v>948</v>
      </c>
    </row>
    <row r="27" spans="1:110" ht="24" customHeight="1" x14ac:dyDescent="0.15">
      <c r="A27" s="76"/>
      <c r="B27" s="30">
        <v>22</v>
      </c>
      <c r="C27" s="30" t="str">
        <f t="shared" si="0"/>
        <v>XXII</v>
      </c>
      <c r="D27" s="31">
        <v>5</v>
      </c>
      <c r="E27" s="1">
        <v>202</v>
      </c>
      <c r="F27" s="17">
        <v>106</v>
      </c>
      <c r="G27" s="31">
        <v>0</v>
      </c>
      <c r="H27" s="1">
        <v>0</v>
      </c>
      <c r="I27" s="17">
        <v>3</v>
      </c>
      <c r="J27" s="31">
        <v>0</v>
      </c>
      <c r="K27" s="1">
        <v>0</v>
      </c>
      <c r="L27" s="17">
        <v>0</v>
      </c>
      <c r="M27" s="31">
        <v>0</v>
      </c>
      <c r="N27" s="1">
        <v>0</v>
      </c>
      <c r="O27" s="17">
        <v>0</v>
      </c>
      <c r="P27" s="31">
        <v>0</v>
      </c>
      <c r="Q27" s="1">
        <v>0</v>
      </c>
      <c r="R27" s="17">
        <v>0</v>
      </c>
      <c r="S27" s="31">
        <v>0</v>
      </c>
      <c r="T27" s="1">
        <v>0</v>
      </c>
      <c r="U27" s="17">
        <v>0</v>
      </c>
      <c r="V27" s="31">
        <v>0</v>
      </c>
      <c r="W27" s="1">
        <v>0</v>
      </c>
      <c r="X27" s="17">
        <v>0</v>
      </c>
      <c r="Y27" s="31">
        <v>0</v>
      </c>
      <c r="Z27" s="1">
        <v>0</v>
      </c>
      <c r="AA27" s="17">
        <v>0</v>
      </c>
      <c r="AB27" s="31">
        <v>0</v>
      </c>
      <c r="AC27" s="1">
        <v>8</v>
      </c>
      <c r="AD27" s="17">
        <v>1</v>
      </c>
      <c r="AE27" s="31">
        <v>1</v>
      </c>
      <c r="AF27" s="1">
        <v>10</v>
      </c>
      <c r="AG27" s="17">
        <v>6</v>
      </c>
      <c r="AH27" s="31">
        <v>0</v>
      </c>
      <c r="AI27" s="1">
        <v>0</v>
      </c>
      <c r="AJ27" s="17">
        <v>0</v>
      </c>
      <c r="AK27" s="31">
        <v>0</v>
      </c>
      <c r="AL27" s="1">
        <v>0</v>
      </c>
      <c r="AM27" s="17">
        <v>1</v>
      </c>
      <c r="AN27" s="31">
        <v>1</v>
      </c>
      <c r="AO27" s="1">
        <v>20</v>
      </c>
      <c r="AP27" s="17">
        <v>23</v>
      </c>
      <c r="AQ27" s="31">
        <v>1</v>
      </c>
      <c r="AR27" s="1">
        <v>0</v>
      </c>
      <c r="AS27" s="17">
        <v>0</v>
      </c>
      <c r="AT27" s="31">
        <v>0</v>
      </c>
      <c r="AU27" s="1">
        <v>1</v>
      </c>
      <c r="AV27" s="17">
        <v>0</v>
      </c>
      <c r="AW27" s="31">
        <v>0</v>
      </c>
      <c r="AX27" s="1">
        <v>4</v>
      </c>
      <c r="AY27" s="17">
        <v>2</v>
      </c>
      <c r="AZ27" s="31">
        <v>0</v>
      </c>
      <c r="BA27" s="1">
        <v>0</v>
      </c>
      <c r="BB27" s="1">
        <v>1</v>
      </c>
      <c r="BC27" s="31">
        <v>4</v>
      </c>
      <c r="BD27" s="1">
        <v>35</v>
      </c>
      <c r="BE27" s="17">
        <v>42</v>
      </c>
      <c r="BF27" s="1">
        <v>0</v>
      </c>
      <c r="BG27" s="1">
        <v>0</v>
      </c>
      <c r="BH27" s="17">
        <v>0</v>
      </c>
      <c r="BI27" s="1">
        <v>0</v>
      </c>
      <c r="BJ27" s="1">
        <v>3</v>
      </c>
      <c r="BK27" s="17">
        <v>1</v>
      </c>
      <c r="BL27" s="31">
        <v>0</v>
      </c>
      <c r="BM27" s="1">
        <v>8</v>
      </c>
      <c r="BN27" s="17">
        <v>16</v>
      </c>
      <c r="BO27" s="31">
        <v>0</v>
      </c>
      <c r="BP27" s="1">
        <v>0</v>
      </c>
      <c r="BQ27" s="17">
        <v>0</v>
      </c>
      <c r="BR27" s="31">
        <v>0</v>
      </c>
      <c r="BS27" s="1">
        <v>0</v>
      </c>
      <c r="BT27" s="17">
        <v>0</v>
      </c>
      <c r="BU27" s="31">
        <v>0</v>
      </c>
      <c r="BV27" s="1">
        <v>0</v>
      </c>
      <c r="BW27" s="17">
        <v>0</v>
      </c>
      <c r="BX27" s="31">
        <v>0</v>
      </c>
      <c r="BY27" s="1">
        <v>3</v>
      </c>
      <c r="BZ27" s="17">
        <v>1</v>
      </c>
      <c r="CA27" s="31">
        <v>0</v>
      </c>
      <c r="CB27" s="1">
        <v>0</v>
      </c>
      <c r="CC27" s="17">
        <v>0</v>
      </c>
      <c r="CD27" s="31">
        <v>0</v>
      </c>
      <c r="CE27" s="1">
        <v>0</v>
      </c>
      <c r="CF27" s="17">
        <v>1</v>
      </c>
      <c r="CG27" s="31">
        <v>0</v>
      </c>
      <c r="CH27" s="1">
        <v>1</v>
      </c>
      <c r="CI27" s="17">
        <v>0</v>
      </c>
      <c r="CJ27" s="31">
        <v>0</v>
      </c>
      <c r="CK27" s="1">
        <v>3</v>
      </c>
      <c r="CL27" s="17">
        <v>0</v>
      </c>
      <c r="CM27" s="31">
        <v>0</v>
      </c>
      <c r="CN27" s="1">
        <v>0</v>
      </c>
      <c r="CO27" s="17">
        <v>0</v>
      </c>
      <c r="CP27" s="31">
        <v>0</v>
      </c>
      <c r="CQ27" s="1">
        <v>1</v>
      </c>
      <c r="CR27" s="17">
        <v>0</v>
      </c>
      <c r="CS27" s="31">
        <v>0</v>
      </c>
      <c r="CT27" s="1">
        <v>0</v>
      </c>
      <c r="CU27" s="17">
        <v>0</v>
      </c>
      <c r="CV27" s="1">
        <v>0</v>
      </c>
      <c r="CW27" s="1">
        <v>0</v>
      </c>
      <c r="CX27" s="1">
        <v>0</v>
      </c>
      <c r="CY27" s="31">
        <f>SUMIF(D5:CX5,"*Große Werdienſtmedaillen*",D27:CX27)</f>
        <v>12</v>
      </c>
      <c r="CZ27" s="1">
        <f>SUMIF(D5:CX5,"*Preismedaillen*",D27:CX27)</f>
        <v>299</v>
      </c>
      <c r="DA27" s="17">
        <f>SUMIF(D5:CX5,"*Ehrenbolle Rwähnungen*",D27:CX27)</f>
        <v>201</v>
      </c>
      <c r="DB27" s="34">
        <f t="shared" si="1"/>
        <v>515</v>
      </c>
      <c r="DC27" s="76"/>
      <c r="DD27" s="76"/>
      <c r="DE27" s="76"/>
      <c r="DF27" s="76"/>
    </row>
    <row r="28" spans="1:110" ht="24" customHeight="1" x14ac:dyDescent="0.15">
      <c r="A28" s="76"/>
      <c r="B28" s="30">
        <v>23</v>
      </c>
      <c r="C28" s="30" t="str">
        <f t="shared" si="0"/>
        <v>XXIII</v>
      </c>
      <c r="D28" s="31">
        <v>6</v>
      </c>
      <c r="E28" s="1">
        <v>14</v>
      </c>
      <c r="F28" s="17">
        <v>28</v>
      </c>
      <c r="G28" s="31">
        <v>0</v>
      </c>
      <c r="H28" s="1">
        <v>0</v>
      </c>
      <c r="I28" s="17">
        <v>0</v>
      </c>
      <c r="J28" s="31">
        <v>0</v>
      </c>
      <c r="K28" s="1">
        <v>0</v>
      </c>
      <c r="L28" s="17">
        <v>0</v>
      </c>
      <c r="M28" s="31">
        <v>0</v>
      </c>
      <c r="N28" s="1">
        <v>0</v>
      </c>
      <c r="O28" s="17">
        <v>0</v>
      </c>
      <c r="P28" s="31">
        <v>0</v>
      </c>
      <c r="Q28" s="1">
        <v>0</v>
      </c>
      <c r="R28" s="17">
        <v>0</v>
      </c>
      <c r="S28" s="31">
        <v>0</v>
      </c>
      <c r="T28" s="1">
        <v>0</v>
      </c>
      <c r="U28" s="17">
        <v>3</v>
      </c>
      <c r="V28" s="31">
        <v>0</v>
      </c>
      <c r="W28" s="1">
        <v>0</v>
      </c>
      <c r="X28" s="17">
        <v>0</v>
      </c>
      <c r="Y28" s="31">
        <v>0</v>
      </c>
      <c r="Z28" s="1">
        <v>0</v>
      </c>
      <c r="AA28" s="17">
        <v>0</v>
      </c>
      <c r="AB28" s="31">
        <v>0</v>
      </c>
      <c r="AC28" s="1">
        <v>0</v>
      </c>
      <c r="AD28" s="17">
        <v>0</v>
      </c>
      <c r="AE28" s="31">
        <v>0</v>
      </c>
      <c r="AF28" s="1">
        <v>1</v>
      </c>
      <c r="AG28" s="17">
        <v>0</v>
      </c>
      <c r="AH28" s="31">
        <v>0</v>
      </c>
      <c r="AI28" s="1">
        <v>0</v>
      </c>
      <c r="AJ28" s="17">
        <v>0</v>
      </c>
      <c r="AK28" s="31">
        <v>0</v>
      </c>
      <c r="AL28" s="1">
        <v>0</v>
      </c>
      <c r="AM28" s="17">
        <v>0</v>
      </c>
      <c r="AN28" s="31">
        <v>2</v>
      </c>
      <c r="AO28" s="38">
        <v>4</v>
      </c>
      <c r="AP28" s="39">
        <v>8</v>
      </c>
      <c r="AQ28" s="31">
        <v>0</v>
      </c>
      <c r="AR28" s="1">
        <v>0</v>
      </c>
      <c r="AS28" s="17">
        <v>0</v>
      </c>
      <c r="AT28" s="31">
        <v>0</v>
      </c>
      <c r="AU28" s="1">
        <v>1</v>
      </c>
      <c r="AV28" s="17">
        <v>0</v>
      </c>
      <c r="AW28" s="31">
        <v>0</v>
      </c>
      <c r="AX28" s="1">
        <v>0</v>
      </c>
      <c r="AY28" s="17">
        <v>0</v>
      </c>
      <c r="AZ28" s="31">
        <v>0</v>
      </c>
      <c r="BA28" s="1">
        <v>1</v>
      </c>
      <c r="BB28" s="1">
        <v>0</v>
      </c>
      <c r="BC28" s="31">
        <v>6</v>
      </c>
      <c r="BD28" s="1">
        <v>31</v>
      </c>
      <c r="BE28" s="17">
        <v>7</v>
      </c>
      <c r="BF28" s="1">
        <v>0</v>
      </c>
      <c r="BG28" s="1">
        <v>0</v>
      </c>
      <c r="BH28" s="17">
        <v>0</v>
      </c>
      <c r="BI28" s="1">
        <v>0</v>
      </c>
      <c r="BJ28" s="1">
        <v>1</v>
      </c>
      <c r="BK28" s="17">
        <v>0</v>
      </c>
      <c r="BL28" s="31">
        <v>0</v>
      </c>
      <c r="BM28" s="1">
        <v>1</v>
      </c>
      <c r="BN28" s="17">
        <v>1</v>
      </c>
      <c r="BO28" s="31">
        <v>0</v>
      </c>
      <c r="BP28" s="1">
        <v>0</v>
      </c>
      <c r="BQ28" s="17">
        <v>0</v>
      </c>
      <c r="BR28" s="31">
        <v>0</v>
      </c>
      <c r="BS28" s="1">
        <v>0</v>
      </c>
      <c r="BT28" s="17">
        <v>3</v>
      </c>
      <c r="BU28" s="31">
        <v>0</v>
      </c>
      <c r="BV28" s="1">
        <v>0</v>
      </c>
      <c r="BW28" s="17">
        <v>0</v>
      </c>
      <c r="BX28" s="31">
        <v>2</v>
      </c>
      <c r="BY28" s="1">
        <v>1</v>
      </c>
      <c r="BZ28" s="17">
        <v>0</v>
      </c>
      <c r="CA28" s="31">
        <v>0</v>
      </c>
      <c r="CB28" s="1">
        <v>2</v>
      </c>
      <c r="CC28" s="17">
        <v>0</v>
      </c>
      <c r="CD28" s="31">
        <v>0</v>
      </c>
      <c r="CE28" s="1">
        <v>0</v>
      </c>
      <c r="CF28" s="17">
        <v>0</v>
      </c>
      <c r="CG28" s="31">
        <v>0</v>
      </c>
      <c r="CH28" s="1">
        <v>4</v>
      </c>
      <c r="CI28" s="17">
        <v>2</v>
      </c>
      <c r="CJ28" s="31">
        <v>0</v>
      </c>
      <c r="CK28" s="1">
        <v>2</v>
      </c>
      <c r="CL28" s="17">
        <v>0</v>
      </c>
      <c r="CM28" s="31">
        <v>0</v>
      </c>
      <c r="CN28" s="1">
        <v>0</v>
      </c>
      <c r="CO28" s="17">
        <v>0</v>
      </c>
      <c r="CP28" s="31">
        <v>0</v>
      </c>
      <c r="CQ28" s="1">
        <v>0</v>
      </c>
      <c r="CR28" s="17">
        <v>0</v>
      </c>
      <c r="CS28" s="31">
        <v>0</v>
      </c>
      <c r="CT28" s="1">
        <v>0</v>
      </c>
      <c r="CU28" s="17">
        <v>0</v>
      </c>
      <c r="CV28" s="1">
        <v>0</v>
      </c>
      <c r="CW28" s="1">
        <v>0</v>
      </c>
      <c r="CX28" s="1">
        <v>0</v>
      </c>
      <c r="CY28" s="31">
        <f>SUMIF(D5:CX5,"*Große Werdienſtmedaillen*",D28:CX28)</f>
        <v>16</v>
      </c>
      <c r="CZ28" s="38">
        <f>SUMIF(D5:CX5,"*Preismedaillen*",D28:CX28)</f>
        <v>63</v>
      </c>
      <c r="DA28" s="17">
        <f>SUMIF(D5:CX5,"*Ehrenbolle Rwähnungen*",D28:CX28)</f>
        <v>52</v>
      </c>
      <c r="DB28" s="34">
        <f t="shared" si="1"/>
        <v>131</v>
      </c>
      <c r="DC28" s="76"/>
      <c r="DD28" s="76"/>
      <c r="DE28" s="76"/>
      <c r="DF28" s="76"/>
    </row>
    <row r="29" spans="1:110" ht="24" customHeight="1" x14ac:dyDescent="0.15">
      <c r="A29" s="76"/>
      <c r="B29" s="30">
        <v>24</v>
      </c>
      <c r="C29" s="30" t="str">
        <f t="shared" si="0"/>
        <v>XXIV</v>
      </c>
      <c r="D29" s="31">
        <v>0</v>
      </c>
      <c r="E29" s="1">
        <v>17</v>
      </c>
      <c r="F29" s="17">
        <v>16</v>
      </c>
      <c r="G29" s="31">
        <v>0</v>
      </c>
      <c r="H29" s="1">
        <v>0</v>
      </c>
      <c r="I29" s="17">
        <v>0</v>
      </c>
      <c r="J29" s="31">
        <v>0</v>
      </c>
      <c r="K29" s="1">
        <v>0</v>
      </c>
      <c r="L29" s="17">
        <v>0</v>
      </c>
      <c r="M29" s="31">
        <v>0</v>
      </c>
      <c r="N29" s="1">
        <v>0</v>
      </c>
      <c r="O29" s="17">
        <v>0</v>
      </c>
      <c r="P29" s="31">
        <v>0</v>
      </c>
      <c r="Q29" s="1">
        <v>0</v>
      </c>
      <c r="R29" s="17">
        <v>0</v>
      </c>
      <c r="S29" s="31">
        <v>0</v>
      </c>
      <c r="T29" s="1">
        <v>0</v>
      </c>
      <c r="U29" s="17">
        <v>0</v>
      </c>
      <c r="V29" s="31">
        <v>0</v>
      </c>
      <c r="W29" s="1">
        <v>0</v>
      </c>
      <c r="X29" s="17">
        <v>0</v>
      </c>
      <c r="Y29" s="31">
        <v>0</v>
      </c>
      <c r="Z29" s="1">
        <v>0</v>
      </c>
      <c r="AA29" s="17">
        <v>1</v>
      </c>
      <c r="AB29" s="31">
        <v>0</v>
      </c>
      <c r="AC29" s="1">
        <v>1</v>
      </c>
      <c r="AD29" s="17">
        <v>0</v>
      </c>
      <c r="AG29" s="40">
        <v>2</v>
      </c>
      <c r="AH29" s="31">
        <v>0</v>
      </c>
      <c r="AI29" s="1">
        <v>0</v>
      </c>
      <c r="AJ29" s="17">
        <v>0</v>
      </c>
      <c r="AK29" s="31">
        <v>0</v>
      </c>
      <c r="AL29" s="1">
        <v>0</v>
      </c>
      <c r="AM29" s="17">
        <v>0</v>
      </c>
      <c r="AN29" s="31">
        <v>0</v>
      </c>
      <c r="AO29" s="1">
        <v>1</v>
      </c>
      <c r="AP29" s="1">
        <v>2</v>
      </c>
      <c r="AQ29" s="31">
        <v>0</v>
      </c>
      <c r="AR29" s="1">
        <v>0</v>
      </c>
      <c r="AS29" s="17">
        <v>3</v>
      </c>
      <c r="AT29" s="31">
        <v>0</v>
      </c>
      <c r="AU29" s="1">
        <v>0</v>
      </c>
      <c r="AV29" s="17">
        <v>0</v>
      </c>
      <c r="AW29" s="31">
        <v>0</v>
      </c>
      <c r="AX29" s="1">
        <v>0</v>
      </c>
      <c r="AY29" s="17">
        <v>0</v>
      </c>
      <c r="AZ29" s="31">
        <v>0</v>
      </c>
      <c r="BA29" s="1">
        <v>0</v>
      </c>
      <c r="BB29" s="1">
        <v>0</v>
      </c>
      <c r="BC29" s="31">
        <v>1</v>
      </c>
      <c r="BD29" s="1">
        <v>8</v>
      </c>
      <c r="BE29" s="17">
        <v>2</v>
      </c>
      <c r="BF29" s="1">
        <v>0</v>
      </c>
      <c r="BG29" s="1">
        <v>0</v>
      </c>
      <c r="BH29" s="17">
        <v>0</v>
      </c>
      <c r="BI29" s="1">
        <v>0</v>
      </c>
      <c r="BJ29" s="1">
        <v>1</v>
      </c>
      <c r="BK29" s="17">
        <v>0</v>
      </c>
      <c r="BL29" s="31">
        <v>0</v>
      </c>
      <c r="BM29" s="1">
        <v>3</v>
      </c>
      <c r="BN29" s="17">
        <v>6</v>
      </c>
      <c r="BO29" s="31">
        <v>0</v>
      </c>
      <c r="BP29" s="1">
        <v>0</v>
      </c>
      <c r="BQ29" s="17">
        <v>0</v>
      </c>
      <c r="BR29" s="31">
        <v>0</v>
      </c>
      <c r="BS29" s="1">
        <v>0</v>
      </c>
      <c r="BT29" s="17">
        <v>3</v>
      </c>
      <c r="BU29" s="31">
        <v>0</v>
      </c>
      <c r="BV29" s="1">
        <v>0</v>
      </c>
      <c r="BW29" s="17">
        <v>0</v>
      </c>
      <c r="BX29" s="31">
        <v>0</v>
      </c>
      <c r="BY29" s="1">
        <v>0</v>
      </c>
      <c r="BZ29" s="17">
        <v>1</v>
      </c>
      <c r="CA29" s="31">
        <v>0</v>
      </c>
      <c r="CB29" s="1">
        <v>0</v>
      </c>
      <c r="CC29" s="17">
        <v>0</v>
      </c>
      <c r="CD29" s="31">
        <v>0</v>
      </c>
      <c r="CE29" s="1">
        <v>0</v>
      </c>
      <c r="CF29" s="17">
        <v>0</v>
      </c>
      <c r="CG29" s="31">
        <v>0</v>
      </c>
      <c r="CH29" s="1">
        <v>0</v>
      </c>
      <c r="CI29" s="17">
        <v>0</v>
      </c>
      <c r="CJ29" s="31">
        <v>0</v>
      </c>
      <c r="CK29" s="1">
        <v>0</v>
      </c>
      <c r="CL29" s="17">
        <v>0</v>
      </c>
      <c r="CM29" s="31">
        <v>0</v>
      </c>
      <c r="CN29" s="1">
        <v>0</v>
      </c>
      <c r="CO29" s="17">
        <v>0</v>
      </c>
      <c r="CP29" s="31">
        <v>0</v>
      </c>
      <c r="CQ29" s="1">
        <v>0</v>
      </c>
      <c r="CR29" s="17">
        <v>0</v>
      </c>
      <c r="CS29" s="31">
        <v>0</v>
      </c>
      <c r="CT29" s="1">
        <v>0</v>
      </c>
      <c r="CU29" s="17">
        <v>0</v>
      </c>
      <c r="CV29" s="1">
        <v>0</v>
      </c>
      <c r="CW29" s="1">
        <v>0</v>
      </c>
      <c r="CX29" s="1">
        <v>1</v>
      </c>
      <c r="CY29" s="31">
        <f>SUMIF(D5:CX5,"*Große Werdienſtmedaillen*",D29:CX29)</f>
        <v>1</v>
      </c>
      <c r="CZ29" s="1">
        <f>SUMIF(D5:CX5,"*Preismedaillen*",D29:CX29)</f>
        <v>31</v>
      </c>
      <c r="DA29" s="17">
        <f>SUMIF(D5:CX5,"*Ehrenbolle Rwähnungen*",D29:CX29)</f>
        <v>37</v>
      </c>
      <c r="DB29" s="34">
        <f t="shared" si="1"/>
        <v>69</v>
      </c>
      <c r="DC29" s="76"/>
      <c r="DD29" s="76"/>
      <c r="DE29" s="76"/>
      <c r="DF29" s="76"/>
    </row>
    <row r="30" spans="1:110" ht="24" customHeight="1" x14ac:dyDescent="0.15">
      <c r="A30" s="61"/>
      <c r="B30" s="30">
        <v>25</v>
      </c>
      <c r="C30" s="30" t="str">
        <f t="shared" si="0"/>
        <v>XXV</v>
      </c>
      <c r="D30" s="31">
        <v>1</v>
      </c>
      <c r="E30" s="1">
        <v>12</v>
      </c>
      <c r="F30" s="17">
        <v>13</v>
      </c>
      <c r="G30" s="31">
        <v>0</v>
      </c>
      <c r="H30" s="1">
        <v>0</v>
      </c>
      <c r="I30" s="17">
        <v>0</v>
      </c>
      <c r="J30" s="31">
        <v>0</v>
      </c>
      <c r="K30" s="1">
        <v>0</v>
      </c>
      <c r="L30" s="17">
        <v>0</v>
      </c>
      <c r="M30" s="31">
        <v>0</v>
      </c>
      <c r="N30" s="1">
        <v>1</v>
      </c>
      <c r="O30" s="17">
        <v>0</v>
      </c>
      <c r="P30" s="31">
        <v>0</v>
      </c>
      <c r="Q30" s="1">
        <v>0</v>
      </c>
      <c r="R30" s="17">
        <v>0</v>
      </c>
      <c r="S30" s="31">
        <v>0</v>
      </c>
      <c r="T30" s="1">
        <v>0</v>
      </c>
      <c r="U30" s="17">
        <v>0</v>
      </c>
      <c r="V30" s="31">
        <v>0</v>
      </c>
      <c r="W30" s="1">
        <v>0</v>
      </c>
      <c r="X30" s="17">
        <v>0</v>
      </c>
      <c r="Y30" s="31">
        <v>0</v>
      </c>
      <c r="Z30" s="1">
        <v>0</v>
      </c>
      <c r="AA30" s="17">
        <v>0</v>
      </c>
      <c r="AB30" s="31">
        <v>0</v>
      </c>
      <c r="AC30" s="1">
        <v>0</v>
      </c>
      <c r="AD30" s="17">
        <v>0</v>
      </c>
      <c r="AE30" s="31">
        <v>0</v>
      </c>
      <c r="AF30" s="1">
        <v>0</v>
      </c>
      <c r="AG30" s="17">
        <v>0</v>
      </c>
      <c r="AH30" s="31">
        <v>0</v>
      </c>
      <c r="AI30" s="1">
        <v>0</v>
      </c>
      <c r="AJ30" s="17">
        <v>0</v>
      </c>
      <c r="AK30" s="31">
        <v>0</v>
      </c>
      <c r="AL30" s="1">
        <v>1</v>
      </c>
      <c r="AM30" s="17">
        <v>0</v>
      </c>
      <c r="AN30" s="31">
        <v>0</v>
      </c>
      <c r="AO30" s="1">
        <v>3</v>
      </c>
      <c r="AP30" s="17">
        <v>3</v>
      </c>
      <c r="AQ30" s="31">
        <v>0</v>
      </c>
      <c r="AR30" s="1">
        <v>1</v>
      </c>
      <c r="AS30" s="17">
        <v>0</v>
      </c>
      <c r="AT30" s="31">
        <v>0</v>
      </c>
      <c r="AU30" s="1">
        <v>1</v>
      </c>
      <c r="AV30" s="17">
        <v>0</v>
      </c>
      <c r="AW30" s="31">
        <v>0</v>
      </c>
      <c r="AX30" s="1">
        <v>0</v>
      </c>
      <c r="AY30" s="17">
        <v>0</v>
      </c>
      <c r="AZ30" s="31">
        <v>0</v>
      </c>
      <c r="BA30" s="1">
        <v>0</v>
      </c>
      <c r="BB30" s="1">
        <v>0</v>
      </c>
      <c r="BC30" s="31">
        <v>1</v>
      </c>
      <c r="BD30" s="1">
        <v>6</v>
      </c>
      <c r="BE30" s="17">
        <v>6</v>
      </c>
      <c r="BF30" s="1">
        <v>0</v>
      </c>
      <c r="BG30" s="1">
        <v>0</v>
      </c>
      <c r="BH30" s="17">
        <v>0</v>
      </c>
      <c r="BI30" s="1">
        <v>0</v>
      </c>
      <c r="BJ30" s="1">
        <v>0</v>
      </c>
      <c r="BK30" s="17">
        <v>0</v>
      </c>
      <c r="BL30" s="31">
        <v>0</v>
      </c>
      <c r="BM30" s="1">
        <v>2</v>
      </c>
      <c r="BN30" s="17">
        <v>2</v>
      </c>
      <c r="BO30" s="31">
        <v>0</v>
      </c>
      <c r="BP30" s="1">
        <v>0</v>
      </c>
      <c r="BQ30" s="17">
        <v>0</v>
      </c>
      <c r="BR30" s="31">
        <v>0</v>
      </c>
      <c r="BS30" s="1">
        <v>1</v>
      </c>
      <c r="BT30" s="17">
        <v>0</v>
      </c>
      <c r="BU30" s="31">
        <v>0</v>
      </c>
      <c r="BV30" s="1">
        <v>0</v>
      </c>
      <c r="BW30" s="17">
        <v>0</v>
      </c>
      <c r="BX30" s="31">
        <v>0</v>
      </c>
      <c r="BY30" s="1">
        <v>1</v>
      </c>
      <c r="BZ30" s="17">
        <v>0</v>
      </c>
      <c r="CA30" s="31">
        <v>0</v>
      </c>
      <c r="CB30" s="1">
        <v>0</v>
      </c>
      <c r="CC30" s="17">
        <v>0</v>
      </c>
      <c r="CD30" s="31">
        <v>0</v>
      </c>
      <c r="CE30" s="1">
        <v>0</v>
      </c>
      <c r="CF30" s="17">
        <v>0</v>
      </c>
      <c r="CG30" s="31">
        <v>0</v>
      </c>
      <c r="CH30" s="1">
        <v>0</v>
      </c>
      <c r="CI30" s="17">
        <v>1</v>
      </c>
      <c r="CJ30" s="31">
        <v>0</v>
      </c>
      <c r="CK30" s="1">
        <v>0</v>
      </c>
      <c r="CL30" s="17">
        <v>0</v>
      </c>
      <c r="CM30" s="31">
        <v>0</v>
      </c>
      <c r="CN30" s="1">
        <v>0</v>
      </c>
      <c r="CO30" s="17">
        <v>0</v>
      </c>
      <c r="CP30" s="31">
        <v>0</v>
      </c>
      <c r="CQ30" s="1">
        <v>0</v>
      </c>
      <c r="CR30" s="17">
        <v>0</v>
      </c>
      <c r="CS30" s="31">
        <v>0</v>
      </c>
      <c r="CT30" s="1">
        <v>0</v>
      </c>
      <c r="CU30" s="17">
        <v>0</v>
      </c>
      <c r="CV30" s="1">
        <v>0</v>
      </c>
      <c r="CW30" s="1">
        <v>0</v>
      </c>
      <c r="CX30" s="1">
        <v>1</v>
      </c>
      <c r="CY30" s="35">
        <f>SUMIF(D5:CX5,"*Große Werdienſtmedaillen*",D30:CX30)</f>
        <v>2</v>
      </c>
      <c r="CZ30" s="36">
        <f>SUMIF(D5:CX5,"*Preismedaillen*",D30:CX30)</f>
        <v>29</v>
      </c>
      <c r="DA30" s="37">
        <f>SUMIF(D5:CX5,"*Ehrenbolle Rwähnungen*",D30:CX30)</f>
        <v>26</v>
      </c>
      <c r="DB30" s="34">
        <f t="shared" si="1"/>
        <v>57</v>
      </c>
      <c r="DC30" s="61"/>
      <c r="DD30" s="61"/>
      <c r="DE30" s="61"/>
      <c r="DF30" s="61"/>
    </row>
    <row r="31" spans="1:110" ht="24" customHeight="1" x14ac:dyDescent="0.15">
      <c r="A31" s="78" t="s">
        <v>96</v>
      </c>
      <c r="B31" s="30">
        <v>26</v>
      </c>
      <c r="C31" s="30" t="str">
        <f t="shared" si="0"/>
        <v>XXVI</v>
      </c>
      <c r="D31" s="31">
        <v>0</v>
      </c>
      <c r="E31" s="1">
        <v>23</v>
      </c>
      <c r="F31" s="17">
        <v>29</v>
      </c>
      <c r="G31" s="31">
        <v>0</v>
      </c>
      <c r="H31" s="1">
        <v>0</v>
      </c>
      <c r="I31" s="17">
        <v>0</v>
      </c>
      <c r="J31" s="31">
        <v>0</v>
      </c>
      <c r="K31" s="1">
        <v>0</v>
      </c>
      <c r="L31" s="17">
        <v>0</v>
      </c>
      <c r="M31" s="31">
        <v>0</v>
      </c>
      <c r="N31" s="1">
        <v>1</v>
      </c>
      <c r="O31" s="17">
        <v>1</v>
      </c>
      <c r="P31" s="31">
        <v>0</v>
      </c>
      <c r="Q31" s="1">
        <v>0</v>
      </c>
      <c r="R31" s="17">
        <v>0</v>
      </c>
      <c r="S31" s="31">
        <v>0</v>
      </c>
      <c r="T31" s="1">
        <v>0</v>
      </c>
      <c r="U31" s="17">
        <v>0</v>
      </c>
      <c r="V31" s="31">
        <v>0</v>
      </c>
      <c r="W31" s="1">
        <v>0</v>
      </c>
      <c r="X31" s="17">
        <v>1</v>
      </c>
      <c r="Y31" s="31">
        <v>0</v>
      </c>
      <c r="Z31" s="1">
        <v>0</v>
      </c>
      <c r="AA31" s="17">
        <v>0</v>
      </c>
      <c r="AB31" s="31">
        <v>0</v>
      </c>
      <c r="AC31" s="1">
        <v>0</v>
      </c>
      <c r="AD31" s="17">
        <v>1</v>
      </c>
      <c r="AE31" s="31">
        <v>0</v>
      </c>
      <c r="AF31" s="1">
        <v>3</v>
      </c>
      <c r="AG31" s="17">
        <v>4</v>
      </c>
      <c r="AH31" s="31">
        <v>0</v>
      </c>
      <c r="AI31" s="1">
        <v>2</v>
      </c>
      <c r="AJ31" s="17">
        <v>1</v>
      </c>
      <c r="AK31" s="31">
        <v>0</v>
      </c>
      <c r="AL31" s="1">
        <v>0</v>
      </c>
      <c r="AM31" s="17">
        <v>0</v>
      </c>
      <c r="AN31" s="31">
        <v>0</v>
      </c>
      <c r="AO31" s="1">
        <v>2</v>
      </c>
      <c r="AP31" s="17">
        <v>1</v>
      </c>
      <c r="AQ31" s="31">
        <v>0</v>
      </c>
      <c r="AR31" s="1">
        <v>2</v>
      </c>
      <c r="AS31" s="17">
        <v>1</v>
      </c>
      <c r="AT31" s="31">
        <v>0</v>
      </c>
      <c r="AU31" s="1">
        <v>0</v>
      </c>
      <c r="AV31" s="17">
        <v>0</v>
      </c>
      <c r="AW31" s="31">
        <v>0</v>
      </c>
      <c r="AX31" s="1">
        <v>0</v>
      </c>
      <c r="AY31" s="17">
        <v>1</v>
      </c>
      <c r="AZ31" s="31">
        <v>0</v>
      </c>
      <c r="BA31" s="1">
        <v>1</v>
      </c>
      <c r="BB31" s="1">
        <v>1</v>
      </c>
      <c r="BC31" s="31">
        <v>4</v>
      </c>
      <c r="BD31" s="1">
        <v>22</v>
      </c>
      <c r="BE31" s="17">
        <v>14</v>
      </c>
      <c r="BF31" s="1">
        <v>0</v>
      </c>
      <c r="BG31" s="1">
        <v>0</v>
      </c>
      <c r="BH31" s="17">
        <v>0</v>
      </c>
      <c r="BI31" s="1">
        <v>0</v>
      </c>
      <c r="BJ31" s="1">
        <v>1</v>
      </c>
      <c r="BK31" s="17">
        <v>0</v>
      </c>
      <c r="BL31" s="31">
        <v>1</v>
      </c>
      <c r="BM31" s="1">
        <v>5</v>
      </c>
      <c r="BN31" s="17">
        <v>4</v>
      </c>
      <c r="BO31" s="31">
        <v>0</v>
      </c>
      <c r="BP31" s="1">
        <v>0</v>
      </c>
      <c r="BQ31" s="17">
        <v>0</v>
      </c>
      <c r="BR31" s="31">
        <v>0</v>
      </c>
      <c r="BS31" s="1">
        <v>0</v>
      </c>
      <c r="BT31" s="17">
        <v>0</v>
      </c>
      <c r="BU31" s="31">
        <v>0</v>
      </c>
      <c r="BV31" s="1">
        <v>0</v>
      </c>
      <c r="BW31" s="17">
        <v>0</v>
      </c>
      <c r="BX31" s="31">
        <v>0</v>
      </c>
      <c r="BY31" s="1">
        <v>3</v>
      </c>
      <c r="BZ31" s="17">
        <v>0</v>
      </c>
      <c r="CA31" s="31">
        <v>0</v>
      </c>
      <c r="CB31" s="1">
        <v>1</v>
      </c>
      <c r="CC31" s="17">
        <v>2</v>
      </c>
      <c r="CD31" s="31">
        <v>0</v>
      </c>
      <c r="CE31" s="1">
        <v>0</v>
      </c>
      <c r="CF31" s="17">
        <v>0</v>
      </c>
      <c r="CG31" s="31">
        <v>0</v>
      </c>
      <c r="CH31" s="1">
        <v>0</v>
      </c>
      <c r="CI31" s="17">
        <v>2</v>
      </c>
      <c r="CJ31" s="31">
        <v>0</v>
      </c>
      <c r="CK31" s="1">
        <v>0</v>
      </c>
      <c r="CL31" s="17">
        <v>1</v>
      </c>
      <c r="CM31" s="31">
        <v>0</v>
      </c>
      <c r="CN31" s="1">
        <v>0</v>
      </c>
      <c r="CO31" s="17">
        <v>0</v>
      </c>
      <c r="CP31" s="31">
        <v>0</v>
      </c>
      <c r="CQ31" s="1">
        <v>3</v>
      </c>
      <c r="CR31" s="17">
        <v>2</v>
      </c>
      <c r="CS31" s="31">
        <v>0</v>
      </c>
      <c r="CT31" s="1">
        <v>0</v>
      </c>
      <c r="CU31" s="17">
        <v>1</v>
      </c>
      <c r="CV31" s="1">
        <v>0</v>
      </c>
      <c r="CW31" s="1">
        <v>0</v>
      </c>
      <c r="CX31" s="1">
        <v>0</v>
      </c>
      <c r="CY31" s="32">
        <f>SUMIF(D5:CX5,"*Große Werdienſtmedaillen*",D31:CX31)</f>
        <v>5</v>
      </c>
      <c r="CZ31" s="33">
        <f>SUMIF(D5:CX5,"*Preismedaillen*",D31:CX31)</f>
        <v>69</v>
      </c>
      <c r="DA31" s="34">
        <f>SUMIF(D5:CX5,"*Ehrenbolle Rwähnungen*",D31:CX31)</f>
        <v>67</v>
      </c>
      <c r="DB31" s="41">
        <f t="shared" si="1"/>
        <v>141</v>
      </c>
      <c r="DC31" s="77">
        <f t="shared" ref="DC31:DF31" si="6">SUM(CY31:CY34)</f>
        <v>13</v>
      </c>
      <c r="DD31" s="62">
        <f t="shared" si="6"/>
        <v>371</v>
      </c>
      <c r="DE31" s="77">
        <f t="shared" si="6"/>
        <v>245</v>
      </c>
      <c r="DF31" s="77">
        <f t="shared" si="6"/>
        <v>632</v>
      </c>
    </row>
    <row r="32" spans="1:110" ht="24" customHeight="1" x14ac:dyDescent="0.15">
      <c r="A32" s="76"/>
      <c r="B32" s="30">
        <v>27</v>
      </c>
      <c r="C32" s="30" t="str">
        <f t="shared" si="0"/>
        <v>XXVII</v>
      </c>
      <c r="D32" s="31">
        <v>2</v>
      </c>
      <c r="E32" s="1">
        <v>48</v>
      </c>
      <c r="F32" s="17">
        <v>39</v>
      </c>
      <c r="G32" s="31">
        <v>0</v>
      </c>
      <c r="H32" s="1">
        <v>0</v>
      </c>
      <c r="I32" s="17">
        <v>1</v>
      </c>
      <c r="J32" s="31">
        <v>0</v>
      </c>
      <c r="K32" s="1">
        <v>0</v>
      </c>
      <c r="L32" s="17">
        <v>0</v>
      </c>
      <c r="M32" s="31">
        <v>0</v>
      </c>
      <c r="N32" s="1">
        <v>1</v>
      </c>
      <c r="O32" s="17">
        <v>1</v>
      </c>
      <c r="P32" s="31">
        <v>0</v>
      </c>
      <c r="Q32" s="1">
        <v>0</v>
      </c>
      <c r="R32" s="17">
        <v>0</v>
      </c>
      <c r="S32" s="31">
        <v>0</v>
      </c>
      <c r="T32" s="1">
        <v>3</v>
      </c>
      <c r="U32" s="17">
        <v>3</v>
      </c>
      <c r="V32" s="31">
        <v>0</v>
      </c>
      <c r="W32" s="1">
        <v>0</v>
      </c>
      <c r="X32" s="17">
        <v>0</v>
      </c>
      <c r="Y32" s="31">
        <v>0</v>
      </c>
      <c r="Z32" s="1">
        <v>0</v>
      </c>
      <c r="AA32" s="17">
        <v>1</v>
      </c>
      <c r="AB32" s="31">
        <v>0</v>
      </c>
      <c r="AC32" s="1">
        <v>0</v>
      </c>
      <c r="AD32" s="17">
        <v>1</v>
      </c>
      <c r="AE32" s="31">
        <v>0</v>
      </c>
      <c r="AF32" s="1">
        <v>2</v>
      </c>
      <c r="AG32" s="17">
        <v>7</v>
      </c>
      <c r="AH32" s="31">
        <v>0</v>
      </c>
      <c r="AI32" s="1">
        <v>0</v>
      </c>
      <c r="AJ32" s="17">
        <v>0</v>
      </c>
      <c r="AK32" s="31">
        <v>0</v>
      </c>
      <c r="AL32" s="1">
        <v>0</v>
      </c>
      <c r="AM32" s="17">
        <v>0</v>
      </c>
      <c r="AN32" s="31">
        <v>0</v>
      </c>
      <c r="AO32" s="1">
        <v>1</v>
      </c>
      <c r="AP32" s="17">
        <v>6</v>
      </c>
      <c r="AQ32" s="31">
        <v>0</v>
      </c>
      <c r="AR32" s="1">
        <v>1</v>
      </c>
      <c r="AS32" s="17">
        <v>0</v>
      </c>
      <c r="AT32" s="31">
        <v>0</v>
      </c>
      <c r="AU32" s="1">
        <v>0</v>
      </c>
      <c r="AV32" s="17">
        <v>0</v>
      </c>
      <c r="AW32" s="31">
        <v>0</v>
      </c>
      <c r="AX32" s="1">
        <v>0</v>
      </c>
      <c r="AY32" s="17">
        <v>1</v>
      </c>
      <c r="AZ32" s="31">
        <v>0</v>
      </c>
      <c r="BA32" s="1">
        <v>0</v>
      </c>
      <c r="BB32" s="1">
        <v>0</v>
      </c>
      <c r="BC32" s="31">
        <v>0</v>
      </c>
      <c r="BD32" s="1">
        <v>10</v>
      </c>
      <c r="BE32" s="17">
        <v>19</v>
      </c>
      <c r="BF32" s="1">
        <v>0</v>
      </c>
      <c r="BG32" s="1">
        <v>0</v>
      </c>
      <c r="BH32" s="17">
        <v>0</v>
      </c>
      <c r="BI32" s="1">
        <v>0</v>
      </c>
      <c r="BJ32" s="1">
        <v>0</v>
      </c>
      <c r="BK32" s="17">
        <v>0</v>
      </c>
      <c r="BL32" s="31">
        <v>0</v>
      </c>
      <c r="BM32" s="1">
        <v>2</v>
      </c>
      <c r="BN32" s="17">
        <v>4</v>
      </c>
      <c r="BO32" s="31">
        <v>0</v>
      </c>
      <c r="BP32" s="1">
        <v>0</v>
      </c>
      <c r="BQ32" s="17">
        <v>0</v>
      </c>
      <c r="BR32" s="31">
        <v>0</v>
      </c>
      <c r="BS32" s="1">
        <v>1</v>
      </c>
      <c r="BT32" s="17">
        <v>1</v>
      </c>
      <c r="BU32" s="31">
        <v>1</v>
      </c>
      <c r="BV32" s="1">
        <v>3</v>
      </c>
      <c r="BW32" s="17">
        <v>4</v>
      </c>
      <c r="BX32" s="31">
        <v>1</v>
      </c>
      <c r="BY32" s="1">
        <v>3</v>
      </c>
      <c r="BZ32" s="17">
        <v>0</v>
      </c>
      <c r="CA32" s="31">
        <v>0</v>
      </c>
      <c r="CB32" s="1">
        <v>0</v>
      </c>
      <c r="CC32" s="17">
        <v>1</v>
      </c>
      <c r="CD32" s="31">
        <v>0</v>
      </c>
      <c r="CE32" s="1">
        <v>1</v>
      </c>
      <c r="CF32" s="17">
        <v>1</v>
      </c>
      <c r="CG32" s="31">
        <v>0</v>
      </c>
      <c r="CH32" s="1">
        <v>0</v>
      </c>
      <c r="CI32" s="17">
        <v>0</v>
      </c>
      <c r="CJ32" s="31">
        <v>0</v>
      </c>
      <c r="CK32" s="1">
        <v>0</v>
      </c>
      <c r="CL32" s="17">
        <v>1</v>
      </c>
      <c r="CM32" s="31">
        <v>0</v>
      </c>
      <c r="CN32" s="1">
        <v>0</v>
      </c>
      <c r="CO32" s="17">
        <v>0</v>
      </c>
      <c r="CP32" s="31">
        <v>0</v>
      </c>
      <c r="CQ32" s="1">
        <v>4</v>
      </c>
      <c r="CR32" s="17">
        <v>3</v>
      </c>
      <c r="CS32" s="31">
        <v>0</v>
      </c>
      <c r="CT32" s="1">
        <v>0</v>
      </c>
      <c r="CU32" s="17">
        <v>0</v>
      </c>
      <c r="CV32" s="1">
        <v>0</v>
      </c>
      <c r="CW32" s="1">
        <v>0</v>
      </c>
      <c r="CX32" s="1">
        <v>0</v>
      </c>
      <c r="CY32" s="31">
        <f>SUMIF(D5:CX5,"*Große Werdienſtmedaillen*",D32:CX32)</f>
        <v>4</v>
      </c>
      <c r="CZ32" s="1">
        <f>SUMIF(D5:CX5,"*Preismedaillen*",D32:CX32)</f>
        <v>80</v>
      </c>
      <c r="DA32" s="42">
        <f>SUMIF(D5:CX5,"*Ehrenbolle Rwähnungen*",D32:CX32)</f>
        <v>93</v>
      </c>
      <c r="DB32" s="41">
        <f t="shared" si="1"/>
        <v>178</v>
      </c>
      <c r="DC32" s="76"/>
      <c r="DD32" s="76"/>
      <c r="DE32" s="76"/>
      <c r="DF32" s="76"/>
    </row>
    <row r="33" spans="1:110" ht="24" customHeight="1" x14ac:dyDescent="0.15">
      <c r="A33" s="76"/>
      <c r="B33" s="30">
        <v>28</v>
      </c>
      <c r="C33" s="30" t="str">
        <f t="shared" si="0"/>
        <v>XXVIII</v>
      </c>
      <c r="D33" s="31">
        <v>2</v>
      </c>
      <c r="E33" s="1">
        <v>26</v>
      </c>
      <c r="F33" s="17">
        <v>6</v>
      </c>
      <c r="G33" s="31">
        <v>0</v>
      </c>
      <c r="H33" s="1">
        <v>3</v>
      </c>
      <c r="I33" s="17">
        <v>1</v>
      </c>
      <c r="J33" s="31">
        <v>0</v>
      </c>
      <c r="K33" s="1">
        <v>0</v>
      </c>
      <c r="L33" s="17">
        <v>0</v>
      </c>
      <c r="M33" s="31">
        <v>0</v>
      </c>
      <c r="N33" s="1">
        <v>0</v>
      </c>
      <c r="O33" s="17">
        <v>0</v>
      </c>
      <c r="P33" s="31">
        <v>0</v>
      </c>
      <c r="Q33" s="1">
        <v>2</v>
      </c>
      <c r="R33" s="17">
        <v>0</v>
      </c>
      <c r="S33" s="31">
        <v>0</v>
      </c>
      <c r="T33" s="1">
        <v>0</v>
      </c>
      <c r="U33" s="17">
        <v>0</v>
      </c>
      <c r="V33" s="31">
        <v>0</v>
      </c>
      <c r="W33" s="1">
        <v>2</v>
      </c>
      <c r="X33" s="17">
        <v>0</v>
      </c>
      <c r="Y33" s="31">
        <v>0</v>
      </c>
      <c r="Z33" s="1">
        <v>0</v>
      </c>
      <c r="AA33" s="17">
        <v>0</v>
      </c>
      <c r="AB33" s="31">
        <v>0</v>
      </c>
      <c r="AC33" s="1">
        <v>5</v>
      </c>
      <c r="AD33" s="17">
        <v>2</v>
      </c>
      <c r="AE33" s="31">
        <v>0</v>
      </c>
      <c r="AF33" s="1">
        <v>4</v>
      </c>
      <c r="AG33" s="17">
        <v>1</v>
      </c>
      <c r="AH33" s="31">
        <v>0</v>
      </c>
      <c r="AI33" s="1">
        <v>1</v>
      </c>
      <c r="AJ33" s="17">
        <v>0</v>
      </c>
      <c r="AK33" s="31">
        <v>0</v>
      </c>
      <c r="AL33" s="1">
        <v>0</v>
      </c>
      <c r="AM33" s="17">
        <v>0</v>
      </c>
      <c r="AN33" s="31">
        <v>0</v>
      </c>
      <c r="AO33" s="1">
        <v>4</v>
      </c>
      <c r="AP33" s="17">
        <v>0</v>
      </c>
      <c r="AQ33" s="31">
        <v>0</v>
      </c>
      <c r="AR33" s="1">
        <v>1</v>
      </c>
      <c r="AS33" s="17">
        <v>0</v>
      </c>
      <c r="AT33" s="31">
        <v>0</v>
      </c>
      <c r="AU33" s="1">
        <v>0</v>
      </c>
      <c r="AV33" s="17">
        <v>0</v>
      </c>
      <c r="AW33" s="31">
        <v>0</v>
      </c>
      <c r="AX33" s="1">
        <v>1</v>
      </c>
      <c r="AY33" s="17">
        <v>0</v>
      </c>
      <c r="AZ33" s="31">
        <v>0</v>
      </c>
      <c r="BA33" s="1">
        <v>0</v>
      </c>
      <c r="BB33" s="1">
        <v>0</v>
      </c>
      <c r="BC33" s="31">
        <v>0</v>
      </c>
      <c r="BD33" s="1">
        <v>12</v>
      </c>
      <c r="BE33" s="17">
        <v>3</v>
      </c>
      <c r="BF33" s="1">
        <v>0</v>
      </c>
      <c r="BG33" s="1">
        <v>0</v>
      </c>
      <c r="BH33" s="17">
        <v>1</v>
      </c>
      <c r="BI33" s="1">
        <v>0</v>
      </c>
      <c r="BJ33" s="1">
        <v>0</v>
      </c>
      <c r="BK33" s="17">
        <v>0</v>
      </c>
      <c r="BL33" s="31">
        <v>0</v>
      </c>
      <c r="BM33" s="1">
        <v>5</v>
      </c>
      <c r="BN33" s="17">
        <v>0</v>
      </c>
      <c r="BO33" s="31">
        <v>0</v>
      </c>
      <c r="BP33" s="1">
        <v>0</v>
      </c>
      <c r="BQ33" s="17">
        <v>0</v>
      </c>
      <c r="BR33" s="31">
        <v>0</v>
      </c>
      <c r="BS33" s="1">
        <v>1</v>
      </c>
      <c r="BT33" s="17">
        <v>0</v>
      </c>
      <c r="BU33" s="31">
        <v>0</v>
      </c>
      <c r="BV33" s="1">
        <v>0</v>
      </c>
      <c r="BW33" s="17">
        <v>0</v>
      </c>
      <c r="BX33" s="31">
        <v>0</v>
      </c>
      <c r="BY33" s="1">
        <v>1</v>
      </c>
      <c r="BZ33" s="17">
        <v>0</v>
      </c>
      <c r="CA33" s="31">
        <v>0</v>
      </c>
      <c r="CB33" s="1">
        <v>1</v>
      </c>
      <c r="CC33" s="17">
        <v>0</v>
      </c>
      <c r="CD33" s="31">
        <v>0</v>
      </c>
      <c r="CE33" s="1">
        <v>1</v>
      </c>
      <c r="CF33" s="17">
        <v>0</v>
      </c>
      <c r="CG33" s="31">
        <v>0</v>
      </c>
      <c r="CH33" s="1">
        <v>4</v>
      </c>
      <c r="CI33" s="17">
        <v>1</v>
      </c>
      <c r="CJ33" s="31">
        <v>0</v>
      </c>
      <c r="CK33" s="1">
        <v>3</v>
      </c>
      <c r="CL33" s="17">
        <v>0</v>
      </c>
      <c r="CM33" s="31">
        <v>0</v>
      </c>
      <c r="CN33" s="1">
        <v>0</v>
      </c>
      <c r="CO33" s="17">
        <v>0</v>
      </c>
      <c r="CP33" s="31">
        <v>0</v>
      </c>
      <c r="CQ33" s="1">
        <v>0</v>
      </c>
      <c r="CR33" s="17">
        <v>1</v>
      </c>
      <c r="CS33" s="31">
        <v>0</v>
      </c>
      <c r="CT33" s="1">
        <v>0</v>
      </c>
      <c r="CU33" s="17">
        <v>0</v>
      </c>
      <c r="CV33" s="1">
        <v>0</v>
      </c>
      <c r="CW33" s="1">
        <v>1</v>
      </c>
      <c r="CX33" s="1">
        <v>0</v>
      </c>
      <c r="CY33" s="43">
        <f>SUMIF(D5:CX5,"*Große Werdienſtmedaillen*",D33:CX33)</f>
        <v>2</v>
      </c>
      <c r="CZ33" s="1">
        <f>SUMIF(D5:CX5,"*Preismedaillen*",D33:CX33)</f>
        <v>78</v>
      </c>
      <c r="DA33" s="42">
        <f>SUMIF(D5:CX5,"*Ehrenbolle Rwähnungen*",D33:CX33)</f>
        <v>15</v>
      </c>
      <c r="DB33" s="6">
        <f t="shared" si="1"/>
        <v>96</v>
      </c>
      <c r="DC33" s="76"/>
      <c r="DD33" s="76"/>
      <c r="DE33" s="76"/>
      <c r="DF33" s="76"/>
    </row>
    <row r="34" spans="1:110" ht="24" customHeight="1" x14ac:dyDescent="0.15">
      <c r="A34" s="61"/>
      <c r="B34" s="30">
        <v>29</v>
      </c>
      <c r="C34" s="30" t="str">
        <f t="shared" si="0"/>
        <v>XXIX</v>
      </c>
      <c r="D34" s="31">
        <v>0</v>
      </c>
      <c r="E34" s="1">
        <v>46</v>
      </c>
      <c r="F34" s="17">
        <v>28</v>
      </c>
      <c r="G34" s="31">
        <v>0</v>
      </c>
      <c r="H34" s="1">
        <v>0</v>
      </c>
      <c r="I34" s="17">
        <v>1</v>
      </c>
      <c r="J34" s="31">
        <v>0</v>
      </c>
      <c r="K34" s="1">
        <v>0</v>
      </c>
      <c r="L34" s="17">
        <v>0</v>
      </c>
      <c r="M34" s="31">
        <v>0</v>
      </c>
      <c r="N34" s="1">
        <v>2</v>
      </c>
      <c r="O34" s="17">
        <v>0</v>
      </c>
      <c r="P34" s="31">
        <v>0</v>
      </c>
      <c r="Q34" s="1">
        <v>0</v>
      </c>
      <c r="R34" s="17">
        <v>0</v>
      </c>
      <c r="S34" s="31">
        <v>0</v>
      </c>
      <c r="T34" s="1">
        <v>0</v>
      </c>
      <c r="U34" s="17">
        <v>0</v>
      </c>
      <c r="V34" s="31">
        <v>0</v>
      </c>
      <c r="W34" s="1">
        <v>0</v>
      </c>
      <c r="X34" s="17">
        <v>1</v>
      </c>
      <c r="Y34" s="31">
        <v>0</v>
      </c>
      <c r="Z34" s="1">
        <v>0</v>
      </c>
      <c r="AA34" s="17">
        <v>0</v>
      </c>
      <c r="AB34" s="31">
        <v>0</v>
      </c>
      <c r="AC34" s="1">
        <v>5</v>
      </c>
      <c r="AD34" s="17">
        <v>0</v>
      </c>
      <c r="AE34" s="31">
        <v>0</v>
      </c>
      <c r="AF34" s="1">
        <v>3</v>
      </c>
      <c r="AG34" s="17">
        <v>0</v>
      </c>
      <c r="AH34" s="31">
        <v>0</v>
      </c>
      <c r="AI34" s="1">
        <v>0</v>
      </c>
      <c r="AJ34" s="17">
        <v>0</v>
      </c>
      <c r="AK34" s="31">
        <v>0</v>
      </c>
      <c r="AL34" s="1">
        <v>0</v>
      </c>
      <c r="AM34" s="17">
        <v>1</v>
      </c>
      <c r="AN34" s="31">
        <v>0</v>
      </c>
      <c r="AO34" s="1">
        <v>12</v>
      </c>
      <c r="AP34" s="17">
        <v>7</v>
      </c>
      <c r="AQ34" s="31">
        <v>0</v>
      </c>
      <c r="AR34" s="1">
        <v>2</v>
      </c>
      <c r="AS34" s="17">
        <v>0</v>
      </c>
      <c r="AT34" s="31">
        <v>0</v>
      </c>
      <c r="AU34" s="1">
        <v>0</v>
      </c>
      <c r="AV34" s="17">
        <v>0</v>
      </c>
      <c r="AW34" s="31">
        <v>0</v>
      </c>
      <c r="AX34" s="1">
        <v>5</v>
      </c>
      <c r="AY34" s="17">
        <v>2</v>
      </c>
      <c r="AZ34" s="31">
        <v>0</v>
      </c>
      <c r="BA34" s="1">
        <v>2</v>
      </c>
      <c r="BB34" s="1">
        <v>1</v>
      </c>
      <c r="BC34" s="31">
        <v>2</v>
      </c>
      <c r="BD34" s="1">
        <v>33</v>
      </c>
      <c r="BE34" s="17">
        <v>15</v>
      </c>
      <c r="BF34" s="1">
        <v>0</v>
      </c>
      <c r="BG34" s="1">
        <v>0</v>
      </c>
      <c r="BH34" s="17">
        <v>0</v>
      </c>
      <c r="BI34" s="1">
        <v>0</v>
      </c>
      <c r="BJ34" s="1">
        <v>1</v>
      </c>
      <c r="BK34" s="17">
        <v>0</v>
      </c>
      <c r="BL34" s="31">
        <v>0</v>
      </c>
      <c r="BM34" s="1">
        <v>11</v>
      </c>
      <c r="BN34" s="17">
        <v>6</v>
      </c>
      <c r="BO34" s="31">
        <v>0</v>
      </c>
      <c r="BP34" s="1">
        <v>0</v>
      </c>
      <c r="BQ34" s="17">
        <v>0</v>
      </c>
      <c r="BR34" s="31">
        <v>0</v>
      </c>
      <c r="BS34" s="1">
        <v>3</v>
      </c>
      <c r="BT34" s="17">
        <v>1</v>
      </c>
      <c r="BU34" s="31">
        <v>0</v>
      </c>
      <c r="BV34" s="1">
        <v>0</v>
      </c>
      <c r="BW34" s="17">
        <v>0</v>
      </c>
      <c r="BX34" s="31">
        <v>0</v>
      </c>
      <c r="BY34" s="1">
        <v>3</v>
      </c>
      <c r="BZ34" s="17">
        <v>1</v>
      </c>
      <c r="CA34" s="31">
        <v>0</v>
      </c>
      <c r="CB34" s="1">
        <v>3</v>
      </c>
      <c r="CC34" s="17">
        <v>1</v>
      </c>
      <c r="CD34" s="31">
        <v>0</v>
      </c>
      <c r="CE34" s="1">
        <v>1</v>
      </c>
      <c r="CF34" s="17">
        <v>0</v>
      </c>
      <c r="CG34" s="31">
        <v>0</v>
      </c>
      <c r="CH34" s="1">
        <v>1</v>
      </c>
      <c r="CI34" s="17">
        <v>0</v>
      </c>
      <c r="CJ34" s="31">
        <v>0</v>
      </c>
      <c r="CK34" s="1">
        <v>5</v>
      </c>
      <c r="CL34" s="17">
        <v>3</v>
      </c>
      <c r="CM34" s="31">
        <v>0</v>
      </c>
      <c r="CN34" s="1">
        <v>1</v>
      </c>
      <c r="CO34" s="17">
        <v>0</v>
      </c>
      <c r="CP34" s="31">
        <v>0</v>
      </c>
      <c r="CQ34" s="1">
        <v>1</v>
      </c>
      <c r="CR34" s="17">
        <v>2</v>
      </c>
      <c r="CS34" s="31">
        <v>0</v>
      </c>
      <c r="CT34" s="1">
        <v>1</v>
      </c>
      <c r="CU34" s="17">
        <v>0</v>
      </c>
      <c r="CV34" s="1">
        <v>0</v>
      </c>
      <c r="CW34" s="1">
        <v>3</v>
      </c>
      <c r="CX34" s="1">
        <v>1</v>
      </c>
      <c r="CY34" s="35">
        <f>SUMIF(D5:CX5,"*Große Werdienſtmedaillen*",D34:CX34)</f>
        <v>2</v>
      </c>
      <c r="CZ34" s="36">
        <f>SUMIF(D5:CX5,"*Preismedaillen*",D34:CX34)</f>
        <v>144</v>
      </c>
      <c r="DA34" s="44">
        <f>SUMIF(D5:CX5,"*Ehrenbolle Rwähnungen*",D34:CX34)</f>
        <v>70</v>
      </c>
      <c r="DB34" s="6">
        <f t="shared" si="1"/>
        <v>217</v>
      </c>
      <c r="DC34" s="61"/>
      <c r="DD34" s="61"/>
      <c r="DE34" s="61"/>
      <c r="DF34" s="61"/>
    </row>
    <row r="35" spans="1:110" ht="24" customHeight="1" x14ac:dyDescent="0.15">
      <c r="A35" s="45" t="s">
        <v>97</v>
      </c>
      <c r="B35" s="30">
        <v>30</v>
      </c>
      <c r="C35" s="30" t="str">
        <f t="shared" si="0"/>
        <v>XXX</v>
      </c>
      <c r="D35" s="35">
        <v>2</v>
      </c>
      <c r="E35" s="36">
        <v>26</v>
      </c>
      <c r="F35" s="37">
        <v>40</v>
      </c>
      <c r="G35" s="35">
        <v>0</v>
      </c>
      <c r="H35" s="36">
        <v>0</v>
      </c>
      <c r="I35" s="37">
        <v>0</v>
      </c>
      <c r="J35" s="35">
        <v>0</v>
      </c>
      <c r="K35" s="36">
        <v>0</v>
      </c>
      <c r="L35" s="37">
        <v>0</v>
      </c>
      <c r="M35" s="35">
        <v>0</v>
      </c>
      <c r="N35" s="36">
        <v>0</v>
      </c>
      <c r="O35" s="37">
        <v>0</v>
      </c>
      <c r="P35" s="35">
        <v>0</v>
      </c>
      <c r="Q35" s="36">
        <v>0</v>
      </c>
      <c r="R35" s="37">
        <v>0</v>
      </c>
      <c r="S35" s="35">
        <v>0</v>
      </c>
      <c r="T35" s="36">
        <v>0</v>
      </c>
      <c r="U35" s="37">
        <v>0</v>
      </c>
      <c r="V35" s="35">
        <v>0</v>
      </c>
      <c r="W35" s="36">
        <v>0</v>
      </c>
      <c r="X35" s="37">
        <v>0</v>
      </c>
      <c r="Y35" s="35">
        <v>0</v>
      </c>
      <c r="Z35" s="36">
        <v>0</v>
      </c>
      <c r="AA35" s="37">
        <v>0</v>
      </c>
      <c r="AB35" s="35">
        <v>0</v>
      </c>
      <c r="AC35" s="36">
        <v>1</v>
      </c>
      <c r="AD35" s="37">
        <v>0</v>
      </c>
      <c r="AE35" s="35">
        <v>0</v>
      </c>
      <c r="AF35" s="36">
        <v>5</v>
      </c>
      <c r="AG35" s="37">
        <v>4</v>
      </c>
      <c r="AH35" s="35">
        <v>0</v>
      </c>
      <c r="AI35" s="36">
        <v>0</v>
      </c>
      <c r="AJ35" s="37">
        <v>0</v>
      </c>
      <c r="AK35" s="35">
        <v>0</v>
      </c>
      <c r="AL35" s="36">
        <v>1</v>
      </c>
      <c r="AM35" s="37">
        <v>2</v>
      </c>
      <c r="AN35" s="35">
        <v>1</v>
      </c>
      <c r="AO35" s="36">
        <v>5</v>
      </c>
      <c r="AP35" s="37">
        <v>7</v>
      </c>
      <c r="AQ35" s="35">
        <v>0</v>
      </c>
      <c r="AR35" s="36">
        <v>3</v>
      </c>
      <c r="AS35" s="37">
        <v>3</v>
      </c>
      <c r="AT35" s="35">
        <v>0</v>
      </c>
      <c r="AU35" s="36">
        <v>2</v>
      </c>
      <c r="AV35" s="37">
        <v>1</v>
      </c>
      <c r="AW35" s="35">
        <v>0</v>
      </c>
      <c r="AX35" s="36">
        <v>0</v>
      </c>
      <c r="AY35" s="37">
        <v>1</v>
      </c>
      <c r="AZ35" s="35">
        <v>0</v>
      </c>
      <c r="BA35" s="36">
        <v>0</v>
      </c>
      <c r="BB35" s="36">
        <v>1</v>
      </c>
      <c r="BC35" s="35">
        <v>1</v>
      </c>
      <c r="BD35" s="36">
        <v>28</v>
      </c>
      <c r="BE35" s="37">
        <v>13</v>
      </c>
      <c r="BF35" s="36">
        <v>0</v>
      </c>
      <c r="BG35" s="36">
        <v>0</v>
      </c>
      <c r="BH35" s="37">
        <v>0</v>
      </c>
      <c r="BI35" s="36">
        <v>0</v>
      </c>
      <c r="BJ35" s="36">
        <v>0</v>
      </c>
      <c r="BK35" s="37">
        <v>0</v>
      </c>
      <c r="BL35" s="35">
        <v>0</v>
      </c>
      <c r="BM35" s="36">
        <v>6</v>
      </c>
      <c r="BN35" s="37">
        <v>4</v>
      </c>
      <c r="BO35" s="35">
        <v>0</v>
      </c>
      <c r="BP35" s="36">
        <v>0</v>
      </c>
      <c r="BQ35" s="37">
        <v>0</v>
      </c>
      <c r="BR35" s="35">
        <v>0</v>
      </c>
      <c r="BS35" s="36">
        <v>0</v>
      </c>
      <c r="BT35" s="37">
        <v>0</v>
      </c>
      <c r="BU35" s="35">
        <v>0</v>
      </c>
      <c r="BV35" s="36">
        <v>3</v>
      </c>
      <c r="BW35" s="37">
        <v>1</v>
      </c>
      <c r="BX35" s="35">
        <v>0</v>
      </c>
      <c r="BY35" s="36">
        <v>1</v>
      </c>
      <c r="BZ35" s="37">
        <v>2</v>
      </c>
      <c r="CA35" s="35">
        <v>0</v>
      </c>
      <c r="CB35" s="36">
        <v>0</v>
      </c>
      <c r="CC35" s="37">
        <v>0</v>
      </c>
      <c r="CD35" s="35">
        <v>0</v>
      </c>
      <c r="CE35" s="36">
        <v>0</v>
      </c>
      <c r="CF35" s="37">
        <v>0</v>
      </c>
      <c r="CG35" s="35">
        <v>0</v>
      </c>
      <c r="CH35" s="36">
        <v>0</v>
      </c>
      <c r="CI35" s="37">
        <v>1</v>
      </c>
      <c r="CJ35" s="35">
        <v>0</v>
      </c>
      <c r="CK35" s="36">
        <v>1</v>
      </c>
      <c r="CL35" s="37">
        <v>1</v>
      </c>
      <c r="CM35" s="35">
        <v>0</v>
      </c>
      <c r="CN35" s="36">
        <v>0</v>
      </c>
      <c r="CO35" s="37">
        <v>0</v>
      </c>
      <c r="CP35" s="35">
        <v>0</v>
      </c>
      <c r="CQ35" s="36">
        <v>0</v>
      </c>
      <c r="CR35" s="37">
        <v>4</v>
      </c>
      <c r="CS35" s="35">
        <v>0</v>
      </c>
      <c r="CT35" s="36">
        <v>0</v>
      </c>
      <c r="CU35" s="37">
        <v>0</v>
      </c>
      <c r="CV35" s="36">
        <v>0</v>
      </c>
      <c r="CW35" s="36">
        <v>0</v>
      </c>
      <c r="CX35" s="36">
        <v>0</v>
      </c>
      <c r="CY35" s="35">
        <f>SUMIF(D5:CX5,"*Große Werdienſtmedaillen*",D35:CX35)</f>
        <v>4</v>
      </c>
      <c r="CZ35" s="36">
        <f>SUMIF(D5:CX5,"*Preismedaillen*",D35:CX35)</f>
        <v>82</v>
      </c>
      <c r="DA35" s="37">
        <f>SUMIF(D5:CX5,"*Ehrenbolle Rwähnungen*",D35:CX35)</f>
        <v>85</v>
      </c>
      <c r="DB35" s="6">
        <f t="shared" si="1"/>
        <v>171</v>
      </c>
      <c r="DC35" s="6">
        <f t="shared" ref="DC35:DE35" si="7">CY35</f>
        <v>4</v>
      </c>
      <c r="DD35" s="6">
        <f t="shared" si="7"/>
        <v>82</v>
      </c>
      <c r="DE35" s="6">
        <f t="shared" si="7"/>
        <v>85</v>
      </c>
      <c r="DF35" s="6">
        <f>SUM(DB35)</f>
        <v>171</v>
      </c>
    </row>
    <row r="36" spans="1:110" ht="24" customHeight="1" x14ac:dyDescent="0.15">
      <c r="A36" s="2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</row>
    <row r="37" spans="1:110" ht="24" customHeight="1" x14ac:dyDescent="0.15">
      <c r="A37" s="2"/>
      <c r="B37" s="2"/>
      <c r="C37" s="2" t="s">
        <v>98</v>
      </c>
      <c r="D37" s="1">
        <f t="shared" ref="D37:DF37" si="8">SUM(D2:D35)</f>
        <v>78</v>
      </c>
      <c r="E37" s="1">
        <f t="shared" si="8"/>
        <v>1302</v>
      </c>
      <c r="F37" s="1">
        <f t="shared" si="8"/>
        <v>773</v>
      </c>
      <c r="G37" s="1">
        <f t="shared" si="8"/>
        <v>0</v>
      </c>
      <c r="H37" s="1">
        <f t="shared" si="8"/>
        <v>25</v>
      </c>
      <c r="I37" s="1">
        <f t="shared" si="8"/>
        <v>47</v>
      </c>
      <c r="J37" s="1">
        <f t="shared" si="8"/>
        <v>0</v>
      </c>
      <c r="K37" s="1">
        <f t="shared" si="8"/>
        <v>21</v>
      </c>
      <c r="L37" s="1">
        <f t="shared" si="8"/>
        <v>47</v>
      </c>
      <c r="M37" s="1">
        <f t="shared" si="8"/>
        <v>1</v>
      </c>
      <c r="N37" s="1">
        <f t="shared" si="8"/>
        <v>52</v>
      </c>
      <c r="O37" s="1">
        <f t="shared" si="8"/>
        <v>30</v>
      </c>
      <c r="P37" s="1">
        <f t="shared" si="8"/>
        <v>0</v>
      </c>
      <c r="Q37" s="1">
        <f t="shared" si="8"/>
        <v>15</v>
      </c>
      <c r="R37" s="1">
        <f t="shared" si="8"/>
        <v>11</v>
      </c>
      <c r="S37" s="1">
        <f t="shared" si="8"/>
        <v>0</v>
      </c>
      <c r="T37" s="1">
        <f t="shared" si="8"/>
        <v>4</v>
      </c>
      <c r="U37" s="1">
        <f t="shared" si="8"/>
        <v>9</v>
      </c>
      <c r="V37" s="1">
        <f t="shared" si="8"/>
        <v>0</v>
      </c>
      <c r="W37" s="1">
        <f t="shared" si="8"/>
        <v>13</v>
      </c>
      <c r="X37" s="1">
        <f t="shared" si="8"/>
        <v>13</v>
      </c>
      <c r="Y37" s="1">
        <f t="shared" si="8"/>
        <v>1</v>
      </c>
      <c r="Z37" s="1">
        <f t="shared" si="8"/>
        <v>3</v>
      </c>
      <c r="AA37" s="1">
        <f t="shared" si="8"/>
        <v>7</v>
      </c>
      <c r="AB37" s="1">
        <f t="shared" si="8"/>
        <v>4</v>
      </c>
      <c r="AC37" s="1">
        <f t="shared" si="8"/>
        <v>102</v>
      </c>
      <c r="AD37" s="1">
        <f t="shared" si="8"/>
        <v>53</v>
      </c>
      <c r="AE37" s="1">
        <f t="shared" si="8"/>
        <v>2</v>
      </c>
      <c r="AF37" s="1">
        <f t="shared" si="8"/>
        <v>114</v>
      </c>
      <c r="AG37" s="1">
        <f t="shared" si="8"/>
        <v>92</v>
      </c>
      <c r="AH37" s="1">
        <f t="shared" si="8"/>
        <v>0</v>
      </c>
      <c r="AI37" s="1">
        <f t="shared" si="8"/>
        <v>5</v>
      </c>
      <c r="AJ37" s="1">
        <f t="shared" si="8"/>
        <v>8</v>
      </c>
      <c r="AK37" s="1">
        <f t="shared" si="8"/>
        <v>0</v>
      </c>
      <c r="AL37" s="1">
        <f t="shared" si="8"/>
        <v>8</v>
      </c>
      <c r="AM37" s="1">
        <f t="shared" si="8"/>
        <v>9</v>
      </c>
      <c r="AN37" s="1">
        <f t="shared" si="8"/>
        <v>9</v>
      </c>
      <c r="AO37" s="1">
        <f t="shared" si="8"/>
        <v>176</v>
      </c>
      <c r="AP37" s="46">
        <f t="shared" si="8"/>
        <v>179</v>
      </c>
      <c r="AQ37" s="1">
        <f t="shared" si="8"/>
        <v>3</v>
      </c>
      <c r="AR37" s="1">
        <f t="shared" si="8"/>
        <v>16</v>
      </c>
      <c r="AS37" s="1">
        <f t="shared" si="8"/>
        <v>21</v>
      </c>
      <c r="AT37" s="1">
        <f t="shared" si="8"/>
        <v>0</v>
      </c>
      <c r="AU37" s="1">
        <f t="shared" si="8"/>
        <v>40</v>
      </c>
      <c r="AV37" s="1">
        <f t="shared" si="8"/>
        <v>13</v>
      </c>
      <c r="AW37" s="1">
        <f t="shared" si="8"/>
        <v>0</v>
      </c>
      <c r="AX37" s="1">
        <f t="shared" si="8"/>
        <v>20</v>
      </c>
      <c r="AY37" s="1">
        <f t="shared" si="8"/>
        <v>15</v>
      </c>
      <c r="AZ37" s="1">
        <f t="shared" si="8"/>
        <v>0</v>
      </c>
      <c r="BA37" s="1">
        <f t="shared" si="8"/>
        <v>9</v>
      </c>
      <c r="BB37" s="1">
        <f t="shared" si="8"/>
        <v>11</v>
      </c>
      <c r="BC37" s="1">
        <f t="shared" si="8"/>
        <v>56</v>
      </c>
      <c r="BD37" s="1">
        <f t="shared" si="8"/>
        <v>619</v>
      </c>
      <c r="BE37" s="1">
        <f t="shared" si="8"/>
        <v>370</v>
      </c>
      <c r="BF37" s="1">
        <f t="shared" si="8"/>
        <v>0</v>
      </c>
      <c r="BG37" s="1">
        <f t="shared" si="8"/>
        <v>0</v>
      </c>
      <c r="BH37" s="1">
        <f t="shared" si="8"/>
        <v>6</v>
      </c>
      <c r="BI37" s="1">
        <f t="shared" si="8"/>
        <v>1</v>
      </c>
      <c r="BJ37" s="1">
        <f t="shared" si="8"/>
        <v>16</v>
      </c>
      <c r="BK37" s="1">
        <f t="shared" si="8"/>
        <v>15</v>
      </c>
      <c r="BL37" s="1">
        <f t="shared" si="8"/>
        <v>4</v>
      </c>
      <c r="BM37" s="1">
        <f t="shared" si="8"/>
        <v>114</v>
      </c>
      <c r="BN37" s="1">
        <f t="shared" si="8"/>
        <v>126</v>
      </c>
      <c r="BO37" s="1">
        <f t="shared" si="8"/>
        <v>0</v>
      </c>
      <c r="BP37" s="1">
        <f t="shared" si="8"/>
        <v>0</v>
      </c>
      <c r="BQ37" s="1">
        <f t="shared" si="8"/>
        <v>1</v>
      </c>
      <c r="BR37" s="1">
        <f t="shared" si="8"/>
        <v>0</v>
      </c>
      <c r="BS37" s="1">
        <f t="shared" si="8"/>
        <v>14</v>
      </c>
      <c r="BT37" s="1">
        <f t="shared" si="8"/>
        <v>35</v>
      </c>
      <c r="BU37" s="1">
        <f t="shared" si="8"/>
        <v>1</v>
      </c>
      <c r="BV37" s="1">
        <f t="shared" si="8"/>
        <v>7</v>
      </c>
      <c r="BW37" s="1">
        <f t="shared" si="8"/>
        <v>9</v>
      </c>
      <c r="BX37" s="1">
        <f t="shared" si="8"/>
        <v>3</v>
      </c>
      <c r="BY37" s="1">
        <f t="shared" si="8"/>
        <v>60</v>
      </c>
      <c r="BZ37" s="1">
        <f t="shared" si="8"/>
        <v>65</v>
      </c>
      <c r="CA37" s="1">
        <f t="shared" si="8"/>
        <v>0</v>
      </c>
      <c r="CB37" s="1">
        <f t="shared" si="8"/>
        <v>22</v>
      </c>
      <c r="CC37" s="1">
        <f t="shared" si="8"/>
        <v>21</v>
      </c>
      <c r="CD37" s="1">
        <f t="shared" si="8"/>
        <v>0</v>
      </c>
      <c r="CE37" s="1">
        <f t="shared" si="8"/>
        <v>10</v>
      </c>
      <c r="CF37" s="1">
        <f t="shared" si="8"/>
        <v>9</v>
      </c>
      <c r="CG37" s="1">
        <f t="shared" si="8"/>
        <v>2</v>
      </c>
      <c r="CH37" s="1">
        <f t="shared" si="8"/>
        <v>70</v>
      </c>
      <c r="CI37" s="1">
        <f t="shared" si="8"/>
        <v>43</v>
      </c>
      <c r="CJ37" s="1">
        <f t="shared" si="8"/>
        <v>1</v>
      </c>
      <c r="CK37" s="1">
        <f t="shared" si="8"/>
        <v>43</v>
      </c>
      <c r="CL37" s="1">
        <f t="shared" si="8"/>
        <v>41</v>
      </c>
      <c r="CM37" s="1">
        <f t="shared" si="8"/>
        <v>0</v>
      </c>
      <c r="CN37" s="1">
        <f t="shared" si="8"/>
        <v>1</v>
      </c>
      <c r="CO37" s="1">
        <f t="shared" si="8"/>
        <v>2</v>
      </c>
      <c r="CP37" s="1">
        <f t="shared" si="8"/>
        <v>2</v>
      </c>
      <c r="CQ37" s="1">
        <f t="shared" si="8"/>
        <v>30</v>
      </c>
      <c r="CR37" s="1">
        <f t="shared" si="8"/>
        <v>25</v>
      </c>
      <c r="CS37" s="1">
        <f t="shared" si="8"/>
        <v>1</v>
      </c>
      <c r="CT37" s="1">
        <f t="shared" si="8"/>
        <v>3</v>
      </c>
      <c r="CU37" s="1">
        <f t="shared" si="8"/>
        <v>7</v>
      </c>
      <c r="CV37" s="1">
        <f t="shared" si="8"/>
        <v>1</v>
      </c>
      <c r="CW37" s="1">
        <f t="shared" si="8"/>
        <v>19</v>
      </c>
      <c r="CX37" s="1">
        <f t="shared" si="8"/>
        <v>9</v>
      </c>
      <c r="CY37" s="1">
        <f t="shared" ca="1" si="8"/>
        <v>170</v>
      </c>
      <c r="CZ37" s="38">
        <f t="shared" si="8"/>
        <v>2953</v>
      </c>
      <c r="DA37" s="38">
        <f t="shared" si="8"/>
        <v>2075</v>
      </c>
      <c r="DB37" s="38">
        <f t="shared" si="8"/>
        <v>5245</v>
      </c>
      <c r="DC37" s="38">
        <f t="shared" ca="1" si="8"/>
        <v>170</v>
      </c>
      <c r="DD37" s="38">
        <f t="shared" si="8"/>
        <v>2953</v>
      </c>
      <c r="DE37" s="38">
        <f t="shared" si="8"/>
        <v>2075</v>
      </c>
      <c r="DF37" s="38">
        <f t="shared" si="8"/>
        <v>5245</v>
      </c>
    </row>
    <row r="38" spans="1:110" ht="24" customHeight="1" x14ac:dyDescent="0.1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</row>
    <row r="39" spans="1:110" ht="24" customHeight="1" x14ac:dyDescent="0.15">
      <c r="A39" s="2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</row>
    <row r="40" spans="1:110" ht="24" customHeight="1" x14ac:dyDescent="0.15">
      <c r="A40" s="2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>
        <f>SUM(DC26:DE30)</f>
        <v>940</v>
      </c>
      <c r="DC40" s="1"/>
      <c r="DD40" s="1"/>
      <c r="DE40" s="1"/>
      <c r="DF40" s="1"/>
    </row>
    <row r="41" spans="1:110" ht="24" customHeight="1" x14ac:dyDescent="0.15">
      <c r="A41" s="2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</row>
    <row r="42" spans="1:110" ht="24" customHeight="1" x14ac:dyDescent="0.15">
      <c r="A42" s="2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</row>
    <row r="43" spans="1:110" ht="24" customHeight="1" x14ac:dyDescent="0.15">
      <c r="A43" s="2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</row>
    <row r="44" spans="1:110" ht="24" customHeight="1" x14ac:dyDescent="0.15">
      <c r="A44" s="2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</row>
    <row r="45" spans="1:110" ht="24" customHeight="1" x14ac:dyDescent="0.15">
      <c r="A45" s="2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</row>
    <row r="46" spans="1:110" ht="24" customHeight="1" x14ac:dyDescent="0.15">
      <c r="A46" s="2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</row>
    <row r="47" spans="1:110" ht="24" customHeight="1" x14ac:dyDescent="0.15">
      <c r="A47" s="2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</row>
    <row r="48" spans="1:110" ht="24" customHeight="1" x14ac:dyDescent="0.15">
      <c r="A48" s="2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</row>
    <row r="49" spans="1:110" ht="24" customHeight="1" x14ac:dyDescent="0.15">
      <c r="A49" s="2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</row>
    <row r="50" spans="1:110" ht="24" customHeight="1" x14ac:dyDescent="0.15">
      <c r="A50" s="2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</row>
    <row r="51" spans="1:110" ht="24" customHeight="1" x14ac:dyDescent="0.15">
      <c r="A51" s="2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</row>
    <row r="52" spans="1:110" ht="24" customHeight="1" x14ac:dyDescent="0.15">
      <c r="A52" s="2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</row>
    <row r="53" spans="1:110" ht="24" customHeight="1" x14ac:dyDescent="0.15">
      <c r="A53" s="2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</row>
    <row r="54" spans="1:110" ht="24" customHeight="1" x14ac:dyDescent="0.15">
      <c r="A54" s="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</row>
    <row r="55" spans="1:110" ht="24" customHeight="1" x14ac:dyDescent="0.15">
      <c r="A55" s="2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</row>
    <row r="56" spans="1:110" ht="24" customHeight="1" x14ac:dyDescent="0.15">
      <c r="A56" s="2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</row>
    <row r="57" spans="1:110" ht="24" customHeight="1" x14ac:dyDescent="0.15">
      <c r="A57" s="2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</row>
    <row r="58" spans="1:110" ht="24" customHeight="1" x14ac:dyDescent="0.15">
      <c r="A58" s="2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</row>
    <row r="59" spans="1:110" ht="24" customHeight="1" x14ac:dyDescent="0.15">
      <c r="A59" s="2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</row>
    <row r="60" spans="1:110" ht="24" customHeight="1" x14ac:dyDescent="0.15">
      <c r="A60" s="2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</row>
    <row r="61" spans="1:110" ht="24" customHeight="1" x14ac:dyDescent="0.15">
      <c r="A61" s="2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</row>
    <row r="62" spans="1:110" ht="24" customHeight="1" x14ac:dyDescent="0.15">
      <c r="A62" s="2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</row>
    <row r="63" spans="1:110" ht="24" customHeight="1" x14ac:dyDescent="0.15">
      <c r="A63" s="2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</row>
    <row r="64" spans="1:110" ht="24" customHeight="1" x14ac:dyDescent="0.1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</row>
    <row r="65" spans="1:110" ht="24" customHeight="1" x14ac:dyDescent="0.15">
      <c r="A65" s="2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</row>
    <row r="66" spans="1:110" ht="24" customHeight="1" x14ac:dyDescent="0.15">
      <c r="A66" s="2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</row>
    <row r="67" spans="1:110" ht="24" customHeight="1" x14ac:dyDescent="0.15">
      <c r="A67" s="2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</row>
    <row r="68" spans="1:110" ht="24" customHeight="1" x14ac:dyDescent="0.15">
      <c r="A68" s="2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</row>
    <row r="69" spans="1:110" ht="24" customHeight="1" x14ac:dyDescent="0.15">
      <c r="A69" s="2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</row>
    <row r="70" spans="1:110" ht="24" customHeight="1" x14ac:dyDescent="0.15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</row>
    <row r="71" spans="1:110" ht="24" customHeight="1" x14ac:dyDescent="0.15">
      <c r="A71" s="2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</row>
    <row r="72" spans="1:110" ht="24" customHeight="1" x14ac:dyDescent="0.15">
      <c r="A72" s="2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</row>
    <row r="73" spans="1:110" ht="24" customHeight="1" x14ac:dyDescent="0.15">
      <c r="A73" s="2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</row>
    <row r="74" spans="1:110" ht="24" customHeight="1" x14ac:dyDescent="0.15">
      <c r="A74" s="2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</row>
    <row r="75" spans="1:110" ht="24" customHeight="1" x14ac:dyDescent="0.15">
      <c r="A75" s="2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</row>
    <row r="76" spans="1:110" ht="24" customHeight="1" x14ac:dyDescent="0.15">
      <c r="A76" s="2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</row>
    <row r="77" spans="1:110" ht="24" customHeight="1" x14ac:dyDescent="0.15">
      <c r="A77" s="2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</row>
    <row r="78" spans="1:110" ht="24" customHeight="1" x14ac:dyDescent="0.15">
      <c r="A78" s="2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</row>
    <row r="79" spans="1:110" ht="24" customHeight="1" x14ac:dyDescent="0.15">
      <c r="A79" s="2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</row>
    <row r="80" spans="1:110" ht="24" customHeight="1" x14ac:dyDescent="0.15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</row>
    <row r="81" spans="1:110" ht="24" customHeight="1" x14ac:dyDescent="0.15">
      <c r="A81" s="2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</row>
    <row r="82" spans="1:110" ht="24" customHeight="1" x14ac:dyDescent="0.15">
      <c r="A82" s="2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</row>
    <row r="83" spans="1:110" ht="24" customHeight="1" x14ac:dyDescent="0.15">
      <c r="A83" s="2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</row>
    <row r="84" spans="1:110" ht="24" customHeight="1" x14ac:dyDescent="0.15">
      <c r="A84" s="2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</row>
    <row r="85" spans="1:110" ht="24" customHeight="1" x14ac:dyDescent="0.15">
      <c r="A85" s="2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</row>
    <row r="86" spans="1:110" ht="24" customHeight="1" x14ac:dyDescent="0.15">
      <c r="A86" s="2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</row>
    <row r="87" spans="1:110" ht="24" customHeight="1" x14ac:dyDescent="0.15">
      <c r="A87" s="2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</row>
    <row r="88" spans="1:110" ht="24" customHeight="1" x14ac:dyDescent="0.15">
      <c r="A88" s="2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</row>
    <row r="89" spans="1:110" ht="24" customHeight="1" x14ac:dyDescent="0.15">
      <c r="A89" s="2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</row>
    <row r="90" spans="1:110" ht="24" customHeight="1" x14ac:dyDescent="0.15">
      <c r="A90" s="2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</row>
    <row r="91" spans="1:110" ht="24" customHeight="1" x14ac:dyDescent="0.15">
      <c r="A91" s="2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</row>
    <row r="92" spans="1:110" ht="24" customHeight="1" x14ac:dyDescent="0.15">
      <c r="A92" s="2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</row>
    <row r="93" spans="1:110" ht="24" customHeight="1" x14ac:dyDescent="0.15">
      <c r="A93" s="2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</row>
    <row r="94" spans="1:110" ht="24" customHeight="1" x14ac:dyDescent="0.15">
      <c r="A94" s="2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</row>
    <row r="95" spans="1:110" ht="24" customHeight="1" x14ac:dyDescent="0.15">
      <c r="A95" s="2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</row>
    <row r="96" spans="1:110" ht="24" customHeight="1" x14ac:dyDescent="0.15">
      <c r="A96" s="2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</row>
    <row r="97" spans="1:110" ht="24" customHeight="1" x14ac:dyDescent="0.15">
      <c r="A97" s="2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</row>
    <row r="98" spans="1:110" ht="24" customHeight="1" x14ac:dyDescent="0.15">
      <c r="A98" s="2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</row>
    <row r="99" spans="1:110" ht="24" customHeight="1" x14ac:dyDescent="0.15">
      <c r="A99" s="2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</row>
    <row r="100" spans="1:110" ht="24" customHeight="1" x14ac:dyDescent="0.15">
      <c r="A100" s="2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</row>
    <row r="101" spans="1:110" ht="24" customHeight="1" x14ac:dyDescent="0.15">
      <c r="A101" s="2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</row>
    <row r="102" spans="1:110" ht="24" customHeight="1" x14ac:dyDescent="0.15">
      <c r="A102" s="2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</row>
    <row r="103" spans="1:110" ht="24" customHeight="1" x14ac:dyDescent="0.15">
      <c r="A103" s="2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</row>
    <row r="104" spans="1:110" ht="24" customHeight="1" x14ac:dyDescent="0.15">
      <c r="A104" s="2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</row>
    <row r="105" spans="1:110" ht="24" customHeight="1" x14ac:dyDescent="0.15">
      <c r="A105" s="2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</row>
    <row r="106" spans="1:110" ht="24" customHeight="1" x14ac:dyDescent="0.15">
      <c r="A106" s="2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</row>
    <row r="107" spans="1:110" ht="24" customHeight="1" x14ac:dyDescent="0.15">
      <c r="A107" s="2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</row>
    <row r="108" spans="1:110" ht="24" customHeight="1" x14ac:dyDescent="0.15">
      <c r="A108" s="2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</row>
    <row r="109" spans="1:110" ht="24" customHeight="1" x14ac:dyDescent="0.15">
      <c r="A109" s="2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</row>
    <row r="110" spans="1:110" ht="24" customHeight="1" x14ac:dyDescent="0.15">
      <c r="A110" s="2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</row>
    <row r="111" spans="1:110" ht="24" customHeight="1" x14ac:dyDescent="0.15">
      <c r="A111" s="2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</row>
    <row r="112" spans="1:110" ht="24" customHeight="1" x14ac:dyDescent="0.15">
      <c r="A112" s="2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</row>
    <row r="113" spans="1:110" ht="24" customHeight="1" x14ac:dyDescent="0.15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</row>
    <row r="114" spans="1:110" ht="24" customHeight="1" x14ac:dyDescent="0.15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</row>
    <row r="115" spans="1:110" ht="24" customHeight="1" x14ac:dyDescent="0.1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</row>
    <row r="116" spans="1:110" ht="24" customHeight="1" x14ac:dyDescent="0.1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</row>
    <row r="117" spans="1:110" ht="24" customHeight="1" x14ac:dyDescent="0.1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</row>
    <row r="118" spans="1:110" ht="24" customHeight="1" x14ac:dyDescent="0.1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</row>
    <row r="119" spans="1:110" ht="24" customHeight="1" x14ac:dyDescent="0.1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</row>
    <row r="120" spans="1:110" ht="24" customHeight="1" x14ac:dyDescent="0.1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</row>
    <row r="121" spans="1:110" ht="24" customHeight="1" x14ac:dyDescent="0.1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</row>
    <row r="122" spans="1:110" ht="24" customHeight="1" x14ac:dyDescent="0.1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</row>
    <row r="123" spans="1:110" ht="24" customHeight="1" x14ac:dyDescent="0.1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</row>
    <row r="124" spans="1:110" ht="24" customHeight="1" x14ac:dyDescent="0.1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</row>
    <row r="125" spans="1:110" ht="24" customHeight="1" x14ac:dyDescent="0.1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</row>
    <row r="126" spans="1:110" ht="24" customHeight="1" x14ac:dyDescent="0.1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</row>
    <row r="127" spans="1:110" ht="24" customHeight="1" x14ac:dyDescent="0.1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</row>
    <row r="128" spans="1:110" ht="24" customHeight="1" x14ac:dyDescent="0.1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</row>
    <row r="129" spans="1:110" ht="24" customHeight="1" x14ac:dyDescent="0.1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7"/>
      <c r="BF129" s="1"/>
      <c r="BG129" s="1"/>
      <c r="BH129" s="17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</row>
    <row r="130" spans="1:110" ht="24" customHeight="1" x14ac:dyDescent="0.1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7"/>
      <c r="BF130" s="1"/>
      <c r="BG130" s="1"/>
      <c r="BH130" s="17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</row>
    <row r="131" spans="1:110" ht="24" customHeight="1" x14ac:dyDescent="0.1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7"/>
      <c r="BF131" s="1"/>
      <c r="BG131" s="1"/>
      <c r="BH131" s="17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</row>
    <row r="132" spans="1:110" ht="24" customHeight="1" x14ac:dyDescent="0.1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7"/>
      <c r="BF132" s="1"/>
      <c r="BG132" s="1"/>
      <c r="BH132" s="17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</row>
    <row r="133" spans="1:110" ht="24" customHeight="1" x14ac:dyDescent="0.1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7"/>
      <c r="BF133" s="1"/>
      <c r="BG133" s="1"/>
      <c r="BH133" s="17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</row>
    <row r="134" spans="1:110" ht="24" customHeight="1" x14ac:dyDescent="0.1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7"/>
      <c r="BF134" s="1"/>
      <c r="BG134" s="1"/>
      <c r="BH134" s="17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</row>
    <row r="135" spans="1:110" ht="24" customHeight="1" x14ac:dyDescent="0.1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7"/>
      <c r="BF135" s="1"/>
      <c r="BG135" s="1"/>
      <c r="BH135" s="17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</row>
    <row r="136" spans="1:110" ht="24" customHeight="1" x14ac:dyDescent="0.1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7"/>
      <c r="BF136" s="1"/>
      <c r="BG136" s="1"/>
      <c r="BH136" s="17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</row>
    <row r="137" spans="1:110" ht="24" customHeight="1" x14ac:dyDescent="0.1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7"/>
      <c r="BF137" s="1"/>
      <c r="BG137" s="1"/>
      <c r="BH137" s="17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</row>
    <row r="138" spans="1:110" ht="24" customHeight="1" x14ac:dyDescent="0.1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7"/>
      <c r="BF138" s="1"/>
      <c r="BG138" s="1"/>
      <c r="BH138" s="17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</row>
    <row r="139" spans="1:110" ht="24" customHeight="1" x14ac:dyDescent="0.1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7"/>
      <c r="BF139" s="1"/>
      <c r="BG139" s="1"/>
      <c r="BH139" s="17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</row>
    <row r="140" spans="1:110" ht="24" customHeight="1" x14ac:dyDescent="0.1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7"/>
      <c r="BF140" s="1"/>
      <c r="BG140" s="1"/>
      <c r="BH140" s="17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</row>
    <row r="141" spans="1:110" ht="24" customHeight="1" x14ac:dyDescent="0.1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7"/>
      <c r="BF141" s="1"/>
      <c r="BG141" s="1"/>
      <c r="BH141" s="17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</row>
    <row r="142" spans="1:110" ht="24" customHeight="1" x14ac:dyDescent="0.1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7"/>
      <c r="BF142" s="1"/>
      <c r="BG142" s="1"/>
      <c r="BH142" s="17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</row>
    <row r="143" spans="1:110" ht="24" customHeight="1" x14ac:dyDescent="0.1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7"/>
      <c r="BF143" s="1"/>
      <c r="BG143" s="1"/>
      <c r="BH143" s="17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</row>
    <row r="144" spans="1:110" ht="24" customHeight="1" x14ac:dyDescent="0.1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7"/>
      <c r="BF144" s="1"/>
      <c r="BG144" s="1"/>
      <c r="BH144" s="17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</row>
    <row r="145" spans="1:110" ht="24" customHeight="1" x14ac:dyDescent="0.1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7"/>
      <c r="BF145" s="1"/>
      <c r="BG145" s="1"/>
      <c r="BH145" s="17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</row>
    <row r="146" spans="1:110" ht="24" customHeight="1" x14ac:dyDescent="0.1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7"/>
      <c r="BF146" s="1"/>
      <c r="BG146" s="1"/>
      <c r="BH146" s="17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</row>
    <row r="147" spans="1:110" ht="24" customHeight="1" x14ac:dyDescent="0.1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7"/>
      <c r="BF147" s="1"/>
      <c r="BG147" s="1"/>
      <c r="BH147" s="17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</row>
    <row r="148" spans="1:110" ht="24" customHeight="1" x14ac:dyDescent="0.1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7"/>
      <c r="BF148" s="1"/>
      <c r="BG148" s="1"/>
      <c r="BH148" s="17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</row>
    <row r="149" spans="1:110" ht="24" customHeight="1" x14ac:dyDescent="0.1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7"/>
      <c r="BF149" s="1"/>
      <c r="BG149" s="1"/>
      <c r="BH149" s="17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</row>
    <row r="150" spans="1:110" ht="24" customHeight="1" x14ac:dyDescent="0.1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7"/>
      <c r="BF150" s="1"/>
      <c r="BG150" s="1"/>
      <c r="BH150" s="17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</row>
    <row r="151" spans="1:110" ht="24" customHeight="1" x14ac:dyDescent="0.1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7"/>
      <c r="BF151" s="1"/>
      <c r="BG151" s="1"/>
      <c r="BH151" s="17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</row>
    <row r="152" spans="1:110" ht="24" customHeight="1" x14ac:dyDescent="0.1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7"/>
      <c r="BF152" s="1"/>
      <c r="BG152" s="1"/>
      <c r="BH152" s="17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</row>
    <row r="153" spans="1:110" ht="24" customHeight="1" x14ac:dyDescent="0.1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7"/>
      <c r="BF153" s="1"/>
      <c r="BG153" s="1"/>
      <c r="BH153" s="17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</row>
    <row r="154" spans="1:110" ht="24" customHeight="1" x14ac:dyDescent="0.1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7"/>
      <c r="BF154" s="1"/>
      <c r="BG154" s="1"/>
      <c r="BH154" s="17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</row>
    <row r="155" spans="1:110" ht="24" customHeight="1" x14ac:dyDescent="0.1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7"/>
      <c r="BF155" s="1"/>
      <c r="BG155" s="1"/>
      <c r="BH155" s="17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</row>
    <row r="156" spans="1:110" ht="24" customHeight="1" x14ac:dyDescent="0.1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7"/>
      <c r="BF156" s="1"/>
      <c r="BG156" s="1"/>
      <c r="BH156" s="17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</row>
    <row r="157" spans="1:110" ht="24" customHeight="1" x14ac:dyDescent="0.1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7"/>
      <c r="BF157" s="1"/>
      <c r="BG157" s="1"/>
      <c r="BH157" s="17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</row>
    <row r="158" spans="1:110" ht="24" customHeight="1" x14ac:dyDescent="0.1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7"/>
      <c r="BF158" s="1"/>
      <c r="BG158" s="1"/>
      <c r="BH158" s="17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</row>
    <row r="159" spans="1:110" ht="24" customHeight="1" x14ac:dyDescent="0.1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7"/>
      <c r="BF159" s="1"/>
      <c r="BG159" s="1"/>
      <c r="BH159" s="17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</row>
    <row r="160" spans="1:110" ht="24" customHeight="1" x14ac:dyDescent="0.1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7"/>
      <c r="BF160" s="1"/>
      <c r="BG160" s="1"/>
      <c r="BH160" s="17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</row>
    <row r="161" spans="1:110" ht="24" customHeight="1" x14ac:dyDescent="0.1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7"/>
      <c r="BF161" s="1"/>
      <c r="BG161" s="1"/>
      <c r="BH161" s="17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</row>
    <row r="162" spans="1:110" ht="24" customHeight="1" x14ac:dyDescent="0.1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7"/>
      <c r="BF162" s="1"/>
      <c r="BG162" s="1"/>
      <c r="BH162" s="17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</row>
    <row r="163" spans="1:110" ht="24" customHeight="1" x14ac:dyDescent="0.1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7"/>
      <c r="BF163" s="1"/>
      <c r="BG163" s="1"/>
      <c r="BH163" s="17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</row>
    <row r="164" spans="1:110" ht="24" customHeight="1" x14ac:dyDescent="0.1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7"/>
      <c r="BF164" s="1"/>
      <c r="BG164" s="1"/>
      <c r="BH164" s="17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</row>
    <row r="165" spans="1:110" ht="24" customHeight="1" x14ac:dyDescent="0.1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7"/>
      <c r="BF165" s="1"/>
      <c r="BG165" s="1"/>
      <c r="BH165" s="17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</row>
    <row r="166" spans="1:110" ht="24" customHeight="1" x14ac:dyDescent="0.1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7"/>
      <c r="BF166" s="1"/>
      <c r="BG166" s="1"/>
      <c r="BH166" s="17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</row>
    <row r="167" spans="1:110" ht="24" customHeight="1" x14ac:dyDescent="0.1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7"/>
      <c r="BF167" s="1"/>
      <c r="BG167" s="1"/>
      <c r="BH167" s="17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</row>
    <row r="168" spans="1:110" ht="24" customHeight="1" x14ac:dyDescent="0.1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7"/>
      <c r="BF168" s="1"/>
      <c r="BG168" s="1"/>
      <c r="BH168" s="17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</row>
    <row r="169" spans="1:110" ht="24" customHeight="1" x14ac:dyDescent="0.1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7"/>
      <c r="BF169" s="1"/>
      <c r="BG169" s="1"/>
      <c r="BH169" s="17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</row>
    <row r="170" spans="1:110" ht="24" customHeight="1" x14ac:dyDescent="0.1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7"/>
      <c r="BF170" s="1"/>
      <c r="BG170" s="1"/>
      <c r="BH170" s="17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</row>
    <row r="171" spans="1:110" ht="24" customHeight="1" x14ac:dyDescent="0.1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7"/>
      <c r="BF171" s="1"/>
      <c r="BG171" s="1"/>
      <c r="BH171" s="17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</row>
    <row r="172" spans="1:110" ht="24" customHeight="1" x14ac:dyDescent="0.1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7"/>
      <c r="BF172" s="1"/>
      <c r="BG172" s="1"/>
      <c r="BH172" s="17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</row>
    <row r="173" spans="1:110" ht="24" customHeight="1" x14ac:dyDescent="0.1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7"/>
      <c r="BF173" s="1"/>
      <c r="BG173" s="1"/>
      <c r="BH173" s="17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</row>
    <row r="174" spans="1:110" ht="24" customHeight="1" x14ac:dyDescent="0.1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7"/>
      <c r="BF174" s="1"/>
      <c r="BG174" s="1"/>
      <c r="BH174" s="17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</row>
    <row r="175" spans="1:110" ht="24" customHeight="1" x14ac:dyDescent="0.1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7"/>
      <c r="BF175" s="1"/>
      <c r="BG175" s="1"/>
      <c r="BH175" s="17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</row>
    <row r="176" spans="1:110" ht="24" customHeight="1" x14ac:dyDescent="0.1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7"/>
      <c r="BF176" s="1"/>
      <c r="BG176" s="1"/>
      <c r="BH176" s="17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</row>
    <row r="177" spans="1:110" ht="24" customHeight="1" x14ac:dyDescent="0.1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7"/>
      <c r="BF177" s="1"/>
      <c r="BG177" s="1"/>
      <c r="BH177" s="17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</row>
    <row r="178" spans="1:110" ht="24" customHeight="1" x14ac:dyDescent="0.1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7"/>
      <c r="BF178" s="1"/>
      <c r="BG178" s="1"/>
      <c r="BH178" s="17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 spans="1:110" ht="24" customHeight="1" x14ac:dyDescent="0.1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7"/>
      <c r="BF179" s="1"/>
      <c r="BG179" s="1"/>
      <c r="BH179" s="17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</row>
    <row r="180" spans="1:110" ht="24" customHeight="1" x14ac:dyDescent="0.1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7"/>
      <c r="BF180" s="1"/>
      <c r="BG180" s="1"/>
      <c r="BH180" s="17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</row>
    <row r="181" spans="1:110" ht="24" customHeight="1" x14ac:dyDescent="0.1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7"/>
      <c r="BF181" s="1"/>
      <c r="BG181" s="1"/>
      <c r="BH181" s="17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</row>
    <row r="182" spans="1:110" ht="24" customHeight="1" x14ac:dyDescent="0.1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7"/>
      <c r="BF182" s="1"/>
      <c r="BG182" s="1"/>
      <c r="BH182" s="17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</row>
    <row r="183" spans="1:110" ht="24" customHeight="1" x14ac:dyDescent="0.1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7"/>
      <c r="BF183" s="1"/>
      <c r="BG183" s="1"/>
      <c r="BH183" s="17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</row>
    <row r="184" spans="1:110" ht="24" customHeight="1" x14ac:dyDescent="0.1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7"/>
      <c r="BF184" s="1"/>
      <c r="BG184" s="1"/>
      <c r="BH184" s="17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</row>
    <row r="185" spans="1:110" ht="24" customHeight="1" x14ac:dyDescent="0.1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7"/>
      <c r="BF185" s="1"/>
      <c r="BG185" s="1"/>
      <c r="BH185" s="17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</row>
    <row r="186" spans="1:110" ht="24" customHeight="1" x14ac:dyDescent="0.1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7"/>
      <c r="BF186" s="1"/>
      <c r="BG186" s="1"/>
      <c r="BH186" s="17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</row>
    <row r="187" spans="1:110" ht="24" customHeight="1" x14ac:dyDescent="0.1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7"/>
      <c r="BF187" s="1"/>
      <c r="BG187" s="1"/>
      <c r="BH187" s="17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</row>
    <row r="188" spans="1:110" ht="24" customHeight="1" x14ac:dyDescent="0.1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7"/>
      <c r="BF188" s="1"/>
      <c r="BG188" s="1"/>
      <c r="BH188" s="17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</row>
    <row r="189" spans="1:110" ht="24" customHeight="1" x14ac:dyDescent="0.1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7"/>
      <c r="BF189" s="1"/>
      <c r="BG189" s="1"/>
      <c r="BH189" s="17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</row>
    <row r="190" spans="1:110" ht="24" customHeight="1" x14ac:dyDescent="0.1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7"/>
      <c r="BF190" s="1"/>
      <c r="BG190" s="1"/>
      <c r="BH190" s="17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</row>
    <row r="191" spans="1:110" ht="24" customHeight="1" x14ac:dyDescent="0.1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7"/>
      <c r="BF191" s="1"/>
      <c r="BG191" s="1"/>
      <c r="BH191" s="17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</row>
    <row r="192" spans="1:110" ht="24" customHeight="1" x14ac:dyDescent="0.1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7"/>
      <c r="BF192" s="1"/>
      <c r="BG192" s="1"/>
      <c r="BH192" s="17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</row>
    <row r="193" spans="1:110" ht="24" customHeight="1" x14ac:dyDescent="0.1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7"/>
      <c r="BF193" s="1"/>
      <c r="BG193" s="1"/>
      <c r="BH193" s="17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</row>
    <row r="194" spans="1:110" ht="24" customHeight="1" x14ac:dyDescent="0.1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7"/>
      <c r="BF194" s="1"/>
      <c r="BG194" s="1"/>
      <c r="BH194" s="17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</row>
    <row r="195" spans="1:110" ht="24" customHeight="1" x14ac:dyDescent="0.1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7"/>
      <c r="BF195" s="1"/>
      <c r="BG195" s="1"/>
      <c r="BH195" s="17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</row>
    <row r="196" spans="1:110" ht="24" customHeight="1" x14ac:dyDescent="0.1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7"/>
      <c r="BF196" s="1"/>
      <c r="BG196" s="1"/>
      <c r="BH196" s="17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</row>
    <row r="197" spans="1:110" ht="24" customHeight="1" x14ac:dyDescent="0.1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7"/>
      <c r="BF197" s="1"/>
      <c r="BG197" s="1"/>
      <c r="BH197" s="17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</row>
    <row r="198" spans="1:110" ht="24" customHeight="1" x14ac:dyDescent="0.1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7"/>
      <c r="BF198" s="1"/>
      <c r="BG198" s="1"/>
      <c r="BH198" s="17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</row>
    <row r="199" spans="1:110" ht="24" customHeight="1" x14ac:dyDescent="0.1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7"/>
      <c r="BF199" s="1"/>
      <c r="BG199" s="1"/>
      <c r="BH199" s="17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</row>
    <row r="200" spans="1:110" ht="24" customHeight="1" x14ac:dyDescent="0.1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7"/>
      <c r="BF200" s="1"/>
      <c r="BG200" s="1"/>
      <c r="BH200" s="17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</row>
    <row r="201" spans="1:110" ht="24" customHeight="1" x14ac:dyDescent="0.1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7"/>
      <c r="BF201" s="1"/>
      <c r="BG201" s="1"/>
      <c r="BH201" s="17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</row>
    <row r="202" spans="1:110" ht="24" customHeight="1" x14ac:dyDescent="0.1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7"/>
      <c r="BF202" s="1"/>
      <c r="BG202" s="1"/>
      <c r="BH202" s="17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</row>
    <row r="203" spans="1:110" ht="24" customHeight="1" x14ac:dyDescent="0.1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7"/>
      <c r="BF203" s="1"/>
      <c r="BG203" s="1"/>
      <c r="BH203" s="17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</row>
    <row r="204" spans="1:110" ht="24" customHeight="1" x14ac:dyDescent="0.1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7"/>
      <c r="BF204" s="1"/>
      <c r="BG204" s="1"/>
      <c r="BH204" s="17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</row>
    <row r="205" spans="1:110" ht="24" customHeight="1" x14ac:dyDescent="0.1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7"/>
      <c r="BF205" s="1"/>
      <c r="BG205" s="1"/>
      <c r="BH205" s="17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</row>
    <row r="206" spans="1:110" ht="24" customHeight="1" x14ac:dyDescent="0.1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7"/>
      <c r="BF206" s="1"/>
      <c r="BG206" s="1"/>
      <c r="BH206" s="17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</row>
    <row r="207" spans="1:110" ht="24" customHeight="1" x14ac:dyDescent="0.1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7"/>
      <c r="BF207" s="1"/>
      <c r="BG207" s="1"/>
      <c r="BH207" s="17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</row>
    <row r="208" spans="1:110" ht="24" customHeight="1" x14ac:dyDescent="0.1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7"/>
      <c r="BF208" s="1"/>
      <c r="BG208" s="1"/>
      <c r="BH208" s="17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</row>
    <row r="209" spans="1:110" ht="24" customHeight="1" x14ac:dyDescent="0.1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7"/>
      <c r="BF209" s="1"/>
      <c r="BG209" s="1"/>
      <c r="BH209" s="17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</row>
    <row r="210" spans="1:110" ht="24" customHeight="1" x14ac:dyDescent="0.1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7"/>
      <c r="BF210" s="1"/>
      <c r="BG210" s="1"/>
      <c r="BH210" s="17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</row>
    <row r="211" spans="1:110" ht="24" customHeight="1" x14ac:dyDescent="0.1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7"/>
      <c r="BF211" s="1"/>
      <c r="BG211" s="1"/>
      <c r="BH211" s="17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</row>
    <row r="212" spans="1:110" ht="24" customHeight="1" x14ac:dyDescent="0.1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7"/>
      <c r="BF212" s="1"/>
      <c r="BG212" s="1"/>
      <c r="BH212" s="17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</row>
    <row r="213" spans="1:110" ht="24" customHeight="1" x14ac:dyDescent="0.1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7"/>
      <c r="BF213" s="1"/>
      <c r="BG213" s="1"/>
      <c r="BH213" s="17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</row>
    <row r="214" spans="1:110" ht="24" customHeight="1" x14ac:dyDescent="0.1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7"/>
      <c r="BF214" s="1"/>
      <c r="BG214" s="1"/>
      <c r="BH214" s="17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</row>
    <row r="215" spans="1:110" ht="24" customHeight="1" x14ac:dyDescent="0.1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7"/>
      <c r="BF215" s="1"/>
      <c r="BG215" s="1"/>
      <c r="BH215" s="17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</row>
    <row r="216" spans="1:110" ht="24" customHeight="1" x14ac:dyDescent="0.1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7"/>
      <c r="BF216" s="1"/>
      <c r="BG216" s="1"/>
      <c r="BH216" s="17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</row>
    <row r="217" spans="1:110" ht="24" customHeight="1" x14ac:dyDescent="0.1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7"/>
      <c r="BF217" s="1"/>
      <c r="BG217" s="1"/>
      <c r="BH217" s="17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</row>
    <row r="218" spans="1:110" ht="24" customHeight="1" x14ac:dyDescent="0.1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7"/>
      <c r="BF218" s="1"/>
      <c r="BG218" s="1"/>
      <c r="BH218" s="17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</row>
    <row r="219" spans="1:110" ht="24" customHeight="1" x14ac:dyDescent="0.1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7"/>
      <c r="BF219" s="1"/>
      <c r="BG219" s="1"/>
      <c r="BH219" s="17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</row>
    <row r="220" spans="1:110" ht="24" customHeight="1" x14ac:dyDescent="0.1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7"/>
      <c r="BF220" s="1"/>
      <c r="BG220" s="1"/>
      <c r="BH220" s="17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</row>
    <row r="221" spans="1:110" ht="24" customHeight="1" x14ac:dyDescent="0.1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7"/>
      <c r="BF221" s="1"/>
      <c r="BG221" s="1"/>
      <c r="BH221" s="17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</row>
    <row r="222" spans="1:110" ht="24" customHeight="1" x14ac:dyDescent="0.15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7"/>
      <c r="BF222" s="1"/>
      <c r="BG222" s="1"/>
      <c r="BH222" s="17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</row>
    <row r="223" spans="1:110" ht="24" customHeight="1" x14ac:dyDescent="0.15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7"/>
      <c r="BF223" s="1"/>
      <c r="BG223" s="1"/>
      <c r="BH223" s="17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</row>
    <row r="224" spans="1:110" ht="24" customHeight="1" x14ac:dyDescent="0.15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7"/>
      <c r="BF224" s="1"/>
      <c r="BG224" s="1"/>
      <c r="BH224" s="17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</row>
    <row r="225" spans="1:110" ht="24" customHeight="1" x14ac:dyDescent="0.15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7"/>
      <c r="BF225" s="1"/>
      <c r="BG225" s="1"/>
      <c r="BH225" s="17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</row>
    <row r="226" spans="1:110" ht="24" customHeight="1" x14ac:dyDescent="0.15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7"/>
      <c r="BF226" s="1"/>
      <c r="BG226" s="1"/>
      <c r="BH226" s="17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</row>
    <row r="227" spans="1:110" ht="24" customHeight="1" x14ac:dyDescent="0.15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7"/>
      <c r="BF227" s="1"/>
      <c r="BG227" s="1"/>
      <c r="BH227" s="17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</row>
    <row r="228" spans="1:110" ht="24" customHeight="1" x14ac:dyDescent="0.15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7"/>
      <c r="BF228" s="1"/>
      <c r="BG228" s="1"/>
      <c r="BH228" s="17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</row>
    <row r="229" spans="1:110" ht="24" customHeight="1" x14ac:dyDescent="0.15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7"/>
      <c r="BF229" s="1"/>
      <c r="BG229" s="1"/>
      <c r="BH229" s="17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</row>
    <row r="230" spans="1:110" ht="24" customHeight="1" x14ac:dyDescent="0.15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7"/>
      <c r="BF230" s="1"/>
      <c r="BG230" s="1"/>
      <c r="BH230" s="17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</row>
    <row r="231" spans="1:110" ht="24" customHeight="1" x14ac:dyDescent="0.15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7"/>
      <c r="BF231" s="1"/>
      <c r="BG231" s="1"/>
      <c r="BH231" s="17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</row>
    <row r="232" spans="1:110" ht="24" customHeight="1" x14ac:dyDescent="0.15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7"/>
      <c r="BF232" s="1"/>
      <c r="BG232" s="1"/>
      <c r="BH232" s="17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</row>
    <row r="233" spans="1:110" ht="24" customHeight="1" x14ac:dyDescent="0.15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7"/>
      <c r="BF233" s="1"/>
      <c r="BG233" s="1"/>
      <c r="BH233" s="17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</row>
    <row r="234" spans="1:110" ht="24" customHeight="1" x14ac:dyDescent="0.15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7"/>
      <c r="BF234" s="1"/>
      <c r="BG234" s="1"/>
      <c r="BH234" s="17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</row>
    <row r="235" spans="1:110" ht="24" customHeight="1" x14ac:dyDescent="0.15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7"/>
      <c r="BF235" s="1"/>
      <c r="BG235" s="1"/>
      <c r="BH235" s="17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</row>
    <row r="236" spans="1:110" ht="24" customHeight="1" x14ac:dyDescent="0.15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7"/>
      <c r="BF236" s="1"/>
      <c r="BG236" s="1"/>
      <c r="BH236" s="17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</row>
    <row r="237" spans="1:110" ht="24" customHeight="1" x14ac:dyDescent="0.15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7"/>
      <c r="BF237" s="1"/>
      <c r="BG237" s="1"/>
      <c r="BH237" s="17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</row>
    <row r="238" spans="1:110" ht="24" customHeight="1" x14ac:dyDescent="0.15">
      <c r="A238" s="2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7"/>
      <c r="BF238" s="1"/>
      <c r="BG238" s="1"/>
      <c r="BH238" s="17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</row>
    <row r="239" spans="1:110" ht="24" customHeight="1" x14ac:dyDescent="0.15">
      <c r="A239" s="2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7"/>
      <c r="BF239" s="1"/>
      <c r="BG239" s="1"/>
      <c r="BH239" s="17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</row>
    <row r="240" spans="1:110" ht="24" customHeight="1" x14ac:dyDescent="0.15">
      <c r="A240" s="2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7"/>
      <c r="BF240" s="1"/>
      <c r="BG240" s="1"/>
      <c r="BH240" s="17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</row>
  </sheetData>
  <mergeCells count="62">
    <mergeCell ref="BC3:BE3"/>
    <mergeCell ref="BF3:BH3"/>
    <mergeCell ref="BI3:BK3"/>
    <mergeCell ref="BL3:BN3"/>
    <mergeCell ref="BO3:BQ3"/>
    <mergeCell ref="I2:U2"/>
    <mergeCell ref="AN2:BB2"/>
    <mergeCell ref="D3:F3"/>
    <mergeCell ref="G3:I3"/>
    <mergeCell ref="J3:L3"/>
    <mergeCell ref="M3:O3"/>
    <mergeCell ref="P3:R3"/>
    <mergeCell ref="AW3:AY3"/>
    <mergeCell ref="AZ3:BB3"/>
    <mergeCell ref="AH3:AJ3"/>
    <mergeCell ref="AK3:AM3"/>
    <mergeCell ref="AN3:AP3"/>
    <mergeCell ref="AQ3:AS3"/>
    <mergeCell ref="AT3:AV3"/>
    <mergeCell ref="A26:A30"/>
    <mergeCell ref="A31:A34"/>
    <mergeCell ref="Y3:AA3"/>
    <mergeCell ref="AB3:AD3"/>
    <mergeCell ref="AE3:AG3"/>
    <mergeCell ref="S3:U3"/>
    <mergeCell ref="V3:X3"/>
    <mergeCell ref="A6:A9"/>
    <mergeCell ref="A10:A15"/>
    <mergeCell ref="A16:A25"/>
    <mergeCell ref="DC10:DC15"/>
    <mergeCell ref="DD10:DD15"/>
    <mergeCell ref="DE10:DE15"/>
    <mergeCell ref="DF10:DF15"/>
    <mergeCell ref="DF16:DF25"/>
    <mergeCell ref="DD31:DD34"/>
    <mergeCell ref="DE31:DE34"/>
    <mergeCell ref="DF31:DF34"/>
    <mergeCell ref="DC16:DC25"/>
    <mergeCell ref="DC26:DC30"/>
    <mergeCell ref="DC31:DC34"/>
    <mergeCell ref="DD16:DD25"/>
    <mergeCell ref="DE16:DE25"/>
    <mergeCell ref="DD26:DD30"/>
    <mergeCell ref="DE26:DE30"/>
    <mergeCell ref="DF26:DF30"/>
    <mergeCell ref="CV3:CX3"/>
    <mergeCell ref="CY3:DB3"/>
    <mergeCell ref="DC3:DF3"/>
    <mergeCell ref="DC6:DC9"/>
    <mergeCell ref="DF6:DF9"/>
    <mergeCell ref="DD6:DD9"/>
    <mergeCell ref="DE6:DE9"/>
    <mergeCell ref="CG3:CI3"/>
    <mergeCell ref="CJ3:CL3"/>
    <mergeCell ref="CM3:CO3"/>
    <mergeCell ref="CP3:CR3"/>
    <mergeCell ref="CS3:CU3"/>
    <mergeCell ref="BR3:BT3"/>
    <mergeCell ref="BU3:BW3"/>
    <mergeCell ref="BX3:BZ3"/>
    <mergeCell ref="CA3:CC3"/>
    <mergeCell ref="CD3:CF3"/>
  </mergeCells>
  <conditionalFormatting sqref="D6:CX35">
    <cfRule type="cellIs" dxfId="1" priority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6640625" defaultRowHeight="15" customHeight="1" x14ac:dyDescent="0.15"/>
  <cols>
    <col min="1" max="26" width="13.6640625" customWidth="1"/>
  </cols>
  <sheetData>
    <row r="1" spans="1:26" ht="22.5" customHeight="1" x14ac:dyDescent="0.15">
      <c r="A1" s="47"/>
      <c r="B1" s="80" t="s">
        <v>86</v>
      </c>
      <c r="C1" s="64"/>
      <c r="D1" s="64"/>
      <c r="E1" s="64"/>
      <c r="F1" s="80" t="s">
        <v>87</v>
      </c>
      <c r="G1" s="64"/>
      <c r="H1" s="64"/>
      <c r="I1" s="64"/>
      <c r="J1" s="80" t="s">
        <v>88</v>
      </c>
      <c r="K1" s="64"/>
      <c r="L1" s="64"/>
      <c r="M1" s="64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22.5" customHeight="1" x14ac:dyDescent="0.15">
      <c r="A2" s="47" t="s">
        <v>99</v>
      </c>
      <c r="B2" s="47" t="s">
        <v>100</v>
      </c>
      <c r="C2" s="47" t="s">
        <v>1</v>
      </c>
      <c r="D2" s="47" t="s">
        <v>101</v>
      </c>
      <c r="E2" s="47" t="s">
        <v>102</v>
      </c>
      <c r="F2" s="47" t="s">
        <v>100</v>
      </c>
      <c r="G2" s="47" t="s">
        <v>1</v>
      </c>
      <c r="H2" s="47" t="s">
        <v>101</v>
      </c>
      <c r="I2" s="47" t="s">
        <v>102</v>
      </c>
      <c r="J2" s="47" t="s">
        <v>100</v>
      </c>
      <c r="K2" s="47" t="s">
        <v>1</v>
      </c>
      <c r="L2" s="47" t="s">
        <v>101</v>
      </c>
      <c r="M2" s="47" t="s">
        <v>102</v>
      </c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22.5" customHeight="1" x14ac:dyDescent="0.15">
      <c r="A3" s="47" t="s">
        <v>86</v>
      </c>
      <c r="B3" s="47">
        <v>1</v>
      </c>
      <c r="C3" s="47" t="s">
        <v>66</v>
      </c>
      <c r="D3" s="47">
        <v>1053</v>
      </c>
      <c r="E3" s="47"/>
      <c r="F3" s="47">
        <v>1</v>
      </c>
      <c r="G3" s="47" t="s">
        <v>103</v>
      </c>
      <c r="H3" s="47">
        <v>265</v>
      </c>
      <c r="I3" s="47"/>
      <c r="J3" s="47">
        <v>1</v>
      </c>
      <c r="K3" s="47"/>
      <c r="L3" s="47">
        <v>214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22.5" customHeight="1" x14ac:dyDescent="0.15">
      <c r="A4" s="47"/>
      <c r="B4" s="47">
        <v>2</v>
      </c>
      <c r="C4" s="47" t="s">
        <v>66</v>
      </c>
      <c r="D4" s="47">
        <v>1055</v>
      </c>
      <c r="E4" s="47"/>
      <c r="F4" s="47">
        <v>2</v>
      </c>
      <c r="G4" s="47" t="s">
        <v>104</v>
      </c>
      <c r="H4" s="47">
        <v>462</v>
      </c>
      <c r="I4" s="47"/>
      <c r="J4" s="47">
        <v>2</v>
      </c>
      <c r="K4" s="47"/>
      <c r="L4" s="47">
        <v>687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22.5" customHeight="1" x14ac:dyDescent="0.15">
      <c r="A5" s="47"/>
      <c r="B5" s="47">
        <v>3</v>
      </c>
      <c r="C5" s="47" t="s">
        <v>66</v>
      </c>
      <c r="D5" s="47">
        <v>1709</v>
      </c>
      <c r="E5" s="47" t="str">
        <f>ROMAN(26)</f>
        <v>XXVI</v>
      </c>
      <c r="F5" s="47">
        <v>3</v>
      </c>
      <c r="G5" s="47" t="s">
        <v>103</v>
      </c>
      <c r="H5" s="47">
        <v>300</v>
      </c>
      <c r="I5" s="47"/>
      <c r="J5" s="47">
        <v>3</v>
      </c>
      <c r="K5" s="47"/>
      <c r="L5" s="47">
        <v>253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22.5" customHeight="1" x14ac:dyDescent="0.15">
      <c r="A6" s="47"/>
      <c r="B6" s="47">
        <v>4</v>
      </c>
      <c r="C6" s="47" t="s">
        <v>103</v>
      </c>
      <c r="D6" s="47">
        <v>641</v>
      </c>
      <c r="E6" s="47"/>
      <c r="F6" s="47">
        <v>4</v>
      </c>
      <c r="G6" s="47" t="s">
        <v>103</v>
      </c>
      <c r="H6" s="47">
        <v>150</v>
      </c>
      <c r="I6" s="47"/>
      <c r="J6" s="47">
        <v>4</v>
      </c>
      <c r="K6" s="47"/>
      <c r="L6" s="47">
        <v>253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22.5" customHeight="1" x14ac:dyDescent="0.15">
      <c r="A7" s="47"/>
      <c r="B7" s="47">
        <v>5</v>
      </c>
      <c r="C7" s="47" t="s">
        <v>103</v>
      </c>
      <c r="D7" s="47">
        <v>700</v>
      </c>
      <c r="E7" s="47"/>
      <c r="F7" s="47">
        <v>5</v>
      </c>
      <c r="G7" s="47" t="s">
        <v>85</v>
      </c>
      <c r="H7" s="47">
        <v>189</v>
      </c>
      <c r="I7" s="47"/>
      <c r="J7" s="47">
        <v>5</v>
      </c>
      <c r="K7" s="47"/>
      <c r="L7" s="47">
        <v>65</v>
      </c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22.5" customHeight="1" x14ac:dyDescent="0.15">
      <c r="A8" s="47"/>
      <c r="B8" s="47">
        <v>6</v>
      </c>
      <c r="C8" s="47" t="s">
        <v>103</v>
      </c>
      <c r="D8" s="47">
        <v>140</v>
      </c>
      <c r="E8" s="47"/>
      <c r="F8" s="47">
        <v>6</v>
      </c>
      <c r="G8" s="47" t="s">
        <v>104</v>
      </c>
      <c r="H8" s="47">
        <v>138</v>
      </c>
      <c r="I8" s="47"/>
      <c r="J8" s="47">
        <v>6</v>
      </c>
      <c r="K8" s="47"/>
      <c r="L8" s="47">
        <v>665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22.5" customHeight="1" x14ac:dyDescent="0.15">
      <c r="A9" s="47"/>
      <c r="B9" s="47">
        <v>7</v>
      </c>
      <c r="C9" s="47" t="s">
        <v>66</v>
      </c>
      <c r="D9" s="47">
        <v>923</v>
      </c>
      <c r="E9" s="47"/>
      <c r="F9" s="47">
        <v>7</v>
      </c>
      <c r="G9" s="47" t="s">
        <v>103</v>
      </c>
      <c r="H9" s="47">
        <v>283</v>
      </c>
      <c r="I9" s="47"/>
      <c r="J9" s="47">
        <v>7</v>
      </c>
      <c r="K9" s="47"/>
      <c r="L9" s="47">
        <v>301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22.5" customHeight="1" x14ac:dyDescent="0.15">
      <c r="A10" s="47"/>
      <c r="B10" s="47">
        <v>8</v>
      </c>
      <c r="C10" s="47" t="s">
        <v>62</v>
      </c>
      <c r="D10" s="47">
        <v>90</v>
      </c>
      <c r="E10" s="47"/>
      <c r="F10" s="47">
        <v>8</v>
      </c>
      <c r="G10" s="47" t="s">
        <v>103</v>
      </c>
      <c r="H10" s="47">
        <v>663</v>
      </c>
      <c r="I10" s="47"/>
      <c r="J10" s="47">
        <v>8</v>
      </c>
      <c r="K10" s="47"/>
      <c r="L10" s="47">
        <v>681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22.5" customHeight="1" x14ac:dyDescent="0.15">
      <c r="A11" s="47"/>
      <c r="B11" s="47">
        <v>9</v>
      </c>
      <c r="C11" s="47" t="s">
        <v>85</v>
      </c>
      <c r="D11" s="47">
        <v>271</v>
      </c>
      <c r="E11" s="47"/>
      <c r="F11" s="47">
        <v>9</v>
      </c>
      <c r="G11" s="47" t="s">
        <v>103</v>
      </c>
      <c r="H11" s="47">
        <v>805</v>
      </c>
      <c r="I11" s="47"/>
      <c r="J11" s="47">
        <v>9</v>
      </c>
      <c r="K11" s="47"/>
      <c r="L11" s="47">
        <v>760</v>
      </c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22.5" customHeight="1" x14ac:dyDescent="0.15">
      <c r="A12" s="47"/>
      <c r="B12" s="47">
        <v>10</v>
      </c>
      <c r="C12" s="47" t="s">
        <v>103</v>
      </c>
      <c r="D12" s="47">
        <v>102</v>
      </c>
      <c r="E12" s="47"/>
      <c r="F12" s="47">
        <v>10</v>
      </c>
      <c r="G12" s="47" t="s">
        <v>103</v>
      </c>
      <c r="H12" s="47">
        <v>319</v>
      </c>
      <c r="I12" s="47"/>
      <c r="J12" s="47">
        <v>10</v>
      </c>
      <c r="K12" s="47"/>
      <c r="L12" s="47">
        <v>438</v>
      </c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22.5" customHeight="1" x14ac:dyDescent="0.15">
      <c r="A13" s="47"/>
      <c r="B13" s="47">
        <v>11</v>
      </c>
      <c r="C13" s="47" t="s">
        <v>58</v>
      </c>
      <c r="D13" s="47">
        <v>26</v>
      </c>
      <c r="E13" s="47"/>
      <c r="F13" s="47">
        <v>11</v>
      </c>
      <c r="G13" s="47" t="s">
        <v>103</v>
      </c>
      <c r="H13" s="47">
        <v>287</v>
      </c>
      <c r="I13" s="47"/>
      <c r="J13" s="47">
        <v>11</v>
      </c>
      <c r="K13" s="47"/>
      <c r="L13" s="47">
        <v>297</v>
      </c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22.5" customHeight="1" x14ac:dyDescent="0.15">
      <c r="A14" s="47"/>
      <c r="B14" s="47">
        <v>12</v>
      </c>
      <c r="C14" s="47" t="s">
        <v>103</v>
      </c>
      <c r="D14" s="47">
        <v>373</v>
      </c>
      <c r="E14" s="47"/>
      <c r="F14" s="47">
        <v>12</v>
      </c>
      <c r="G14" s="47" t="s">
        <v>103</v>
      </c>
      <c r="H14" s="47">
        <v>34</v>
      </c>
      <c r="I14" s="47"/>
      <c r="J14" s="47">
        <v>12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22.5" customHeight="1" x14ac:dyDescent="0.15">
      <c r="A15" s="47"/>
      <c r="B15" s="47"/>
      <c r="C15" s="47"/>
      <c r="D15" s="47"/>
      <c r="E15" s="47"/>
      <c r="F15" s="47">
        <v>13</v>
      </c>
      <c r="G15" s="47" t="s">
        <v>103</v>
      </c>
      <c r="H15" s="47">
        <v>695</v>
      </c>
      <c r="I15" s="47"/>
      <c r="J15" s="47">
        <v>13</v>
      </c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22.5" customHeight="1" x14ac:dyDescent="0.15">
      <c r="A16" s="47"/>
      <c r="B16" s="47"/>
      <c r="C16" s="47"/>
      <c r="D16" s="47"/>
      <c r="E16" s="47"/>
      <c r="F16" s="47">
        <v>14</v>
      </c>
      <c r="G16" s="47" t="s">
        <v>103</v>
      </c>
      <c r="H16" s="47">
        <v>329</v>
      </c>
      <c r="I16" s="47"/>
      <c r="J16" s="47">
        <v>14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2.5" customHeight="1" x14ac:dyDescent="0.15">
      <c r="A17" s="47"/>
      <c r="B17" s="47"/>
      <c r="C17" s="47"/>
      <c r="D17" s="47"/>
      <c r="E17" s="47"/>
      <c r="F17" s="47">
        <v>15</v>
      </c>
      <c r="G17" s="47" t="s">
        <v>103</v>
      </c>
      <c r="H17" s="47">
        <v>25</v>
      </c>
      <c r="I17" s="47"/>
      <c r="J17" s="47">
        <v>15</v>
      </c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22.5" customHeight="1" x14ac:dyDescent="0.15">
      <c r="A18" s="47"/>
      <c r="B18" s="47"/>
      <c r="C18" s="47"/>
      <c r="D18" s="47"/>
      <c r="E18" s="47"/>
      <c r="F18" s="47">
        <v>16</v>
      </c>
      <c r="G18" s="47" t="s">
        <v>103</v>
      </c>
      <c r="H18" s="47">
        <v>361</v>
      </c>
      <c r="I18" s="47"/>
      <c r="J18" s="47">
        <v>16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22.5" customHeight="1" x14ac:dyDescent="0.15">
      <c r="A19" s="47"/>
      <c r="B19" s="47"/>
      <c r="C19" s="47"/>
      <c r="D19" s="47"/>
      <c r="E19" s="47"/>
      <c r="F19" s="47">
        <v>17</v>
      </c>
      <c r="G19" s="47" t="s">
        <v>85</v>
      </c>
      <c r="H19" s="47">
        <v>407</v>
      </c>
      <c r="I19" s="47"/>
      <c r="J19" s="47">
        <v>17</v>
      </c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22.5" customHeight="1" x14ac:dyDescent="0.15">
      <c r="A20" s="47"/>
      <c r="B20" s="47"/>
      <c r="C20" s="47"/>
      <c r="D20" s="47"/>
      <c r="E20" s="47"/>
      <c r="F20" s="47">
        <v>18</v>
      </c>
      <c r="G20" s="47" t="s">
        <v>103</v>
      </c>
      <c r="H20" s="47">
        <v>98</v>
      </c>
      <c r="I20" s="47"/>
      <c r="J20" s="47">
        <v>18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22.5" customHeight="1" x14ac:dyDescent="0.15">
      <c r="A21" s="47"/>
      <c r="B21" s="47"/>
      <c r="C21" s="47"/>
      <c r="D21" s="47"/>
      <c r="E21" s="47"/>
      <c r="F21" s="47">
        <v>19</v>
      </c>
      <c r="G21" s="47" t="s">
        <v>103</v>
      </c>
      <c r="H21" s="47">
        <v>606</v>
      </c>
      <c r="I21" s="47"/>
      <c r="J21" s="47">
        <v>19</v>
      </c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22.5" customHeight="1" x14ac:dyDescent="0.15">
      <c r="A22" s="47"/>
      <c r="B22" s="47"/>
      <c r="C22" s="47"/>
      <c r="D22" s="47"/>
      <c r="E22" s="47"/>
      <c r="F22" s="47">
        <v>20</v>
      </c>
      <c r="G22" s="47" t="s">
        <v>85</v>
      </c>
      <c r="H22" s="47">
        <v>310</v>
      </c>
      <c r="I22" s="47"/>
      <c r="J22" s="47">
        <v>20</v>
      </c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22.5" customHeight="1" x14ac:dyDescent="0.15">
      <c r="A23" s="47"/>
      <c r="B23" s="47"/>
      <c r="C23" s="47"/>
      <c r="D23" s="47"/>
      <c r="E23" s="47"/>
      <c r="F23" s="47">
        <v>21</v>
      </c>
      <c r="G23" s="47" t="s">
        <v>66</v>
      </c>
      <c r="H23" s="47">
        <v>28</v>
      </c>
      <c r="I23" s="47"/>
      <c r="J23" s="47">
        <v>21</v>
      </c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2.5" customHeight="1" x14ac:dyDescent="0.15">
      <c r="A24" s="47"/>
      <c r="B24" s="47"/>
      <c r="C24" s="47"/>
      <c r="D24" s="47"/>
      <c r="E24" s="47"/>
      <c r="F24" s="47">
        <v>22</v>
      </c>
      <c r="G24" s="47" t="s">
        <v>103</v>
      </c>
      <c r="H24" s="47">
        <v>349</v>
      </c>
      <c r="I24" s="47"/>
      <c r="J24" s="47">
        <v>22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22.5" customHeight="1" x14ac:dyDescent="0.15">
      <c r="A25" s="47"/>
      <c r="B25" s="47"/>
      <c r="C25" s="47"/>
      <c r="D25" s="47"/>
      <c r="E25" s="47"/>
      <c r="F25" s="47">
        <v>23</v>
      </c>
      <c r="G25" s="47" t="s">
        <v>85</v>
      </c>
      <c r="H25" s="47">
        <v>633</v>
      </c>
      <c r="I25" s="47"/>
      <c r="J25" s="47">
        <v>23</v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22.5" customHeight="1" x14ac:dyDescent="0.15">
      <c r="A26" s="47"/>
      <c r="B26" s="47"/>
      <c r="C26" s="47"/>
      <c r="D26" s="47"/>
      <c r="E26" s="47"/>
      <c r="F26" s="47">
        <v>24</v>
      </c>
      <c r="G26" s="47" t="s">
        <v>103</v>
      </c>
      <c r="H26" s="47">
        <v>353</v>
      </c>
      <c r="I26" s="47"/>
      <c r="J26" s="47">
        <v>24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22.5" customHeight="1" x14ac:dyDescent="0.15">
      <c r="A27" s="47"/>
      <c r="B27" s="47"/>
      <c r="C27" s="47"/>
      <c r="D27" s="47"/>
      <c r="E27" s="47"/>
      <c r="F27" s="47">
        <v>25</v>
      </c>
      <c r="G27" s="47" t="s">
        <v>103</v>
      </c>
      <c r="H27" s="47">
        <v>680</v>
      </c>
      <c r="I27" s="47"/>
      <c r="J27" s="47">
        <v>25</v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22.5" customHeight="1" x14ac:dyDescent="0.15">
      <c r="A28" s="47"/>
      <c r="B28" s="47"/>
      <c r="C28" s="47"/>
      <c r="D28" s="47"/>
      <c r="E28" s="47"/>
      <c r="F28" s="47">
        <v>26</v>
      </c>
      <c r="G28" s="47" t="s">
        <v>66</v>
      </c>
      <c r="H28" s="47">
        <v>776</v>
      </c>
      <c r="I28" s="47"/>
      <c r="J28" s="47">
        <v>26</v>
      </c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22.5" customHeight="1" x14ac:dyDescent="0.15">
      <c r="A29" s="47"/>
      <c r="B29" s="47"/>
      <c r="C29" s="47"/>
      <c r="D29" s="47"/>
      <c r="E29" s="47"/>
      <c r="F29" s="47">
        <v>27</v>
      </c>
      <c r="G29" s="47" t="s">
        <v>103</v>
      </c>
      <c r="H29" s="47">
        <v>330</v>
      </c>
      <c r="I29" s="47"/>
      <c r="J29" s="47">
        <v>27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22.5" customHeight="1" x14ac:dyDescent="0.15">
      <c r="A30" s="47"/>
      <c r="B30" s="47"/>
      <c r="C30" s="47"/>
      <c r="D30" s="47"/>
      <c r="E30" s="47"/>
      <c r="F30" s="47">
        <v>28</v>
      </c>
      <c r="G30" s="47" t="s">
        <v>103</v>
      </c>
      <c r="H30" s="47">
        <v>653</v>
      </c>
      <c r="I30" s="47"/>
      <c r="J30" s="47">
        <v>28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22.5" customHeight="1" x14ac:dyDescent="0.15">
      <c r="A31" s="47"/>
      <c r="B31" s="47"/>
      <c r="C31" s="47"/>
      <c r="D31" s="47"/>
      <c r="E31" s="47"/>
      <c r="F31" s="47">
        <v>29</v>
      </c>
      <c r="G31" s="47" t="s">
        <v>66</v>
      </c>
      <c r="H31" s="47">
        <v>437</v>
      </c>
      <c r="I31" s="47"/>
      <c r="J31" s="47">
        <v>29</v>
      </c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22.5" customHeight="1" x14ac:dyDescent="0.15">
      <c r="A32" s="47"/>
      <c r="B32" s="47"/>
      <c r="C32" s="47"/>
      <c r="D32" s="47"/>
      <c r="E32" s="47"/>
      <c r="F32" s="47">
        <v>30</v>
      </c>
      <c r="G32" s="47" t="s">
        <v>103</v>
      </c>
      <c r="H32" s="47">
        <v>458</v>
      </c>
      <c r="I32" s="47"/>
      <c r="J32" s="47">
        <v>30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22.5" customHeight="1" x14ac:dyDescent="0.15">
      <c r="A33" s="47"/>
      <c r="B33" s="47"/>
      <c r="C33" s="47"/>
      <c r="D33" s="47"/>
      <c r="E33" s="47"/>
      <c r="F33" s="47">
        <v>31</v>
      </c>
      <c r="G33" s="47" t="s">
        <v>103</v>
      </c>
      <c r="H33" s="47">
        <v>364</v>
      </c>
      <c r="I33" s="47"/>
      <c r="J33" s="47">
        <v>31</v>
      </c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22.5" customHeight="1" x14ac:dyDescent="0.15">
      <c r="A34" s="47"/>
      <c r="B34" s="47"/>
      <c r="C34" s="47"/>
      <c r="D34" s="47"/>
      <c r="E34" s="47"/>
      <c r="F34" s="47">
        <v>32</v>
      </c>
      <c r="G34" s="47" t="s">
        <v>103</v>
      </c>
      <c r="H34" s="47">
        <v>477</v>
      </c>
      <c r="I34" s="47"/>
      <c r="J34" s="47">
        <v>32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22.5" customHeight="1" x14ac:dyDescent="0.15">
      <c r="A35" s="47"/>
      <c r="B35" s="47"/>
      <c r="C35" s="47"/>
      <c r="D35" s="47"/>
      <c r="E35" s="47"/>
      <c r="F35" s="47">
        <v>33</v>
      </c>
      <c r="G35" s="47" t="s">
        <v>103</v>
      </c>
      <c r="H35" s="47">
        <v>633</v>
      </c>
      <c r="I35" s="47"/>
      <c r="J35" s="47">
        <v>33</v>
      </c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22.5" customHeight="1" x14ac:dyDescent="0.15">
      <c r="A36" s="47"/>
      <c r="B36" s="47"/>
      <c r="C36" s="47"/>
      <c r="D36" s="47"/>
      <c r="E36" s="47"/>
      <c r="F36" s="47">
        <v>34</v>
      </c>
      <c r="G36" s="47" t="s">
        <v>66</v>
      </c>
      <c r="H36" s="47">
        <v>1129</v>
      </c>
      <c r="I36" s="47"/>
      <c r="J36" s="47">
        <v>34</v>
      </c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22.5" customHeight="1" x14ac:dyDescent="0.15">
      <c r="A37" s="47"/>
      <c r="B37" s="47"/>
      <c r="C37" s="47"/>
      <c r="D37" s="47"/>
      <c r="E37" s="47"/>
      <c r="F37" s="47">
        <v>35</v>
      </c>
      <c r="G37" s="47" t="s">
        <v>103</v>
      </c>
      <c r="H37" s="47">
        <v>655</v>
      </c>
      <c r="I37" s="47"/>
      <c r="J37" s="47">
        <v>35</v>
      </c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22.5" customHeight="1" x14ac:dyDescent="0.15">
      <c r="A38" s="47"/>
      <c r="B38" s="47"/>
      <c r="C38" s="47"/>
      <c r="D38" s="47"/>
      <c r="E38" s="47"/>
      <c r="F38" s="47">
        <v>36</v>
      </c>
      <c r="G38" s="47" t="s">
        <v>103</v>
      </c>
      <c r="H38" s="47">
        <v>459</v>
      </c>
      <c r="I38" s="47"/>
      <c r="J38" s="47">
        <v>36</v>
      </c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22.5" customHeight="1" x14ac:dyDescent="0.15">
      <c r="A39" s="47"/>
      <c r="B39" s="47"/>
      <c r="C39" s="47"/>
      <c r="D39" s="47"/>
      <c r="E39" s="47"/>
      <c r="F39" s="47">
        <v>37</v>
      </c>
      <c r="G39" s="47" t="s">
        <v>104</v>
      </c>
      <c r="H39" s="47">
        <v>417</v>
      </c>
      <c r="I39" s="47"/>
      <c r="J39" s="47">
        <v>37</v>
      </c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22.5" customHeight="1" x14ac:dyDescent="0.15">
      <c r="A40" s="47"/>
      <c r="B40" s="47"/>
      <c r="C40" s="47"/>
      <c r="D40" s="47"/>
      <c r="E40" s="47"/>
      <c r="F40" s="47">
        <v>38</v>
      </c>
      <c r="G40" s="47" t="s">
        <v>105</v>
      </c>
      <c r="H40" s="47">
        <v>365</v>
      </c>
      <c r="I40" s="47"/>
      <c r="J40" s="47">
        <v>38</v>
      </c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22.5" customHeight="1" x14ac:dyDescent="0.15">
      <c r="A41" s="47"/>
      <c r="B41" s="47"/>
      <c r="C41" s="47"/>
      <c r="D41" s="47"/>
      <c r="E41" s="47"/>
      <c r="F41" s="47">
        <v>39</v>
      </c>
      <c r="G41" s="47" t="s">
        <v>103</v>
      </c>
      <c r="H41" s="47">
        <v>646</v>
      </c>
      <c r="I41" s="47"/>
      <c r="J41" s="47">
        <v>39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22.5" customHeight="1" x14ac:dyDescent="0.15">
      <c r="A42" s="47"/>
      <c r="B42" s="47"/>
      <c r="C42" s="47"/>
      <c r="D42" s="47"/>
      <c r="E42" s="47"/>
      <c r="F42" s="47">
        <v>40</v>
      </c>
      <c r="G42" s="47" t="s">
        <v>103</v>
      </c>
      <c r="H42" s="47">
        <v>446</v>
      </c>
      <c r="I42" s="47"/>
      <c r="J42" s="47">
        <v>40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22.5" customHeight="1" x14ac:dyDescent="0.15">
      <c r="A43" s="47"/>
      <c r="B43" s="47"/>
      <c r="C43" s="47"/>
      <c r="D43" s="47"/>
      <c r="E43" s="47"/>
      <c r="F43" s="47">
        <v>41</v>
      </c>
      <c r="G43" s="47" t="s">
        <v>103</v>
      </c>
      <c r="H43" s="47">
        <v>657</v>
      </c>
      <c r="I43" s="47"/>
      <c r="J43" s="47">
        <v>41</v>
      </c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22.5" customHeight="1" x14ac:dyDescent="0.15">
      <c r="A44" s="47"/>
      <c r="B44" s="47"/>
      <c r="C44" s="47"/>
      <c r="D44" s="47"/>
      <c r="E44" s="47"/>
      <c r="F44" s="47">
        <v>42</v>
      </c>
      <c r="G44" s="47" t="s">
        <v>103</v>
      </c>
      <c r="H44" s="47">
        <v>434</v>
      </c>
      <c r="I44" s="47"/>
      <c r="J44" s="47">
        <v>42</v>
      </c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22.5" customHeight="1" x14ac:dyDescent="0.15">
      <c r="A45" s="47"/>
      <c r="B45" s="47"/>
      <c r="C45" s="47"/>
      <c r="D45" s="47"/>
      <c r="E45" s="47"/>
      <c r="F45" s="47">
        <v>43</v>
      </c>
      <c r="G45" s="47" t="s">
        <v>103</v>
      </c>
      <c r="H45" s="47">
        <v>115</v>
      </c>
      <c r="I45" s="47"/>
      <c r="J45" s="47">
        <v>43</v>
      </c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22.5" customHeight="1" x14ac:dyDescent="0.15">
      <c r="A46" s="47"/>
      <c r="B46" s="47"/>
      <c r="C46" s="47"/>
      <c r="D46" s="47"/>
      <c r="E46" s="47"/>
      <c r="F46" s="47">
        <v>44</v>
      </c>
      <c r="G46" s="47" t="s">
        <v>103</v>
      </c>
      <c r="H46" s="47">
        <v>234</v>
      </c>
      <c r="I46" s="47"/>
      <c r="J46" s="47">
        <v>44</v>
      </c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22.5" customHeight="1" x14ac:dyDescent="0.15">
      <c r="A47" s="47"/>
      <c r="B47" s="47"/>
      <c r="C47" s="47"/>
      <c r="D47" s="47"/>
      <c r="E47" s="47"/>
      <c r="F47" s="47">
        <v>45</v>
      </c>
      <c r="G47" s="47" t="s">
        <v>103</v>
      </c>
      <c r="H47" s="47">
        <v>27</v>
      </c>
      <c r="I47" s="47"/>
      <c r="J47" s="47">
        <v>45</v>
      </c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22.5" customHeight="1" x14ac:dyDescent="0.15">
      <c r="A48" s="47"/>
      <c r="B48" s="47"/>
      <c r="C48" s="47"/>
      <c r="D48" s="47"/>
      <c r="E48" s="47"/>
      <c r="F48" s="47">
        <v>46</v>
      </c>
      <c r="G48" s="47" t="s">
        <v>103</v>
      </c>
      <c r="H48" s="47">
        <v>255</v>
      </c>
      <c r="I48" s="47"/>
      <c r="J48" s="47">
        <v>46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22.5" customHeight="1" x14ac:dyDescent="0.15">
      <c r="A49" s="47"/>
      <c r="B49" s="47"/>
      <c r="C49" s="47"/>
      <c r="D49" s="47"/>
      <c r="E49" s="47"/>
      <c r="F49" s="47">
        <v>47</v>
      </c>
      <c r="G49" s="47" t="s">
        <v>103</v>
      </c>
      <c r="H49" s="47">
        <v>416</v>
      </c>
      <c r="I49" s="47" t="str">
        <f>ROMAN(6)</f>
        <v>VI</v>
      </c>
      <c r="J49" s="47">
        <v>47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22.5" customHeight="1" x14ac:dyDescent="0.15">
      <c r="A50" s="47"/>
      <c r="B50" s="47"/>
      <c r="C50" s="47"/>
      <c r="D50" s="47"/>
      <c r="E50" s="47"/>
      <c r="F50" s="47">
        <v>48</v>
      </c>
      <c r="G50" s="47" t="s">
        <v>104</v>
      </c>
      <c r="H50" s="47">
        <v>46</v>
      </c>
      <c r="I50" s="47"/>
      <c r="J50" s="47">
        <v>48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22.5" customHeight="1" x14ac:dyDescent="0.15">
      <c r="A51" s="47"/>
      <c r="B51" s="47"/>
      <c r="C51" s="47"/>
      <c r="D51" s="47"/>
      <c r="E51" s="47"/>
      <c r="F51" s="47">
        <v>49</v>
      </c>
      <c r="G51" s="47" t="s">
        <v>103</v>
      </c>
      <c r="H51" s="47">
        <v>698</v>
      </c>
      <c r="I51" s="47"/>
      <c r="J51" s="47">
        <v>49</v>
      </c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22.5" customHeight="1" x14ac:dyDescent="0.15">
      <c r="A52" s="47"/>
      <c r="B52" s="47"/>
      <c r="C52" s="47"/>
      <c r="D52" s="47"/>
      <c r="E52" s="47"/>
      <c r="F52" s="47">
        <v>50</v>
      </c>
      <c r="G52" s="47" t="s">
        <v>103</v>
      </c>
      <c r="H52" s="47">
        <v>307</v>
      </c>
      <c r="I52" s="47"/>
      <c r="J52" s="47">
        <v>50</v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22.5" customHeight="1" x14ac:dyDescent="0.15">
      <c r="A53" s="47"/>
      <c r="B53" s="47"/>
      <c r="C53" s="47"/>
      <c r="D53" s="47"/>
      <c r="E53" s="47"/>
      <c r="F53" s="47">
        <v>51</v>
      </c>
      <c r="G53" s="47" t="s">
        <v>103</v>
      </c>
      <c r="H53" s="47">
        <v>63</v>
      </c>
      <c r="I53" s="47"/>
      <c r="J53" s="47">
        <v>51</v>
      </c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22.5" customHeight="1" x14ac:dyDescent="0.15">
      <c r="A54" s="47"/>
      <c r="B54" s="47"/>
      <c r="C54" s="47"/>
      <c r="D54" s="47"/>
      <c r="E54" s="47"/>
      <c r="F54" s="47">
        <v>52</v>
      </c>
      <c r="G54" s="47" t="s">
        <v>103</v>
      </c>
      <c r="H54" s="47">
        <v>62</v>
      </c>
      <c r="I54" s="47"/>
      <c r="J54" s="47">
        <v>52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22.5" customHeight="1" x14ac:dyDescent="0.15">
      <c r="A55" s="47"/>
      <c r="B55" s="47"/>
      <c r="C55" s="47"/>
      <c r="D55" s="47"/>
      <c r="E55" s="47"/>
      <c r="F55" s="47">
        <v>53</v>
      </c>
      <c r="G55" s="47" t="s">
        <v>103</v>
      </c>
      <c r="H55" s="47">
        <v>244</v>
      </c>
      <c r="I55" s="47"/>
      <c r="J55" s="47">
        <v>53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22.5" customHeight="1" x14ac:dyDescent="0.15">
      <c r="A56" s="47"/>
      <c r="B56" s="47"/>
      <c r="C56" s="47"/>
      <c r="D56" s="47"/>
      <c r="E56" s="47"/>
      <c r="F56" s="47">
        <v>54</v>
      </c>
      <c r="G56" s="47" t="s">
        <v>104</v>
      </c>
      <c r="H56" s="47">
        <v>298</v>
      </c>
      <c r="I56" s="47"/>
      <c r="J56" s="47">
        <v>54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22.5" customHeight="1" x14ac:dyDescent="0.15">
      <c r="A57" s="47"/>
      <c r="B57" s="47"/>
      <c r="C57" s="47"/>
      <c r="D57" s="47"/>
      <c r="E57" s="47"/>
      <c r="F57" s="47">
        <v>55</v>
      </c>
      <c r="G57" s="47" t="s">
        <v>103</v>
      </c>
      <c r="H57" s="47">
        <v>186</v>
      </c>
      <c r="I57" s="47"/>
      <c r="J57" s="47">
        <v>55</v>
      </c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22.5" customHeight="1" x14ac:dyDescent="0.15">
      <c r="A58" s="47"/>
      <c r="B58" s="47"/>
      <c r="C58" s="47"/>
      <c r="D58" s="47"/>
      <c r="E58" s="47"/>
      <c r="F58" s="47">
        <v>56</v>
      </c>
      <c r="G58" s="47" t="s">
        <v>58</v>
      </c>
      <c r="H58" s="47">
        <v>361</v>
      </c>
      <c r="I58" s="47"/>
      <c r="J58" s="47">
        <v>56</v>
      </c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22.5" customHeight="1" x14ac:dyDescent="0.15">
      <c r="A59" s="47"/>
      <c r="B59" s="47"/>
      <c r="C59" s="47"/>
      <c r="D59" s="47"/>
      <c r="E59" s="47"/>
      <c r="F59" s="47">
        <v>57</v>
      </c>
      <c r="G59" s="47" t="s">
        <v>66</v>
      </c>
      <c r="H59" s="47">
        <v>779</v>
      </c>
      <c r="I59" s="47"/>
      <c r="J59" s="47">
        <v>57</v>
      </c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22.5" customHeight="1" x14ac:dyDescent="0.15">
      <c r="A60" s="47"/>
      <c r="B60" s="47"/>
      <c r="C60" s="47"/>
      <c r="D60" s="47"/>
      <c r="E60" s="47"/>
      <c r="F60" s="47">
        <v>58</v>
      </c>
      <c r="G60" s="47" t="s">
        <v>64</v>
      </c>
      <c r="H60" s="47">
        <v>71</v>
      </c>
      <c r="I60" s="47"/>
      <c r="J60" s="47">
        <v>58</v>
      </c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22.5" customHeight="1" x14ac:dyDescent="0.15">
      <c r="A61" s="47"/>
      <c r="B61" s="47"/>
      <c r="C61" s="47"/>
      <c r="D61" s="47"/>
      <c r="E61" s="47"/>
      <c r="F61" s="47">
        <v>59</v>
      </c>
      <c r="G61" s="47" t="s">
        <v>103</v>
      </c>
      <c r="H61" s="47">
        <v>482</v>
      </c>
      <c r="I61" s="47"/>
      <c r="J61" s="47">
        <v>59</v>
      </c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22.5" customHeight="1" x14ac:dyDescent="0.15">
      <c r="A62" s="47"/>
      <c r="B62" s="47"/>
      <c r="C62" s="47"/>
      <c r="D62" s="47"/>
      <c r="E62" s="47"/>
      <c r="F62" s="47">
        <v>60</v>
      </c>
      <c r="G62" s="47" t="s">
        <v>103</v>
      </c>
      <c r="H62" s="47">
        <v>800</v>
      </c>
      <c r="I62" s="47"/>
      <c r="J62" s="47">
        <v>60</v>
      </c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22.5" customHeight="1" x14ac:dyDescent="0.15">
      <c r="A63" s="47"/>
      <c r="B63" s="47"/>
      <c r="C63" s="47"/>
      <c r="D63" s="47"/>
      <c r="E63" s="47"/>
      <c r="F63" s="47">
        <v>61</v>
      </c>
      <c r="G63" s="47" t="s">
        <v>58</v>
      </c>
      <c r="H63" s="47">
        <v>363</v>
      </c>
      <c r="I63" s="47"/>
      <c r="J63" s="47">
        <v>61</v>
      </c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22.5" customHeight="1" x14ac:dyDescent="0.15">
      <c r="A64" s="47"/>
      <c r="B64" s="47"/>
      <c r="C64" s="47"/>
      <c r="D64" s="47"/>
      <c r="E64" s="47"/>
      <c r="F64" s="47">
        <v>62</v>
      </c>
      <c r="G64" s="47" t="s">
        <v>106</v>
      </c>
      <c r="H64" s="47">
        <v>260</v>
      </c>
      <c r="I64" s="47"/>
      <c r="J64" s="47">
        <v>62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22.5" customHeight="1" x14ac:dyDescent="0.15">
      <c r="A65" s="47"/>
      <c r="B65" s="47"/>
      <c r="C65" s="47"/>
      <c r="D65" s="47"/>
      <c r="E65" s="47"/>
      <c r="F65" s="47">
        <v>63</v>
      </c>
      <c r="G65" s="47" t="s">
        <v>58</v>
      </c>
      <c r="H65" s="47">
        <v>365</v>
      </c>
      <c r="I65" s="47"/>
      <c r="J65" s="47">
        <v>63</v>
      </c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22.5" customHeight="1" x14ac:dyDescent="0.15">
      <c r="A66" s="47"/>
      <c r="B66" s="47"/>
      <c r="C66" s="47"/>
      <c r="D66" s="47"/>
      <c r="E66" s="47"/>
      <c r="F66" s="47">
        <v>64</v>
      </c>
      <c r="G66" s="47" t="s">
        <v>66</v>
      </c>
      <c r="H66" s="47">
        <v>1588</v>
      </c>
      <c r="I66" s="47"/>
      <c r="J66" s="47">
        <v>64</v>
      </c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22.5" customHeight="1" x14ac:dyDescent="0.15">
      <c r="A67" s="47"/>
      <c r="B67" s="47"/>
      <c r="C67" s="47"/>
      <c r="D67" s="47"/>
      <c r="E67" s="47"/>
      <c r="F67" s="47">
        <v>65</v>
      </c>
      <c r="G67" s="47" t="s">
        <v>85</v>
      </c>
      <c r="H67" s="47">
        <v>280</v>
      </c>
      <c r="I67" s="47"/>
      <c r="J67" s="47">
        <v>65</v>
      </c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22.5" customHeight="1" x14ac:dyDescent="0.15">
      <c r="A68" s="47"/>
      <c r="B68" s="47"/>
      <c r="C68" s="47"/>
      <c r="D68" s="47"/>
      <c r="E68" s="47"/>
      <c r="F68" s="47">
        <v>66</v>
      </c>
      <c r="G68" s="47" t="s">
        <v>66</v>
      </c>
      <c r="H68" s="47">
        <v>188</v>
      </c>
      <c r="I68" s="47"/>
      <c r="J68" s="47">
        <v>66</v>
      </c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22.5" customHeight="1" x14ac:dyDescent="0.15">
      <c r="A69" s="47"/>
      <c r="B69" s="47"/>
      <c r="C69" s="47"/>
      <c r="D69" s="47"/>
      <c r="E69" s="47"/>
      <c r="F69" s="47">
        <v>67</v>
      </c>
      <c r="G69" s="47" t="s">
        <v>103</v>
      </c>
      <c r="H69" s="47">
        <v>707</v>
      </c>
      <c r="I69" s="47"/>
      <c r="J69" s="47">
        <v>67</v>
      </c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22.5" customHeight="1" x14ac:dyDescent="0.15">
      <c r="A70" s="47"/>
      <c r="B70" s="47"/>
      <c r="C70" s="47"/>
      <c r="D70" s="47"/>
      <c r="E70" s="47"/>
      <c r="F70" s="47">
        <v>68</v>
      </c>
      <c r="G70" s="47" t="s">
        <v>103</v>
      </c>
      <c r="H70" s="47">
        <v>476</v>
      </c>
      <c r="I70" s="47"/>
      <c r="J70" s="47">
        <v>68</v>
      </c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22.5" customHeight="1" x14ac:dyDescent="0.15">
      <c r="A71" s="47"/>
      <c r="B71" s="47"/>
      <c r="C71" s="47"/>
      <c r="D71" s="47"/>
      <c r="E71" s="47"/>
      <c r="F71" s="47">
        <v>69</v>
      </c>
      <c r="G71" s="47" t="s">
        <v>85</v>
      </c>
      <c r="H71" s="47">
        <v>638</v>
      </c>
      <c r="I71" s="47"/>
      <c r="J71" s="47">
        <v>69</v>
      </c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22.5" customHeight="1" x14ac:dyDescent="0.15">
      <c r="A72" s="47"/>
      <c r="B72" s="47"/>
      <c r="C72" s="47"/>
      <c r="D72" s="47"/>
      <c r="E72" s="47"/>
      <c r="F72" s="47">
        <v>70</v>
      </c>
      <c r="G72" s="47" t="s">
        <v>58</v>
      </c>
      <c r="H72" s="47">
        <v>353</v>
      </c>
      <c r="I72" s="47"/>
      <c r="J72" s="47">
        <v>70</v>
      </c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22.5" customHeight="1" x14ac:dyDescent="0.15">
      <c r="A73" s="47"/>
      <c r="B73" s="47"/>
      <c r="C73" s="47"/>
      <c r="D73" s="47"/>
      <c r="E73" s="47"/>
      <c r="F73" s="47">
        <v>71</v>
      </c>
      <c r="G73" s="47" t="s">
        <v>107</v>
      </c>
      <c r="H73" s="47">
        <v>456</v>
      </c>
      <c r="I73" s="47"/>
      <c r="J73" s="47">
        <v>71</v>
      </c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22.5" customHeight="1" x14ac:dyDescent="0.15">
      <c r="A74" s="47"/>
      <c r="B74" s="47"/>
      <c r="C74" s="47"/>
      <c r="D74" s="47"/>
      <c r="E74" s="47"/>
      <c r="F74" s="47">
        <v>72</v>
      </c>
      <c r="G74" s="47" t="s">
        <v>103</v>
      </c>
      <c r="H74" s="47">
        <v>350</v>
      </c>
      <c r="I74" s="47"/>
      <c r="J74" s="47">
        <v>72</v>
      </c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22.5" customHeight="1" x14ac:dyDescent="0.15">
      <c r="A75" s="47"/>
      <c r="B75" s="47"/>
      <c r="C75" s="47"/>
      <c r="D75" s="47"/>
      <c r="E75" s="47"/>
      <c r="F75" s="47">
        <v>73</v>
      </c>
      <c r="G75" s="47" t="s">
        <v>103</v>
      </c>
      <c r="H75" s="47">
        <v>89</v>
      </c>
      <c r="I75" s="47"/>
      <c r="J75" s="47">
        <v>73</v>
      </c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22.5" customHeight="1" x14ac:dyDescent="0.15">
      <c r="A76" s="47"/>
      <c r="B76" s="47"/>
      <c r="C76" s="47"/>
      <c r="D76" s="47"/>
      <c r="E76" s="47"/>
      <c r="F76" s="47">
        <v>74</v>
      </c>
      <c r="G76" s="47" t="s">
        <v>103</v>
      </c>
      <c r="H76" s="47">
        <v>336</v>
      </c>
      <c r="I76" s="47"/>
      <c r="J76" s="47">
        <v>74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22.5" customHeight="1" x14ac:dyDescent="0.15">
      <c r="A77" s="47"/>
      <c r="B77" s="47"/>
      <c r="C77" s="47"/>
      <c r="D77" s="47"/>
      <c r="E77" s="47"/>
      <c r="F77" s="47">
        <v>75</v>
      </c>
      <c r="G77" s="47" t="s">
        <v>103</v>
      </c>
      <c r="H77" s="47">
        <v>51</v>
      </c>
      <c r="I77" s="47"/>
      <c r="J77" s="47">
        <v>75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22.5" customHeight="1" x14ac:dyDescent="0.15">
      <c r="A78" s="47"/>
      <c r="B78" s="47"/>
      <c r="C78" s="47"/>
      <c r="D78" s="47"/>
      <c r="E78" s="47"/>
      <c r="F78" s="47">
        <v>76</v>
      </c>
      <c r="G78" s="47" t="s">
        <v>103</v>
      </c>
      <c r="H78" s="47">
        <v>441</v>
      </c>
      <c r="I78" s="47"/>
      <c r="J78" s="47">
        <v>76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22.5" customHeight="1" x14ac:dyDescent="0.15">
      <c r="A79" s="47"/>
      <c r="B79" s="47"/>
      <c r="C79" s="47"/>
      <c r="D79" s="47"/>
      <c r="E79" s="47"/>
      <c r="F79" s="47">
        <v>77</v>
      </c>
      <c r="G79" s="47" t="s">
        <v>103</v>
      </c>
      <c r="H79" s="47">
        <v>387</v>
      </c>
      <c r="I79" s="47"/>
      <c r="J79" s="47">
        <v>77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22.5" customHeight="1" x14ac:dyDescent="0.15">
      <c r="A80" s="47"/>
      <c r="B80" s="47"/>
      <c r="C80" s="47"/>
      <c r="D80" s="47"/>
      <c r="E80" s="47"/>
      <c r="F80" s="47">
        <v>78</v>
      </c>
      <c r="G80" s="47" t="s">
        <v>85</v>
      </c>
      <c r="H80" s="47">
        <v>200</v>
      </c>
      <c r="I80" s="47"/>
      <c r="J80" s="47">
        <v>78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22.5" customHeight="1" x14ac:dyDescent="0.15">
      <c r="A81" s="47"/>
      <c r="B81" s="47"/>
      <c r="C81" s="47"/>
      <c r="D81" s="47"/>
      <c r="E81" s="47"/>
      <c r="F81" s="47">
        <v>79</v>
      </c>
      <c r="G81" s="47" t="s">
        <v>107</v>
      </c>
      <c r="H81" s="47">
        <v>435</v>
      </c>
      <c r="I81" s="47"/>
      <c r="J81" s="47">
        <v>79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22.5" customHeight="1" x14ac:dyDescent="0.15">
      <c r="A82" s="47"/>
      <c r="B82" s="47"/>
      <c r="C82" s="47"/>
      <c r="D82" s="47"/>
      <c r="E82" s="47"/>
      <c r="F82" s="47">
        <v>80</v>
      </c>
      <c r="G82" s="47" t="s">
        <v>85</v>
      </c>
      <c r="H82" s="47">
        <v>762</v>
      </c>
      <c r="I82" s="47"/>
      <c r="J82" s="47">
        <v>80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22.5" customHeight="1" x14ac:dyDescent="0.15">
      <c r="A83" s="47"/>
      <c r="B83" s="47"/>
      <c r="C83" s="47"/>
      <c r="D83" s="47"/>
      <c r="E83" s="47"/>
      <c r="F83" s="47">
        <v>81</v>
      </c>
      <c r="G83" s="47" t="s">
        <v>103</v>
      </c>
      <c r="H83" s="47">
        <v>302</v>
      </c>
      <c r="I83" s="47"/>
      <c r="J83" s="47">
        <v>81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22.5" customHeight="1" x14ac:dyDescent="0.15">
      <c r="A84" s="47"/>
      <c r="B84" s="47"/>
      <c r="C84" s="47"/>
      <c r="D84" s="47"/>
      <c r="E84" s="47"/>
      <c r="F84" s="47">
        <v>82</v>
      </c>
      <c r="G84" s="47" t="s">
        <v>103</v>
      </c>
      <c r="H84" s="47">
        <v>103</v>
      </c>
      <c r="I84" s="47"/>
      <c r="J84" s="47">
        <v>82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22.5" customHeight="1" x14ac:dyDescent="0.15">
      <c r="A85" s="47"/>
      <c r="B85" s="47"/>
      <c r="C85" s="47"/>
      <c r="D85" s="47"/>
      <c r="E85" s="47"/>
      <c r="F85" s="47">
        <v>83</v>
      </c>
      <c r="G85" s="47" t="s">
        <v>103</v>
      </c>
      <c r="H85" s="47">
        <v>352</v>
      </c>
      <c r="I85" s="47"/>
      <c r="J85" s="47">
        <v>83</v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22.5" customHeight="1" x14ac:dyDescent="0.15">
      <c r="A86" s="47"/>
      <c r="B86" s="47"/>
      <c r="C86" s="47"/>
      <c r="D86" s="47"/>
      <c r="E86" s="47"/>
      <c r="F86" s="47">
        <v>84</v>
      </c>
      <c r="G86" s="47" t="s">
        <v>58</v>
      </c>
      <c r="H86" s="47">
        <v>154</v>
      </c>
      <c r="I86" s="47"/>
      <c r="J86" s="47">
        <v>84</v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22.5" customHeight="1" x14ac:dyDescent="0.15">
      <c r="A87" s="47"/>
      <c r="B87" s="47"/>
      <c r="C87" s="47"/>
      <c r="D87" s="47"/>
      <c r="E87" s="47"/>
      <c r="F87" s="47">
        <v>85</v>
      </c>
      <c r="G87" s="47" t="s">
        <v>103</v>
      </c>
      <c r="H87" s="47">
        <v>444</v>
      </c>
      <c r="I87" s="47"/>
      <c r="J87" s="47">
        <v>85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22.5" customHeight="1" x14ac:dyDescent="0.15">
      <c r="A88" s="47"/>
      <c r="B88" s="47"/>
      <c r="C88" s="47"/>
      <c r="D88" s="47"/>
      <c r="E88" s="47"/>
      <c r="F88" s="47">
        <v>86</v>
      </c>
      <c r="G88" s="47" t="s">
        <v>103</v>
      </c>
      <c r="H88" s="47">
        <v>686</v>
      </c>
      <c r="I88" s="47"/>
      <c r="J88" s="47">
        <v>86</v>
      </c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22.5" customHeight="1" x14ac:dyDescent="0.15">
      <c r="A89" s="47"/>
      <c r="B89" s="47"/>
      <c r="C89" s="47"/>
      <c r="D89" s="47"/>
      <c r="E89" s="47"/>
      <c r="F89" s="47">
        <v>87</v>
      </c>
      <c r="G89" s="47" t="s">
        <v>103</v>
      </c>
      <c r="H89" s="47">
        <v>161</v>
      </c>
      <c r="I89" s="47"/>
      <c r="J89" s="47">
        <v>87</v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22.5" customHeight="1" x14ac:dyDescent="0.15">
      <c r="A90" s="47"/>
      <c r="B90" s="47"/>
      <c r="C90" s="47"/>
      <c r="D90" s="47"/>
      <c r="E90" s="47"/>
      <c r="F90" s="47">
        <v>88</v>
      </c>
      <c r="G90" s="47" t="s">
        <v>107</v>
      </c>
      <c r="H90" s="47">
        <v>420</v>
      </c>
      <c r="I90" s="47"/>
      <c r="J90" s="47">
        <v>88</v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22.5" customHeight="1" x14ac:dyDescent="0.15">
      <c r="A91" s="47"/>
      <c r="B91" s="47"/>
      <c r="C91" s="47"/>
      <c r="D91" s="47"/>
      <c r="E91" s="47"/>
      <c r="F91" s="47">
        <v>89</v>
      </c>
      <c r="G91" s="47" t="s">
        <v>85</v>
      </c>
      <c r="H91" s="47">
        <v>296</v>
      </c>
      <c r="I91" s="47"/>
      <c r="J91" s="47">
        <v>89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22.5" customHeight="1" x14ac:dyDescent="0.15">
      <c r="A92" s="47"/>
      <c r="B92" s="47"/>
      <c r="C92" s="47"/>
      <c r="D92" s="47"/>
      <c r="E92" s="47"/>
      <c r="F92" s="47">
        <v>90</v>
      </c>
      <c r="G92" s="47" t="s">
        <v>103</v>
      </c>
      <c r="H92" s="47">
        <v>28</v>
      </c>
      <c r="I92" s="47"/>
      <c r="J92" s="47">
        <v>90</v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22.5" customHeight="1" x14ac:dyDescent="0.15">
      <c r="A93" s="47"/>
      <c r="B93" s="47"/>
      <c r="C93" s="47"/>
      <c r="D93" s="47"/>
      <c r="E93" s="47"/>
      <c r="F93" s="47">
        <v>91</v>
      </c>
      <c r="G93" s="47" t="s">
        <v>66</v>
      </c>
      <c r="H93" s="47">
        <v>1227</v>
      </c>
      <c r="I93" s="47"/>
      <c r="J93" s="47">
        <v>91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22.5" customHeight="1" x14ac:dyDescent="0.15">
      <c r="A94" s="47"/>
      <c r="B94" s="47"/>
      <c r="C94" s="47"/>
      <c r="D94" s="47"/>
      <c r="E94" s="47"/>
      <c r="F94" s="47">
        <v>92</v>
      </c>
      <c r="G94" s="47" t="s">
        <v>85</v>
      </c>
      <c r="H94" s="47">
        <v>293</v>
      </c>
      <c r="I94" s="47"/>
      <c r="J94" s="47">
        <v>92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22.5" customHeight="1" x14ac:dyDescent="0.15">
      <c r="A95" s="47"/>
      <c r="B95" s="47"/>
      <c r="C95" s="47"/>
      <c r="D95" s="47"/>
      <c r="E95" s="47"/>
      <c r="F95" s="47">
        <v>93</v>
      </c>
      <c r="G95" s="47" t="s">
        <v>85</v>
      </c>
      <c r="H95" s="47">
        <v>289</v>
      </c>
      <c r="I95" s="47"/>
      <c r="J95" s="47">
        <v>93</v>
      </c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22.5" customHeight="1" x14ac:dyDescent="0.15">
      <c r="A96" s="47"/>
      <c r="B96" s="47"/>
      <c r="C96" s="47"/>
      <c r="D96" s="47"/>
      <c r="E96" s="47"/>
      <c r="F96" s="47">
        <v>94</v>
      </c>
      <c r="G96" s="47" t="s">
        <v>107</v>
      </c>
      <c r="H96" s="47">
        <v>412</v>
      </c>
      <c r="I96" s="47"/>
      <c r="J96" s="47">
        <v>94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22.5" customHeight="1" x14ac:dyDescent="0.15">
      <c r="A97" s="47"/>
      <c r="B97" s="47"/>
      <c r="C97" s="47"/>
      <c r="D97" s="47"/>
      <c r="E97" s="47"/>
      <c r="F97" s="47">
        <v>95</v>
      </c>
      <c r="G97" s="47" t="s">
        <v>66</v>
      </c>
      <c r="H97" s="47">
        <v>227</v>
      </c>
      <c r="I97" s="47"/>
      <c r="J97" s="47">
        <v>95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22.5" customHeight="1" x14ac:dyDescent="0.15">
      <c r="A98" s="47"/>
      <c r="B98" s="47"/>
      <c r="C98" s="47"/>
      <c r="D98" s="47"/>
      <c r="E98" s="47"/>
      <c r="F98" s="47">
        <v>96</v>
      </c>
      <c r="G98" s="47" t="s">
        <v>103</v>
      </c>
      <c r="H98" s="47">
        <v>556</v>
      </c>
      <c r="I98" s="47"/>
      <c r="J98" s="47">
        <v>96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22.5" customHeight="1" x14ac:dyDescent="0.15">
      <c r="A99" s="47"/>
      <c r="B99" s="47"/>
      <c r="C99" s="47"/>
      <c r="D99" s="47"/>
      <c r="E99" s="47"/>
      <c r="F99" s="47">
        <v>97</v>
      </c>
      <c r="G99" s="47" t="s">
        <v>103</v>
      </c>
      <c r="H99" s="47">
        <v>483</v>
      </c>
      <c r="I99" s="47"/>
      <c r="J99" s="47">
        <v>97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22.5" customHeight="1" x14ac:dyDescent="0.15">
      <c r="A100" s="47"/>
      <c r="B100" s="47"/>
      <c r="C100" s="47"/>
      <c r="D100" s="47"/>
      <c r="E100" s="47"/>
      <c r="F100" s="47">
        <v>98</v>
      </c>
      <c r="G100" s="47" t="s">
        <v>107</v>
      </c>
      <c r="H100" s="47">
        <v>703</v>
      </c>
      <c r="I100" s="47"/>
      <c r="J100" s="47">
        <v>98</v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22.5" customHeight="1" x14ac:dyDescent="0.15">
      <c r="A101" s="47"/>
      <c r="B101" s="47"/>
      <c r="C101" s="47"/>
      <c r="D101" s="47"/>
      <c r="E101" s="47"/>
      <c r="F101" s="47">
        <v>99</v>
      </c>
      <c r="G101" s="47" t="s">
        <v>85</v>
      </c>
      <c r="H101" s="47">
        <v>267</v>
      </c>
      <c r="I101" s="47"/>
      <c r="J101" s="47">
        <v>99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22.5" customHeight="1" x14ac:dyDescent="0.15">
      <c r="A102" s="47"/>
      <c r="B102" s="47"/>
      <c r="C102" s="47"/>
      <c r="D102" s="47"/>
      <c r="E102" s="47"/>
      <c r="F102" s="47">
        <v>100</v>
      </c>
      <c r="G102" s="47" t="s">
        <v>103</v>
      </c>
      <c r="H102" s="47">
        <v>652</v>
      </c>
      <c r="I102" s="47"/>
      <c r="J102" s="47">
        <v>100</v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22.5" customHeight="1" x14ac:dyDescent="0.15">
      <c r="A103" s="47"/>
      <c r="B103" s="47"/>
      <c r="C103" s="47"/>
      <c r="D103" s="47"/>
      <c r="E103" s="47"/>
      <c r="F103" s="47">
        <v>101</v>
      </c>
      <c r="G103" s="47" t="s">
        <v>66</v>
      </c>
      <c r="H103" s="47">
        <v>520</v>
      </c>
      <c r="I103" s="47"/>
      <c r="J103" s="47">
        <v>101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22.5" customHeight="1" x14ac:dyDescent="0.15">
      <c r="A104" s="47"/>
      <c r="B104" s="47"/>
      <c r="C104" s="47"/>
      <c r="D104" s="47"/>
      <c r="E104" s="47"/>
      <c r="F104" s="47">
        <v>102</v>
      </c>
      <c r="G104" s="47" t="s">
        <v>103</v>
      </c>
      <c r="H104" s="47">
        <v>654</v>
      </c>
      <c r="I104" s="47"/>
      <c r="J104" s="47">
        <v>102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22.5" customHeight="1" x14ac:dyDescent="0.15">
      <c r="A105" s="47"/>
      <c r="B105" s="47"/>
      <c r="C105" s="47"/>
      <c r="D105" s="47"/>
      <c r="E105" s="47"/>
      <c r="F105" s="47">
        <v>103</v>
      </c>
      <c r="G105" s="47" t="s">
        <v>103</v>
      </c>
      <c r="H105" s="47">
        <v>324</v>
      </c>
      <c r="I105" s="47"/>
      <c r="J105" s="47">
        <v>103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22.5" customHeight="1" x14ac:dyDescent="0.15">
      <c r="A106" s="47"/>
      <c r="B106" s="47"/>
      <c r="C106" s="47"/>
      <c r="D106" s="47"/>
      <c r="E106" s="47"/>
      <c r="F106" s="47">
        <v>104</v>
      </c>
      <c r="G106" s="47" t="s">
        <v>103</v>
      </c>
      <c r="H106" s="47" t="s">
        <v>108</v>
      </c>
      <c r="I106" s="47" t="str">
        <f>ROMAN(1)</f>
        <v>I</v>
      </c>
      <c r="J106" s="47">
        <v>104</v>
      </c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22.5" customHeight="1" x14ac:dyDescent="0.15">
      <c r="A107" s="47"/>
      <c r="B107" s="47"/>
      <c r="C107" s="47"/>
      <c r="D107" s="47"/>
      <c r="E107" s="47"/>
      <c r="F107" s="47">
        <v>105</v>
      </c>
      <c r="G107" s="47" t="s">
        <v>103</v>
      </c>
      <c r="H107" s="47">
        <v>380</v>
      </c>
      <c r="I107" s="47"/>
      <c r="J107" s="47">
        <v>105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22.5" customHeight="1" x14ac:dyDescent="0.15">
      <c r="A108" s="47"/>
      <c r="B108" s="47"/>
      <c r="C108" s="47"/>
      <c r="D108" s="47"/>
      <c r="E108" s="47"/>
      <c r="F108" s="47">
        <v>106</v>
      </c>
      <c r="G108" s="47" t="s">
        <v>103</v>
      </c>
      <c r="H108" s="47">
        <v>481</v>
      </c>
      <c r="I108" s="47"/>
      <c r="J108" s="47">
        <v>106</v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22.5" customHeight="1" x14ac:dyDescent="0.15">
      <c r="A109" s="47"/>
      <c r="B109" s="47"/>
      <c r="C109" s="47"/>
      <c r="D109" s="47"/>
      <c r="E109" s="47"/>
      <c r="F109" s="47">
        <v>107</v>
      </c>
      <c r="G109" s="47" t="s">
        <v>103</v>
      </c>
      <c r="H109" s="47">
        <v>335</v>
      </c>
      <c r="I109" s="47"/>
      <c r="J109" s="47">
        <v>107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22.5" customHeight="1" x14ac:dyDescent="0.15">
      <c r="A110" s="47"/>
      <c r="B110" s="47"/>
      <c r="C110" s="47"/>
      <c r="D110" s="47"/>
      <c r="E110" s="47"/>
      <c r="F110" s="47">
        <v>108</v>
      </c>
      <c r="G110" s="47" t="s">
        <v>103</v>
      </c>
      <c r="H110" s="47">
        <v>405</v>
      </c>
      <c r="I110" s="47"/>
      <c r="J110" s="47">
        <v>108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22.5" customHeight="1" x14ac:dyDescent="0.15">
      <c r="A111" s="47"/>
      <c r="B111" s="47"/>
      <c r="C111" s="47"/>
      <c r="D111" s="47"/>
      <c r="E111" s="47"/>
      <c r="F111" s="47">
        <v>109</v>
      </c>
      <c r="G111" s="47" t="s">
        <v>103</v>
      </c>
      <c r="H111" s="47">
        <v>262</v>
      </c>
      <c r="I111" s="47"/>
      <c r="J111" s="47">
        <v>109</v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22.5" customHeight="1" x14ac:dyDescent="0.15">
      <c r="A112" s="47"/>
      <c r="B112" s="47"/>
      <c r="C112" s="47"/>
      <c r="D112" s="47"/>
      <c r="E112" s="47"/>
      <c r="F112" s="47">
        <v>110</v>
      </c>
      <c r="G112" s="47" t="s">
        <v>103</v>
      </c>
      <c r="H112" s="47">
        <v>518</v>
      </c>
      <c r="I112" s="47"/>
      <c r="J112" s="47">
        <v>110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22.5" customHeight="1" x14ac:dyDescent="0.15">
      <c r="A113" s="47"/>
      <c r="B113" s="47"/>
      <c r="C113" s="47"/>
      <c r="D113" s="47"/>
      <c r="E113" s="47"/>
      <c r="F113" s="47">
        <v>111</v>
      </c>
      <c r="G113" s="47" t="s">
        <v>103</v>
      </c>
      <c r="H113" s="47">
        <v>66</v>
      </c>
      <c r="I113" s="47" t="str">
        <f>ROMAN(9)</f>
        <v>IX</v>
      </c>
      <c r="J113" s="47">
        <v>111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22.5" customHeight="1" x14ac:dyDescent="0.15">
      <c r="A114" s="47"/>
      <c r="B114" s="47"/>
      <c r="C114" s="47"/>
      <c r="D114" s="47"/>
      <c r="E114" s="47"/>
      <c r="F114" s="47">
        <v>112</v>
      </c>
      <c r="G114" s="47" t="s">
        <v>103</v>
      </c>
      <c r="H114" s="47">
        <v>39</v>
      </c>
      <c r="I114" s="47"/>
      <c r="J114" s="47">
        <v>112</v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22.5" customHeight="1" x14ac:dyDescent="0.15">
      <c r="A115" s="47"/>
      <c r="B115" s="47"/>
      <c r="C115" s="47"/>
      <c r="D115" s="47"/>
      <c r="E115" s="47"/>
      <c r="F115" s="47">
        <v>113</v>
      </c>
      <c r="G115" s="47" t="s">
        <v>103</v>
      </c>
      <c r="H115" s="47">
        <v>254</v>
      </c>
      <c r="I115" s="47"/>
      <c r="J115" s="47">
        <v>113</v>
      </c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22.5" customHeight="1" x14ac:dyDescent="0.15">
      <c r="A116" s="47"/>
      <c r="B116" s="47"/>
      <c r="C116" s="47"/>
      <c r="D116" s="47"/>
      <c r="E116" s="47"/>
      <c r="F116" s="47">
        <v>114</v>
      </c>
      <c r="G116" s="47" t="s">
        <v>66</v>
      </c>
      <c r="H116" s="47">
        <v>1617</v>
      </c>
      <c r="I116" s="47"/>
      <c r="J116" s="47">
        <v>114</v>
      </c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22.5" customHeight="1" x14ac:dyDescent="0.15">
      <c r="A117" s="47"/>
      <c r="B117" s="47"/>
      <c r="C117" s="47"/>
      <c r="D117" s="47"/>
      <c r="E117" s="47"/>
      <c r="F117" s="47">
        <v>115</v>
      </c>
      <c r="G117" s="47" t="s">
        <v>63</v>
      </c>
      <c r="H117" s="47">
        <v>37</v>
      </c>
      <c r="I117" s="47"/>
      <c r="J117" s="47">
        <v>115</v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22.5" customHeight="1" x14ac:dyDescent="0.15">
      <c r="A118" s="47"/>
      <c r="B118" s="47"/>
      <c r="C118" s="47"/>
      <c r="D118" s="47"/>
      <c r="E118" s="47"/>
      <c r="F118" s="47">
        <v>116</v>
      </c>
      <c r="G118" s="47" t="s">
        <v>103</v>
      </c>
      <c r="H118" s="47">
        <v>524</v>
      </c>
      <c r="I118" s="47"/>
      <c r="J118" s="47">
        <v>116</v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22.5" customHeight="1" x14ac:dyDescent="0.15">
      <c r="A119" s="47"/>
      <c r="B119" s="47"/>
      <c r="C119" s="47"/>
      <c r="D119" s="47"/>
      <c r="E119" s="47"/>
      <c r="F119" s="47">
        <v>117</v>
      </c>
      <c r="G119" s="47" t="s">
        <v>66</v>
      </c>
      <c r="H119" s="47">
        <v>255</v>
      </c>
      <c r="I119" s="47"/>
      <c r="J119" s="47">
        <v>117</v>
      </c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22.5" customHeight="1" x14ac:dyDescent="0.15">
      <c r="A120" s="47"/>
      <c r="B120" s="47"/>
      <c r="C120" s="47"/>
      <c r="D120" s="47"/>
      <c r="E120" s="47"/>
      <c r="F120" s="47">
        <v>118</v>
      </c>
      <c r="G120" s="47" t="s">
        <v>103</v>
      </c>
      <c r="H120" s="47">
        <v>563</v>
      </c>
      <c r="I120" s="47"/>
      <c r="J120" s="47">
        <v>118</v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22.5" customHeight="1" x14ac:dyDescent="0.15">
      <c r="A121" s="47"/>
      <c r="B121" s="47"/>
      <c r="C121" s="47"/>
      <c r="D121" s="47"/>
      <c r="E121" s="47"/>
      <c r="F121" s="47">
        <v>119</v>
      </c>
      <c r="G121" s="47" t="s">
        <v>103</v>
      </c>
      <c r="H121" s="47">
        <v>282</v>
      </c>
      <c r="I121" s="47"/>
      <c r="J121" s="47">
        <v>119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22.5" customHeight="1" x14ac:dyDescent="0.15">
      <c r="A122" s="47"/>
      <c r="B122" s="47"/>
      <c r="C122" s="47"/>
      <c r="D122" s="47"/>
      <c r="E122" s="47"/>
      <c r="F122" s="47">
        <v>120</v>
      </c>
      <c r="G122" s="47" t="s">
        <v>103</v>
      </c>
      <c r="H122" s="47">
        <v>82</v>
      </c>
      <c r="I122" s="47"/>
      <c r="J122" s="47">
        <v>120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22.5" customHeight="1" x14ac:dyDescent="0.15">
      <c r="A123" s="47"/>
      <c r="B123" s="47"/>
      <c r="C123" s="47"/>
      <c r="D123" s="47"/>
      <c r="E123" s="47"/>
      <c r="F123" s="47">
        <v>121</v>
      </c>
      <c r="G123" s="47" t="s">
        <v>103</v>
      </c>
      <c r="H123" s="47">
        <v>616</v>
      </c>
      <c r="I123" s="47"/>
      <c r="J123" s="47">
        <v>121</v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22.5" customHeight="1" x14ac:dyDescent="0.15">
      <c r="A124" s="47"/>
      <c r="B124" s="47"/>
      <c r="C124" s="47"/>
      <c r="D124" s="47"/>
      <c r="E124" s="47"/>
      <c r="F124" s="47">
        <v>122</v>
      </c>
      <c r="G124" s="47" t="s">
        <v>103</v>
      </c>
      <c r="H124" s="47">
        <v>211</v>
      </c>
      <c r="I124" s="47" t="str">
        <f>ROMAN(20)</f>
        <v>XX</v>
      </c>
      <c r="J124" s="47">
        <v>122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22.5" customHeight="1" x14ac:dyDescent="0.15">
      <c r="A125" s="47"/>
      <c r="B125" s="47"/>
      <c r="C125" s="47"/>
      <c r="D125" s="47"/>
      <c r="E125" s="47"/>
      <c r="F125" s="47">
        <v>123</v>
      </c>
      <c r="G125" s="47" t="s">
        <v>103</v>
      </c>
      <c r="H125" s="47">
        <v>284</v>
      </c>
      <c r="I125" s="47"/>
      <c r="J125" s="47">
        <v>123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22.5" customHeight="1" x14ac:dyDescent="0.15">
      <c r="A126" s="47"/>
      <c r="B126" s="47"/>
      <c r="C126" s="47"/>
      <c r="D126" s="47"/>
      <c r="E126" s="47"/>
      <c r="F126" s="47">
        <v>124</v>
      </c>
      <c r="G126" s="47" t="s">
        <v>103</v>
      </c>
      <c r="H126" s="47">
        <v>660</v>
      </c>
      <c r="I126" s="47"/>
      <c r="J126" s="47">
        <v>124</v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22.5" customHeight="1" x14ac:dyDescent="0.15">
      <c r="A127" s="47"/>
      <c r="B127" s="47"/>
      <c r="C127" s="47"/>
      <c r="D127" s="47"/>
      <c r="E127" s="47"/>
      <c r="F127" s="47">
        <v>125</v>
      </c>
      <c r="G127" s="47" t="s">
        <v>103</v>
      </c>
      <c r="H127" s="47">
        <v>636</v>
      </c>
      <c r="I127" s="47"/>
      <c r="J127" s="47">
        <v>125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22.5" customHeight="1" x14ac:dyDescent="0.15">
      <c r="A128" s="47"/>
      <c r="B128" s="47"/>
      <c r="C128" s="47"/>
      <c r="D128" s="47"/>
      <c r="E128" s="47"/>
      <c r="F128" s="47">
        <v>126</v>
      </c>
      <c r="G128" s="47" t="s">
        <v>103</v>
      </c>
      <c r="H128" s="47">
        <v>421</v>
      </c>
      <c r="I128" s="47"/>
      <c r="J128" s="47">
        <v>126</v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22.5" customHeight="1" x14ac:dyDescent="0.15">
      <c r="A129" s="47"/>
      <c r="B129" s="47"/>
      <c r="C129" s="47"/>
      <c r="D129" s="47"/>
      <c r="E129" s="47"/>
      <c r="F129" s="47">
        <v>127</v>
      </c>
      <c r="G129" s="47" t="s">
        <v>103</v>
      </c>
      <c r="H129" s="47">
        <v>52</v>
      </c>
      <c r="I129" s="47"/>
      <c r="J129" s="47">
        <v>127</v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22.5" customHeight="1" x14ac:dyDescent="0.15">
      <c r="A130" s="47"/>
      <c r="B130" s="47"/>
      <c r="C130" s="47"/>
      <c r="D130" s="47"/>
      <c r="E130" s="47"/>
      <c r="F130" s="47">
        <v>128</v>
      </c>
      <c r="G130" s="47" t="s">
        <v>103</v>
      </c>
      <c r="H130" s="47">
        <v>318</v>
      </c>
      <c r="I130" s="47"/>
      <c r="J130" s="47">
        <v>128</v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22.5" customHeight="1" x14ac:dyDescent="0.15">
      <c r="A131" s="47"/>
      <c r="B131" s="47"/>
      <c r="C131" s="47"/>
      <c r="D131" s="47"/>
      <c r="E131" s="47"/>
      <c r="F131" s="47">
        <v>129</v>
      </c>
      <c r="G131" s="47" t="s">
        <v>103</v>
      </c>
      <c r="H131" s="47">
        <v>97</v>
      </c>
      <c r="I131" s="47"/>
      <c r="J131" s="47">
        <v>129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22.5" customHeight="1" x14ac:dyDescent="0.15">
      <c r="A132" s="47"/>
      <c r="B132" s="47"/>
      <c r="C132" s="47"/>
      <c r="D132" s="47"/>
      <c r="E132" s="47"/>
      <c r="F132" s="47">
        <v>130</v>
      </c>
      <c r="G132" s="47" t="s">
        <v>103</v>
      </c>
      <c r="H132" s="47">
        <v>647</v>
      </c>
      <c r="I132" s="47"/>
      <c r="J132" s="47">
        <v>130</v>
      </c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22.5" customHeight="1" x14ac:dyDescent="0.15">
      <c r="A133" s="47"/>
      <c r="B133" s="47"/>
      <c r="C133" s="47"/>
      <c r="D133" s="47"/>
      <c r="E133" s="47"/>
      <c r="F133" s="47">
        <v>131</v>
      </c>
      <c r="G133" s="47" t="s">
        <v>103</v>
      </c>
      <c r="H133" s="47">
        <v>331</v>
      </c>
      <c r="I133" s="47"/>
      <c r="J133" s="47">
        <v>131</v>
      </c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22.5" customHeight="1" x14ac:dyDescent="0.15">
      <c r="A134" s="47"/>
      <c r="B134" s="47"/>
      <c r="C134" s="47"/>
      <c r="D134" s="47"/>
      <c r="E134" s="47"/>
      <c r="F134" s="47">
        <v>132</v>
      </c>
      <c r="G134" s="47" t="s">
        <v>103</v>
      </c>
      <c r="H134" s="47">
        <v>316</v>
      </c>
      <c r="I134" s="47"/>
      <c r="J134" s="47">
        <v>132</v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22.5" customHeight="1" x14ac:dyDescent="0.15">
      <c r="A135" s="47"/>
      <c r="B135" s="47"/>
      <c r="C135" s="47"/>
      <c r="D135" s="47"/>
      <c r="E135" s="47"/>
      <c r="F135" s="47">
        <v>133</v>
      </c>
      <c r="G135" s="47" t="s">
        <v>104</v>
      </c>
      <c r="H135" s="47">
        <v>124</v>
      </c>
      <c r="I135" s="47"/>
      <c r="J135" s="47">
        <v>133</v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22.5" customHeight="1" x14ac:dyDescent="0.15">
      <c r="A136" s="47"/>
      <c r="B136" s="47"/>
      <c r="C136" s="47"/>
      <c r="D136" s="47"/>
      <c r="E136" s="47"/>
      <c r="F136" s="47">
        <v>134</v>
      </c>
      <c r="G136" s="47" t="s">
        <v>103</v>
      </c>
      <c r="H136" s="47">
        <v>351</v>
      </c>
      <c r="I136" s="47"/>
      <c r="J136" s="47">
        <v>134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22.5" customHeight="1" x14ac:dyDescent="0.15">
      <c r="A137" s="47"/>
      <c r="B137" s="47"/>
      <c r="C137" s="47"/>
      <c r="D137" s="47"/>
      <c r="E137" s="47"/>
      <c r="F137" s="47">
        <v>135</v>
      </c>
      <c r="G137" s="47" t="s">
        <v>85</v>
      </c>
      <c r="H137" s="47">
        <v>631</v>
      </c>
      <c r="I137" s="47"/>
      <c r="J137" s="47">
        <v>135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22.5" customHeight="1" x14ac:dyDescent="0.15">
      <c r="A138" s="47"/>
      <c r="B138" s="47"/>
      <c r="C138" s="47"/>
      <c r="D138" s="47"/>
      <c r="E138" s="47"/>
      <c r="F138" s="47">
        <v>136</v>
      </c>
      <c r="G138" s="47" t="s">
        <v>103</v>
      </c>
      <c r="H138" s="47">
        <v>326</v>
      </c>
      <c r="I138" s="47"/>
      <c r="J138" s="47">
        <v>136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22.5" customHeight="1" x14ac:dyDescent="0.15">
      <c r="A139" s="47"/>
      <c r="B139" s="47"/>
      <c r="C139" s="47"/>
      <c r="D139" s="47"/>
      <c r="E139" s="47"/>
      <c r="F139" s="47">
        <v>137</v>
      </c>
      <c r="G139" s="47" t="s">
        <v>103</v>
      </c>
      <c r="H139" s="47">
        <v>519</v>
      </c>
      <c r="I139" s="47"/>
      <c r="J139" s="47">
        <v>137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22.5" customHeight="1" x14ac:dyDescent="0.15">
      <c r="A140" s="47"/>
      <c r="B140" s="47"/>
      <c r="C140" s="47"/>
      <c r="D140" s="47"/>
      <c r="E140" s="47"/>
      <c r="F140" s="47">
        <v>138</v>
      </c>
      <c r="G140" s="47" t="s">
        <v>103</v>
      </c>
      <c r="H140" s="47">
        <v>348</v>
      </c>
      <c r="I140" s="47"/>
      <c r="J140" s="47">
        <v>138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22.5" customHeight="1" x14ac:dyDescent="0.15">
      <c r="A141" s="47"/>
      <c r="B141" s="47"/>
      <c r="C141" s="47"/>
      <c r="D141" s="47"/>
      <c r="E141" s="47"/>
      <c r="F141" s="47">
        <v>139</v>
      </c>
      <c r="G141" s="47" t="s">
        <v>103</v>
      </c>
      <c r="H141" s="47">
        <v>1</v>
      </c>
      <c r="I141" s="47"/>
      <c r="J141" s="47">
        <v>139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22.5" customHeight="1" x14ac:dyDescent="0.15">
      <c r="A142" s="47"/>
      <c r="B142" s="47"/>
      <c r="C142" s="47"/>
      <c r="D142" s="47"/>
      <c r="E142" s="47"/>
      <c r="F142" s="47">
        <v>140</v>
      </c>
      <c r="G142" s="47" t="s">
        <v>103</v>
      </c>
      <c r="H142" s="47">
        <v>275</v>
      </c>
      <c r="I142" s="47"/>
      <c r="J142" s="47">
        <v>140</v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22.5" customHeight="1" x14ac:dyDescent="0.15">
      <c r="A143" s="47"/>
      <c r="B143" s="47"/>
      <c r="C143" s="47"/>
      <c r="D143" s="47"/>
      <c r="E143" s="47"/>
      <c r="F143" s="47">
        <v>141</v>
      </c>
      <c r="G143" s="47" t="s">
        <v>103</v>
      </c>
      <c r="H143" s="47">
        <v>334</v>
      </c>
      <c r="I143" s="47"/>
      <c r="J143" s="47">
        <v>141</v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22.5" customHeight="1" x14ac:dyDescent="0.15">
      <c r="A144" s="47"/>
      <c r="B144" s="47"/>
      <c r="C144" s="47"/>
      <c r="D144" s="47"/>
      <c r="E144" s="47"/>
      <c r="F144" s="47">
        <v>142</v>
      </c>
      <c r="G144" s="47" t="s">
        <v>103</v>
      </c>
      <c r="H144" s="47" t="s">
        <v>109</v>
      </c>
      <c r="I144" s="47"/>
      <c r="J144" s="47">
        <v>142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22.5" customHeight="1" x14ac:dyDescent="0.15">
      <c r="A145" s="47"/>
      <c r="B145" s="47"/>
      <c r="C145" s="47"/>
      <c r="D145" s="47"/>
      <c r="E145" s="47"/>
      <c r="F145" s="47">
        <v>143</v>
      </c>
      <c r="G145" s="47" t="s">
        <v>103</v>
      </c>
      <c r="H145" s="47">
        <v>609</v>
      </c>
      <c r="I145" s="47"/>
      <c r="J145" s="47">
        <v>143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22.5" customHeight="1" x14ac:dyDescent="0.15">
      <c r="A146" s="47"/>
      <c r="B146" s="47"/>
      <c r="C146" s="47"/>
      <c r="D146" s="47"/>
      <c r="E146" s="47"/>
      <c r="F146" s="47">
        <v>144</v>
      </c>
      <c r="G146" s="47" t="s">
        <v>103</v>
      </c>
      <c r="H146" s="47">
        <v>323</v>
      </c>
      <c r="I146" s="47" t="str">
        <f>ROMAN(30)</f>
        <v>XXX</v>
      </c>
      <c r="J146" s="47">
        <v>144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22.5" customHeight="1" x14ac:dyDescent="0.15">
      <c r="A147" s="47"/>
      <c r="B147" s="47"/>
      <c r="C147" s="47"/>
      <c r="D147" s="47"/>
      <c r="E147" s="47"/>
      <c r="F147" s="47">
        <v>145</v>
      </c>
      <c r="G147" s="47" t="s">
        <v>103</v>
      </c>
      <c r="H147" s="47">
        <v>304</v>
      </c>
      <c r="I147" s="47"/>
      <c r="J147" s="47">
        <v>145</v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22.5" customHeight="1" x14ac:dyDescent="0.15">
      <c r="A148" s="47"/>
      <c r="B148" s="47"/>
      <c r="C148" s="47"/>
      <c r="D148" s="47"/>
      <c r="E148" s="47"/>
      <c r="F148" s="47">
        <v>146</v>
      </c>
      <c r="G148" s="47" t="s">
        <v>104</v>
      </c>
      <c r="H148" s="47">
        <v>222</v>
      </c>
      <c r="I148" s="47"/>
      <c r="J148" s="47">
        <v>146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22.5" customHeight="1" x14ac:dyDescent="0.15">
      <c r="A149" s="47"/>
      <c r="B149" s="47"/>
      <c r="C149" s="47"/>
      <c r="D149" s="47"/>
      <c r="E149" s="47"/>
      <c r="F149" s="47">
        <v>147</v>
      </c>
      <c r="G149" s="47" t="s">
        <v>103</v>
      </c>
      <c r="H149" s="47">
        <v>317</v>
      </c>
      <c r="I149" s="47"/>
      <c r="J149" s="47">
        <v>147</v>
      </c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22.5" customHeight="1" x14ac:dyDescent="0.15">
      <c r="A150" s="47"/>
      <c r="B150" s="47"/>
      <c r="C150" s="47"/>
      <c r="D150" s="47"/>
      <c r="E150" s="47"/>
      <c r="F150" s="47">
        <v>148</v>
      </c>
      <c r="G150" s="47" t="s">
        <v>103</v>
      </c>
      <c r="H150" s="47">
        <v>237</v>
      </c>
      <c r="I150" s="47"/>
      <c r="J150" s="47">
        <v>148</v>
      </c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22.5" customHeight="1" x14ac:dyDescent="0.15">
      <c r="A151" s="47"/>
      <c r="B151" s="47"/>
      <c r="C151" s="47"/>
      <c r="D151" s="47"/>
      <c r="E151" s="47"/>
      <c r="F151" s="47">
        <v>149</v>
      </c>
      <c r="G151" s="47" t="s">
        <v>103</v>
      </c>
      <c r="H151" s="47">
        <v>810</v>
      </c>
      <c r="I151" s="47"/>
      <c r="J151" s="47">
        <v>149</v>
      </c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22.5" customHeight="1" x14ac:dyDescent="0.15">
      <c r="A152" s="47"/>
      <c r="B152" s="47"/>
      <c r="C152" s="47"/>
      <c r="D152" s="47"/>
      <c r="E152" s="47"/>
      <c r="F152" s="47">
        <v>150</v>
      </c>
      <c r="G152" s="47" t="s">
        <v>103</v>
      </c>
      <c r="H152" s="47">
        <v>106</v>
      </c>
      <c r="I152" s="47"/>
      <c r="J152" s="47">
        <v>150</v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22.5" customHeight="1" x14ac:dyDescent="0.15">
      <c r="A153" s="47"/>
      <c r="B153" s="47"/>
      <c r="C153" s="47"/>
      <c r="D153" s="47"/>
      <c r="E153" s="47"/>
      <c r="F153" s="47">
        <v>151</v>
      </c>
      <c r="G153" s="47" t="s">
        <v>85</v>
      </c>
      <c r="H153" s="47">
        <v>285</v>
      </c>
      <c r="I153" s="47"/>
      <c r="J153" s="47">
        <v>151</v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22.5" customHeight="1" x14ac:dyDescent="0.15">
      <c r="A154" s="47"/>
      <c r="B154" s="47"/>
      <c r="C154" s="47"/>
      <c r="D154" s="47"/>
      <c r="E154" s="47"/>
      <c r="F154" s="47">
        <v>152</v>
      </c>
      <c r="G154" s="47" t="s">
        <v>66</v>
      </c>
      <c r="H154" s="47">
        <v>1632</v>
      </c>
      <c r="I154" s="47"/>
      <c r="J154" s="47">
        <v>152</v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22.5" customHeight="1" x14ac:dyDescent="0.15">
      <c r="A155" s="47"/>
      <c r="B155" s="47"/>
      <c r="C155" s="47"/>
      <c r="D155" s="47"/>
      <c r="E155" s="47"/>
      <c r="F155" s="47">
        <v>153</v>
      </c>
      <c r="G155" s="47" t="s">
        <v>103</v>
      </c>
      <c r="H155" s="47">
        <v>70</v>
      </c>
      <c r="I155" s="47"/>
      <c r="J155" s="47">
        <v>153</v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22.5" customHeight="1" x14ac:dyDescent="0.15">
      <c r="A156" s="47"/>
      <c r="B156" s="47"/>
      <c r="C156" s="47"/>
      <c r="D156" s="47"/>
      <c r="E156" s="47"/>
      <c r="F156" s="47">
        <v>154</v>
      </c>
      <c r="G156" s="47" t="s">
        <v>103</v>
      </c>
      <c r="H156" s="47">
        <v>601</v>
      </c>
      <c r="I156" s="47"/>
      <c r="J156" s="47">
        <v>154</v>
      </c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22.5" customHeight="1" x14ac:dyDescent="0.15">
      <c r="A157" s="47"/>
      <c r="B157" s="47"/>
      <c r="C157" s="47"/>
      <c r="D157" s="47"/>
      <c r="E157" s="47"/>
      <c r="F157" s="47">
        <v>155</v>
      </c>
      <c r="G157" s="47" t="s">
        <v>103</v>
      </c>
      <c r="H157" s="47">
        <v>327</v>
      </c>
      <c r="I157" s="47"/>
      <c r="J157" s="47">
        <v>155</v>
      </c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22.5" customHeight="1" x14ac:dyDescent="0.15">
      <c r="A158" s="47"/>
      <c r="B158" s="47"/>
      <c r="C158" s="47"/>
      <c r="D158" s="47"/>
      <c r="E158" s="47"/>
      <c r="F158" s="47">
        <v>156</v>
      </c>
      <c r="G158" s="47" t="s">
        <v>103</v>
      </c>
      <c r="H158" s="47">
        <v>804</v>
      </c>
      <c r="I158" s="47"/>
      <c r="J158" s="47">
        <v>156</v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22.5" customHeight="1" x14ac:dyDescent="0.15">
      <c r="A159" s="47"/>
      <c r="B159" s="47"/>
      <c r="C159" s="47"/>
      <c r="D159" s="47"/>
      <c r="E159" s="47"/>
      <c r="F159" s="47">
        <v>157</v>
      </c>
      <c r="G159" s="47" t="s">
        <v>103</v>
      </c>
      <c r="H159" s="47" t="s">
        <v>110</v>
      </c>
      <c r="I159" s="47"/>
      <c r="J159" s="47">
        <v>157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22.5" customHeight="1" x14ac:dyDescent="0.15">
      <c r="A160" s="47"/>
      <c r="B160" s="47"/>
      <c r="C160" s="47"/>
      <c r="D160" s="47"/>
      <c r="E160" s="47"/>
      <c r="F160" s="47">
        <v>158</v>
      </c>
      <c r="G160" s="47" t="s">
        <v>103</v>
      </c>
      <c r="H160" s="47">
        <v>553</v>
      </c>
      <c r="I160" s="47"/>
      <c r="J160" s="47">
        <v>158</v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22.5" customHeight="1" x14ac:dyDescent="0.15">
      <c r="A161" s="47"/>
      <c r="B161" s="47"/>
      <c r="C161" s="47"/>
      <c r="D161" s="47"/>
      <c r="E161" s="47"/>
      <c r="F161" s="47">
        <v>159</v>
      </c>
      <c r="G161" s="47" t="s">
        <v>103</v>
      </c>
      <c r="H161" s="47">
        <v>489</v>
      </c>
      <c r="I161" s="47"/>
      <c r="J161" s="47">
        <v>159</v>
      </c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22.5" customHeight="1" x14ac:dyDescent="0.15">
      <c r="A162" s="47"/>
      <c r="B162" s="47"/>
      <c r="C162" s="47"/>
      <c r="D162" s="47"/>
      <c r="E162" s="47"/>
      <c r="F162" s="47">
        <v>160</v>
      </c>
      <c r="G162" s="47" t="s">
        <v>85</v>
      </c>
      <c r="H162" s="47">
        <v>299</v>
      </c>
      <c r="I162" s="47"/>
      <c r="J162" s="47">
        <v>160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22.5" customHeight="1" x14ac:dyDescent="0.15">
      <c r="A163" s="47"/>
      <c r="B163" s="47"/>
      <c r="C163" s="47"/>
      <c r="D163" s="47"/>
      <c r="E163" s="47"/>
      <c r="F163" s="47">
        <v>161</v>
      </c>
      <c r="G163" s="47" t="s">
        <v>103</v>
      </c>
      <c r="H163" s="47">
        <v>96</v>
      </c>
      <c r="I163" s="47"/>
      <c r="J163" s="47">
        <v>161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22.5" customHeight="1" x14ac:dyDescent="0.15">
      <c r="A164" s="47"/>
      <c r="B164" s="47"/>
      <c r="C164" s="47"/>
      <c r="D164" s="47"/>
      <c r="E164" s="47"/>
      <c r="F164" s="47">
        <v>162</v>
      </c>
      <c r="G164" s="47" t="s">
        <v>107</v>
      </c>
      <c r="H164" s="47">
        <v>434</v>
      </c>
      <c r="I164" s="47" t="str">
        <f>ROMAN(24)</f>
        <v>XXIV</v>
      </c>
      <c r="J164" s="47">
        <v>162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22.5" customHeight="1" x14ac:dyDescent="0.15">
      <c r="A165" s="47"/>
      <c r="B165" s="47"/>
      <c r="C165" s="47"/>
      <c r="D165" s="47"/>
      <c r="E165" s="47"/>
      <c r="F165" s="47">
        <v>163</v>
      </c>
      <c r="G165" s="47" t="s">
        <v>103</v>
      </c>
      <c r="H165" s="47" t="s">
        <v>111</v>
      </c>
      <c r="I165" s="47"/>
      <c r="J165" s="47">
        <v>163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22.5" customHeight="1" x14ac:dyDescent="0.15">
      <c r="A166" s="47"/>
      <c r="B166" s="47"/>
      <c r="C166" s="47"/>
      <c r="D166" s="47"/>
      <c r="E166" s="47"/>
      <c r="F166" s="47">
        <v>164</v>
      </c>
      <c r="G166" s="47" t="s">
        <v>103</v>
      </c>
      <c r="H166" s="47">
        <v>694</v>
      </c>
      <c r="I166" s="47"/>
      <c r="J166" s="47">
        <v>164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22.5" customHeight="1" x14ac:dyDescent="0.15">
      <c r="A167" s="47"/>
      <c r="B167" s="47"/>
      <c r="C167" s="47"/>
      <c r="D167" s="47"/>
      <c r="E167" s="47"/>
      <c r="F167" s="47">
        <v>165</v>
      </c>
      <c r="G167" s="47" t="s">
        <v>103</v>
      </c>
      <c r="H167" s="47">
        <v>289</v>
      </c>
      <c r="I167" s="47"/>
      <c r="J167" s="47">
        <v>165</v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22.5" customHeight="1" x14ac:dyDescent="0.15">
      <c r="A168" s="47"/>
      <c r="B168" s="47"/>
      <c r="C168" s="47"/>
      <c r="D168" s="47"/>
      <c r="E168" s="47"/>
      <c r="F168" s="47">
        <v>166</v>
      </c>
      <c r="G168" s="47" t="s">
        <v>105</v>
      </c>
      <c r="H168" s="47">
        <v>287</v>
      </c>
      <c r="I168" s="47"/>
      <c r="J168" s="47">
        <v>166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22.5" customHeight="1" x14ac:dyDescent="0.15">
      <c r="A169" s="47"/>
      <c r="B169" s="47"/>
      <c r="C169" s="47"/>
      <c r="D169" s="47"/>
      <c r="E169" s="47"/>
      <c r="F169" s="47">
        <v>167</v>
      </c>
      <c r="G169" s="47" t="s">
        <v>103</v>
      </c>
      <c r="H169" s="47">
        <v>32</v>
      </c>
      <c r="I169" s="47"/>
      <c r="J169" s="47">
        <v>167</v>
      </c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22.5" customHeight="1" x14ac:dyDescent="0.15">
      <c r="A170" s="47"/>
      <c r="B170" s="47"/>
      <c r="C170" s="47"/>
      <c r="D170" s="47"/>
      <c r="E170" s="47"/>
      <c r="F170" s="47">
        <v>168</v>
      </c>
      <c r="G170" s="47" t="s">
        <v>66</v>
      </c>
      <c r="H170" s="47">
        <v>1284</v>
      </c>
      <c r="I170" s="47"/>
      <c r="J170" s="47">
        <v>168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22.5" customHeight="1" x14ac:dyDescent="0.15">
      <c r="A171" s="47"/>
      <c r="B171" s="47"/>
      <c r="C171" s="47"/>
      <c r="D171" s="47"/>
      <c r="E171" s="47"/>
      <c r="F171" s="47">
        <v>169</v>
      </c>
      <c r="G171" s="47" t="s">
        <v>103</v>
      </c>
      <c r="H171" s="47">
        <v>534</v>
      </c>
      <c r="I171" s="47"/>
      <c r="J171" s="47">
        <v>169</v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22.5" customHeight="1" x14ac:dyDescent="0.15">
      <c r="A172" s="47"/>
      <c r="B172" s="47"/>
      <c r="C172" s="47"/>
      <c r="D172" s="47"/>
      <c r="E172" s="47"/>
      <c r="F172" s="47">
        <v>170</v>
      </c>
      <c r="G172" s="47" t="s">
        <v>66</v>
      </c>
      <c r="H172" s="47">
        <v>293</v>
      </c>
      <c r="I172" s="47"/>
      <c r="J172" s="47">
        <v>170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22.5" customHeight="1" x14ac:dyDescent="0.15">
      <c r="A173" s="47"/>
      <c r="B173" s="47"/>
      <c r="C173" s="47"/>
      <c r="D173" s="47"/>
      <c r="E173" s="47"/>
      <c r="F173" s="47">
        <v>171</v>
      </c>
      <c r="G173" s="47" t="s">
        <v>66</v>
      </c>
      <c r="H173" s="47">
        <v>568</v>
      </c>
      <c r="I173" s="47"/>
      <c r="J173" s="47">
        <v>171</v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22.5" customHeight="1" x14ac:dyDescent="0.15">
      <c r="A174" s="47"/>
      <c r="B174" s="47"/>
      <c r="C174" s="47"/>
      <c r="D174" s="47"/>
      <c r="E174" s="47"/>
      <c r="F174" s="47">
        <v>172</v>
      </c>
      <c r="G174" s="47" t="s">
        <v>103</v>
      </c>
      <c r="H174" s="47">
        <v>54</v>
      </c>
      <c r="I174" s="47"/>
      <c r="J174" s="47">
        <v>172</v>
      </c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22.5" customHeight="1" x14ac:dyDescent="0.15">
      <c r="A175" s="47"/>
      <c r="B175" s="47"/>
      <c r="C175" s="47"/>
      <c r="D175" s="47"/>
      <c r="E175" s="47"/>
      <c r="F175" s="47">
        <v>173</v>
      </c>
      <c r="G175" s="47" t="s">
        <v>103</v>
      </c>
      <c r="H175" s="47">
        <v>665</v>
      </c>
      <c r="I175" s="47"/>
      <c r="J175" s="47">
        <v>173</v>
      </c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22.5" customHeight="1" x14ac:dyDescent="0.15">
      <c r="A176" s="47"/>
      <c r="B176" s="47"/>
      <c r="C176" s="47"/>
      <c r="D176" s="47"/>
      <c r="E176" s="47"/>
      <c r="F176" s="47">
        <v>174</v>
      </c>
      <c r="G176" s="47" t="s">
        <v>66</v>
      </c>
      <c r="H176" s="47">
        <v>1644</v>
      </c>
      <c r="I176" s="47"/>
      <c r="J176" s="47">
        <v>174</v>
      </c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22.5" customHeight="1" x14ac:dyDescent="0.15">
      <c r="A177" s="47"/>
      <c r="B177" s="47"/>
      <c r="C177" s="47"/>
      <c r="D177" s="47"/>
      <c r="E177" s="47"/>
      <c r="F177" s="47">
        <v>175</v>
      </c>
      <c r="G177" s="47" t="s">
        <v>58</v>
      </c>
      <c r="H177" s="47">
        <v>354</v>
      </c>
      <c r="I177" s="47"/>
      <c r="J177" s="47">
        <v>175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22.5" customHeight="1" x14ac:dyDescent="0.15">
      <c r="A178" s="47"/>
      <c r="B178" s="47"/>
      <c r="C178" s="47"/>
      <c r="D178" s="47"/>
      <c r="E178" s="47"/>
      <c r="F178" s="47">
        <v>176</v>
      </c>
      <c r="G178" s="47" t="s">
        <v>58</v>
      </c>
      <c r="H178" s="47">
        <v>381</v>
      </c>
      <c r="I178" s="47"/>
      <c r="J178" s="47">
        <v>176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22.5" customHeight="1" x14ac:dyDescent="0.15">
      <c r="A179" s="47"/>
      <c r="B179" s="47"/>
      <c r="C179" s="47"/>
      <c r="D179" s="47"/>
      <c r="E179" s="47"/>
      <c r="F179" s="47">
        <v>177</v>
      </c>
      <c r="G179" s="47" t="s">
        <v>103</v>
      </c>
      <c r="H179" s="47">
        <v>357</v>
      </c>
      <c r="I179" s="47"/>
      <c r="J179" s="47">
        <v>177</v>
      </c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22.5" customHeight="1" x14ac:dyDescent="0.15">
      <c r="A180" s="47"/>
      <c r="B180" s="47"/>
      <c r="C180" s="47"/>
      <c r="D180" s="47"/>
      <c r="E180" s="47"/>
      <c r="F180" s="47">
        <v>178</v>
      </c>
      <c r="G180" s="47" t="s">
        <v>103</v>
      </c>
      <c r="H180" s="47">
        <v>105</v>
      </c>
      <c r="I180" s="47"/>
      <c r="J180" s="47">
        <v>178</v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22.5" customHeight="1" x14ac:dyDescent="0.15">
      <c r="A181" s="47"/>
      <c r="B181" s="47"/>
      <c r="C181" s="47"/>
      <c r="D181" s="47"/>
      <c r="E181" s="47"/>
      <c r="F181" s="47">
        <v>179</v>
      </c>
      <c r="G181" s="47" t="s">
        <v>103</v>
      </c>
      <c r="H181" s="47">
        <v>362</v>
      </c>
      <c r="I181" s="47"/>
      <c r="J181" s="47">
        <v>179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22.5" customHeight="1" x14ac:dyDescent="0.15">
      <c r="A182" s="47"/>
      <c r="B182" s="47"/>
      <c r="C182" s="47"/>
      <c r="D182" s="47"/>
      <c r="E182" s="47"/>
      <c r="F182" s="47">
        <v>180</v>
      </c>
      <c r="G182" s="47" t="s">
        <v>103</v>
      </c>
      <c r="H182" s="47">
        <v>346</v>
      </c>
      <c r="I182" s="47"/>
      <c r="J182" s="47">
        <v>180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22.5" customHeight="1" x14ac:dyDescent="0.15">
      <c r="A183" s="47"/>
      <c r="B183" s="47"/>
      <c r="C183" s="47"/>
      <c r="D183" s="47"/>
      <c r="E183" s="47"/>
      <c r="F183" s="47">
        <v>181</v>
      </c>
      <c r="G183" s="47" t="s">
        <v>66</v>
      </c>
      <c r="H183" s="47">
        <v>1340</v>
      </c>
      <c r="I183" s="47"/>
      <c r="J183" s="47">
        <v>181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22.5" customHeight="1" x14ac:dyDescent="0.15">
      <c r="A184" s="47"/>
      <c r="B184" s="47"/>
      <c r="C184" s="47"/>
      <c r="D184" s="47"/>
      <c r="E184" s="47"/>
      <c r="F184" s="47">
        <v>182</v>
      </c>
      <c r="G184" s="47" t="s">
        <v>103</v>
      </c>
      <c r="H184" s="47">
        <v>370</v>
      </c>
      <c r="I184" s="47"/>
      <c r="J184" s="47">
        <v>182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22.5" customHeight="1" x14ac:dyDescent="0.15">
      <c r="A185" s="47"/>
      <c r="B185" s="47"/>
      <c r="C185" s="47"/>
      <c r="D185" s="47"/>
      <c r="E185" s="47"/>
      <c r="F185" s="47">
        <v>183</v>
      </c>
      <c r="G185" s="47" t="s">
        <v>66</v>
      </c>
      <c r="H185" s="47">
        <v>607</v>
      </c>
      <c r="I185" s="47"/>
      <c r="J185" s="47">
        <v>183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22.5" customHeight="1" x14ac:dyDescent="0.15">
      <c r="A186" s="47"/>
      <c r="B186" s="47"/>
      <c r="C186" s="47"/>
      <c r="D186" s="47"/>
      <c r="E186" s="47"/>
      <c r="F186" s="47">
        <v>184</v>
      </c>
      <c r="G186" s="47" t="s">
        <v>103</v>
      </c>
      <c r="H186" s="47">
        <v>510</v>
      </c>
      <c r="I186" s="47"/>
      <c r="J186" s="47">
        <v>184</v>
      </c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22.5" customHeight="1" x14ac:dyDescent="0.15">
      <c r="A187" s="47"/>
      <c r="B187" s="47"/>
      <c r="C187" s="47"/>
      <c r="D187" s="47"/>
      <c r="E187" s="47"/>
      <c r="F187" s="47">
        <v>185</v>
      </c>
      <c r="G187" s="47" t="s">
        <v>103</v>
      </c>
      <c r="H187" s="47">
        <v>363</v>
      </c>
      <c r="I187" s="47"/>
      <c r="J187" s="47">
        <v>185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22.5" customHeight="1" x14ac:dyDescent="0.15">
      <c r="A188" s="47"/>
      <c r="B188" s="47"/>
      <c r="C188" s="47"/>
      <c r="D188" s="47"/>
      <c r="E188" s="47"/>
      <c r="F188" s="47">
        <v>186</v>
      </c>
      <c r="G188" s="47" t="s">
        <v>103</v>
      </c>
      <c r="H188" s="47">
        <v>795</v>
      </c>
      <c r="I188" s="47"/>
      <c r="J188" s="47">
        <v>186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22.5" customHeight="1" x14ac:dyDescent="0.15">
      <c r="A189" s="47"/>
      <c r="B189" s="47"/>
      <c r="C189" s="47"/>
      <c r="D189" s="47"/>
      <c r="E189" s="47"/>
      <c r="F189" s="47">
        <v>187</v>
      </c>
      <c r="G189" s="47" t="s">
        <v>66</v>
      </c>
      <c r="H189" s="47">
        <v>332</v>
      </c>
      <c r="I189" s="47"/>
      <c r="J189" s="47">
        <v>187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22.5" customHeight="1" x14ac:dyDescent="0.15">
      <c r="A190" s="47"/>
      <c r="B190" s="47"/>
      <c r="C190" s="47"/>
      <c r="D190" s="47"/>
      <c r="E190" s="47"/>
      <c r="F190" s="47">
        <v>188</v>
      </c>
      <c r="G190" s="47" t="s">
        <v>103</v>
      </c>
      <c r="H190" s="47">
        <v>332</v>
      </c>
      <c r="I190" s="47"/>
      <c r="J190" s="47">
        <v>188</v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22.5" customHeight="1" x14ac:dyDescent="0.15">
      <c r="A191" s="47"/>
      <c r="B191" s="47"/>
      <c r="C191" s="47"/>
      <c r="D191" s="47"/>
      <c r="E191" s="47"/>
      <c r="F191" s="47">
        <v>189</v>
      </c>
      <c r="G191" s="47" t="s">
        <v>103</v>
      </c>
      <c r="H191" s="47">
        <v>416</v>
      </c>
      <c r="I191" s="47"/>
      <c r="J191" s="47">
        <v>189</v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22.5" customHeight="1" x14ac:dyDescent="0.15">
      <c r="A192" s="47"/>
      <c r="B192" s="47"/>
      <c r="C192" s="47"/>
      <c r="D192" s="47"/>
      <c r="E192" s="47"/>
      <c r="F192" s="47">
        <v>190</v>
      </c>
      <c r="G192" s="47" t="s">
        <v>103</v>
      </c>
      <c r="H192" s="47">
        <v>634</v>
      </c>
      <c r="I192" s="47"/>
      <c r="J192" s="47">
        <v>190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22.5" customHeight="1" x14ac:dyDescent="0.15">
      <c r="A193" s="47"/>
      <c r="B193" s="47"/>
      <c r="C193" s="47"/>
      <c r="D193" s="47"/>
      <c r="E193" s="47"/>
      <c r="F193" s="47">
        <v>191</v>
      </c>
      <c r="G193" s="47" t="s">
        <v>76</v>
      </c>
      <c r="H193" s="47">
        <v>41</v>
      </c>
      <c r="I193" s="47"/>
      <c r="J193" s="47">
        <v>191</v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22.5" customHeight="1" x14ac:dyDescent="0.15">
      <c r="A194" s="47"/>
      <c r="B194" s="47"/>
      <c r="C194" s="47"/>
      <c r="D194" s="47"/>
      <c r="E194" s="47"/>
      <c r="F194" s="47">
        <v>192</v>
      </c>
      <c r="G194" s="47" t="s">
        <v>58</v>
      </c>
      <c r="H194" s="47">
        <v>359</v>
      </c>
      <c r="I194" s="47"/>
      <c r="J194" s="47">
        <v>192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22.5" customHeight="1" x14ac:dyDescent="0.15">
      <c r="A195" s="47"/>
      <c r="B195" s="47"/>
      <c r="C195" s="47"/>
      <c r="D195" s="47"/>
      <c r="E195" s="47"/>
      <c r="F195" s="47">
        <v>193</v>
      </c>
      <c r="G195" s="47" t="s">
        <v>104</v>
      </c>
      <c r="H195" s="47">
        <v>20</v>
      </c>
      <c r="I195" s="47"/>
      <c r="J195" s="47">
        <v>193</v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22.5" customHeight="1" x14ac:dyDescent="0.15">
      <c r="A196" s="47"/>
      <c r="B196" s="47"/>
      <c r="C196" s="47"/>
      <c r="D196" s="47"/>
      <c r="E196" s="47"/>
      <c r="F196" s="47">
        <v>194</v>
      </c>
      <c r="G196" s="47" t="s">
        <v>103</v>
      </c>
      <c r="H196" s="47">
        <v>684</v>
      </c>
      <c r="I196" s="47"/>
      <c r="J196" s="47">
        <v>194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22.5" customHeight="1" x14ac:dyDescent="0.15">
      <c r="A197" s="47"/>
      <c r="B197" s="47"/>
      <c r="C197" s="47"/>
      <c r="D197" s="47"/>
      <c r="E197" s="47"/>
      <c r="F197" s="47">
        <v>195</v>
      </c>
      <c r="G197" s="47" t="s">
        <v>66</v>
      </c>
      <c r="H197" s="47">
        <v>630</v>
      </c>
      <c r="I197" s="47"/>
      <c r="J197" s="47">
        <v>195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22.5" customHeight="1" x14ac:dyDescent="0.15">
      <c r="A198" s="47"/>
      <c r="B198" s="47"/>
      <c r="C198" s="47"/>
      <c r="D198" s="47"/>
      <c r="E198" s="47"/>
      <c r="F198" s="47">
        <v>196</v>
      </c>
      <c r="G198" s="47" t="s">
        <v>103</v>
      </c>
      <c r="H198" s="47">
        <v>340</v>
      </c>
      <c r="I198" s="47"/>
      <c r="J198" s="47">
        <v>196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22.5" customHeight="1" x14ac:dyDescent="0.15">
      <c r="A199" s="47"/>
      <c r="B199" s="47"/>
      <c r="C199" s="47"/>
      <c r="D199" s="47"/>
      <c r="E199" s="47"/>
      <c r="F199" s="47">
        <v>197</v>
      </c>
      <c r="G199" s="47" t="s">
        <v>107</v>
      </c>
      <c r="H199" s="47">
        <v>413</v>
      </c>
      <c r="I199" s="47"/>
      <c r="J199" s="47">
        <v>197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22.5" customHeight="1" x14ac:dyDescent="0.15">
      <c r="A200" s="47"/>
      <c r="B200" s="47"/>
      <c r="C200" s="47"/>
      <c r="D200" s="47"/>
      <c r="E200" s="47"/>
      <c r="F200" s="47">
        <v>198</v>
      </c>
      <c r="G200" s="47" t="s">
        <v>103</v>
      </c>
      <c r="H200" s="47">
        <v>645</v>
      </c>
      <c r="I200" s="47"/>
      <c r="J200" s="47">
        <v>198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22.5" customHeight="1" x14ac:dyDescent="0.15">
      <c r="A201" s="47"/>
      <c r="B201" s="47"/>
      <c r="C201" s="47"/>
      <c r="D201" s="47"/>
      <c r="E201" s="47"/>
      <c r="F201" s="47">
        <v>199</v>
      </c>
      <c r="G201" s="47" t="s">
        <v>103</v>
      </c>
      <c r="H201" s="47">
        <v>642</v>
      </c>
      <c r="I201" s="47"/>
      <c r="J201" s="47">
        <v>199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22.5" customHeight="1" x14ac:dyDescent="0.15">
      <c r="A202" s="47"/>
      <c r="B202" s="47"/>
      <c r="C202" s="47"/>
      <c r="D202" s="47"/>
      <c r="E202" s="47"/>
      <c r="F202" s="47">
        <v>200</v>
      </c>
      <c r="G202" s="47" t="s">
        <v>103</v>
      </c>
      <c r="H202" s="47">
        <v>339</v>
      </c>
      <c r="I202" s="47"/>
      <c r="J202" s="47">
        <v>200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22.5" customHeight="1" x14ac:dyDescent="0.15">
      <c r="A203" s="47"/>
      <c r="B203" s="47"/>
      <c r="C203" s="47"/>
      <c r="D203" s="47"/>
      <c r="E203" s="47"/>
      <c r="F203" s="47">
        <v>201</v>
      </c>
      <c r="G203" s="47" t="s">
        <v>103</v>
      </c>
      <c r="H203" s="47">
        <v>328</v>
      </c>
      <c r="I203" s="47"/>
      <c r="J203" s="47">
        <v>201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22.5" customHeight="1" x14ac:dyDescent="0.15">
      <c r="A204" s="47"/>
      <c r="B204" s="47"/>
      <c r="C204" s="47"/>
      <c r="D204" s="47"/>
      <c r="E204" s="47"/>
      <c r="F204" s="47">
        <v>202</v>
      </c>
      <c r="G204" s="47" t="s">
        <v>103</v>
      </c>
      <c r="H204" s="47">
        <v>274</v>
      </c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22.5" customHeight="1" x14ac:dyDescent="0.15">
      <c r="A205" s="47"/>
      <c r="B205" s="47"/>
      <c r="C205" s="47"/>
      <c r="D205" s="47"/>
      <c r="E205" s="47"/>
      <c r="F205" s="47">
        <v>203</v>
      </c>
      <c r="G205" s="47" t="s">
        <v>66</v>
      </c>
      <c r="H205" s="47">
        <v>1666</v>
      </c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22.5" customHeight="1" x14ac:dyDescent="0.15">
      <c r="A206" s="47"/>
      <c r="B206" s="47"/>
      <c r="C206" s="47"/>
      <c r="D206" s="47"/>
      <c r="E206" s="47"/>
      <c r="F206" s="47">
        <v>204</v>
      </c>
      <c r="G206" s="47" t="s">
        <v>103</v>
      </c>
      <c r="H206" s="47">
        <v>610</v>
      </c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22.5" customHeight="1" x14ac:dyDescent="0.15">
      <c r="A207" s="47"/>
      <c r="B207" s="47"/>
      <c r="C207" s="47"/>
      <c r="D207" s="47"/>
      <c r="E207" s="47"/>
      <c r="F207" s="47">
        <v>205</v>
      </c>
      <c r="G207" s="47" t="s">
        <v>103</v>
      </c>
      <c r="H207" s="47">
        <v>204</v>
      </c>
      <c r="I207" s="47" t="str">
        <f>ROMAN(30)</f>
        <v>XXX</v>
      </c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22.5" customHeight="1" x14ac:dyDescent="0.15">
      <c r="A208" s="47"/>
      <c r="B208" s="47"/>
      <c r="C208" s="47"/>
      <c r="D208" s="47"/>
      <c r="E208" s="47"/>
      <c r="F208" s="47">
        <v>206</v>
      </c>
      <c r="G208" s="47" t="s">
        <v>66</v>
      </c>
      <c r="H208" s="47">
        <v>934</v>
      </c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22.5" customHeight="1" x14ac:dyDescent="0.15">
      <c r="A209" s="47"/>
      <c r="B209" s="47"/>
      <c r="C209" s="47"/>
      <c r="D209" s="47"/>
      <c r="E209" s="47"/>
      <c r="F209" s="47">
        <v>207</v>
      </c>
      <c r="G209" s="47" t="s">
        <v>103</v>
      </c>
      <c r="H209" s="47">
        <v>683</v>
      </c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22.5" customHeight="1" x14ac:dyDescent="0.15">
      <c r="A210" s="47"/>
      <c r="B210" s="47"/>
      <c r="C210" s="47"/>
      <c r="D210" s="47"/>
      <c r="E210" s="47"/>
      <c r="F210" s="47">
        <v>208</v>
      </c>
      <c r="G210" s="47" t="s">
        <v>103</v>
      </c>
      <c r="H210" s="47">
        <v>338</v>
      </c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22.5" customHeight="1" x14ac:dyDescent="0.15">
      <c r="A211" s="47"/>
      <c r="B211" s="47"/>
      <c r="C211" s="47"/>
      <c r="D211" s="47"/>
      <c r="E211" s="47"/>
      <c r="F211" s="47">
        <v>209</v>
      </c>
      <c r="G211" s="47" t="s">
        <v>103</v>
      </c>
      <c r="H211" s="47">
        <v>638</v>
      </c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22.5" customHeight="1" x14ac:dyDescent="0.15">
      <c r="A212" s="47"/>
      <c r="B212" s="47"/>
      <c r="C212" s="47"/>
      <c r="D212" s="47"/>
      <c r="E212" s="47"/>
      <c r="F212" s="47">
        <v>210</v>
      </c>
      <c r="G212" s="47" t="s">
        <v>103</v>
      </c>
      <c r="H212" s="47">
        <v>36</v>
      </c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22.5" customHeight="1" x14ac:dyDescent="0.15">
      <c r="A213" s="47"/>
      <c r="B213" s="47"/>
      <c r="C213" s="47"/>
      <c r="D213" s="47"/>
      <c r="E213" s="47"/>
      <c r="F213" s="47">
        <v>211</v>
      </c>
      <c r="G213" s="47" t="s">
        <v>103</v>
      </c>
      <c r="H213" s="47">
        <v>87</v>
      </c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22.5" customHeight="1" x14ac:dyDescent="0.15">
      <c r="A214" s="47"/>
      <c r="B214" s="47"/>
      <c r="C214" s="47"/>
      <c r="D214" s="47"/>
      <c r="E214" s="47"/>
      <c r="F214" s="47">
        <v>212</v>
      </c>
      <c r="G214" s="47" t="s">
        <v>103</v>
      </c>
      <c r="H214" s="47">
        <v>332</v>
      </c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22.5" customHeight="1" x14ac:dyDescent="0.15">
      <c r="A215" s="47"/>
      <c r="B215" s="47"/>
      <c r="C215" s="47"/>
      <c r="D215" s="47"/>
      <c r="E215" s="47"/>
      <c r="F215" s="47">
        <v>213</v>
      </c>
      <c r="G215" s="47" t="s">
        <v>103</v>
      </c>
      <c r="H215" s="47">
        <v>491</v>
      </c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22.5" customHeight="1" x14ac:dyDescent="0.15">
      <c r="A216" s="47"/>
      <c r="B216" s="47"/>
      <c r="C216" s="47"/>
      <c r="D216" s="47"/>
      <c r="E216" s="47"/>
      <c r="F216" s="47">
        <v>214</v>
      </c>
      <c r="G216" s="47" t="s">
        <v>103</v>
      </c>
      <c r="H216" s="47">
        <v>424</v>
      </c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22.5" customHeight="1" x14ac:dyDescent="0.15">
      <c r="A217" s="47"/>
      <c r="B217" s="47"/>
      <c r="C217" s="47"/>
      <c r="D217" s="47"/>
      <c r="E217" s="47"/>
      <c r="F217" s="47">
        <v>215</v>
      </c>
      <c r="G217" s="47" t="s">
        <v>66</v>
      </c>
      <c r="H217" s="47">
        <v>671</v>
      </c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22.5" customHeight="1" x14ac:dyDescent="0.15">
      <c r="A218" s="47"/>
      <c r="B218" s="47"/>
      <c r="C218" s="47"/>
      <c r="D218" s="47"/>
      <c r="E218" s="47"/>
      <c r="F218" s="47">
        <v>216</v>
      </c>
      <c r="G218" s="47" t="s">
        <v>103</v>
      </c>
      <c r="H218" s="47">
        <v>447</v>
      </c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22.5" customHeight="1" x14ac:dyDescent="0.15">
      <c r="A219" s="47"/>
      <c r="B219" s="47"/>
      <c r="C219" s="47"/>
      <c r="D219" s="47"/>
      <c r="E219" s="47"/>
      <c r="F219" s="47">
        <v>217</v>
      </c>
      <c r="G219" s="47" t="s">
        <v>66</v>
      </c>
      <c r="H219" s="47">
        <v>942</v>
      </c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22.5" customHeight="1" x14ac:dyDescent="0.15">
      <c r="A220" s="47"/>
      <c r="B220" s="47"/>
      <c r="C220" s="47"/>
      <c r="D220" s="47"/>
      <c r="E220" s="47"/>
      <c r="F220" s="47">
        <v>218</v>
      </c>
      <c r="G220" s="47" t="s">
        <v>79</v>
      </c>
      <c r="H220" s="47">
        <v>116</v>
      </c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22.5" customHeight="1" x14ac:dyDescent="0.15">
      <c r="A221" s="47"/>
      <c r="B221" s="47"/>
      <c r="C221" s="47"/>
      <c r="D221" s="47"/>
      <c r="E221" s="47"/>
      <c r="F221" s="47">
        <v>219</v>
      </c>
      <c r="G221" s="47" t="s">
        <v>66</v>
      </c>
      <c r="H221" s="47">
        <v>1379</v>
      </c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22.5" customHeight="1" x14ac:dyDescent="0.15">
      <c r="A222" s="47"/>
      <c r="B222" s="47"/>
      <c r="C222" s="47"/>
      <c r="D222" s="47"/>
      <c r="E222" s="47"/>
      <c r="F222" s="47">
        <v>220</v>
      </c>
      <c r="G222" s="47" t="s">
        <v>103</v>
      </c>
      <c r="H222" s="47">
        <v>659</v>
      </c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22.5" customHeight="1" x14ac:dyDescent="0.15">
      <c r="A223" s="47"/>
      <c r="B223" s="47"/>
      <c r="C223" s="47"/>
      <c r="D223" s="47"/>
      <c r="E223" s="47"/>
      <c r="F223" s="47">
        <v>221</v>
      </c>
      <c r="G223" s="47" t="s">
        <v>103</v>
      </c>
      <c r="H223" s="47">
        <v>649</v>
      </c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22.5" customHeight="1" x14ac:dyDescent="0.15">
      <c r="A224" s="47"/>
      <c r="B224" s="47"/>
      <c r="C224" s="47"/>
      <c r="D224" s="47"/>
      <c r="E224" s="47"/>
      <c r="F224" s="47">
        <v>222</v>
      </c>
      <c r="G224" s="47" t="s">
        <v>66</v>
      </c>
      <c r="H224" s="47">
        <v>946</v>
      </c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22.5" customHeight="1" x14ac:dyDescent="0.15">
      <c r="A225" s="47"/>
      <c r="B225" s="47"/>
      <c r="C225" s="47"/>
      <c r="D225" s="47"/>
      <c r="E225" s="47"/>
      <c r="F225" s="47">
        <v>223</v>
      </c>
      <c r="G225" s="47" t="s">
        <v>103</v>
      </c>
      <c r="H225" s="47">
        <v>688</v>
      </c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22.5" customHeight="1" x14ac:dyDescent="0.15">
      <c r="A226" s="47"/>
      <c r="B226" s="47"/>
      <c r="C226" s="47"/>
      <c r="D226" s="47"/>
      <c r="E226" s="47"/>
      <c r="F226" s="47">
        <v>224</v>
      </c>
      <c r="G226" s="47" t="s">
        <v>103</v>
      </c>
      <c r="H226" s="47">
        <v>61</v>
      </c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22.5" customHeight="1" x14ac:dyDescent="0.15">
      <c r="A227" s="47"/>
      <c r="B227" s="47"/>
      <c r="C227" s="47"/>
      <c r="D227" s="47"/>
      <c r="E227" s="47"/>
      <c r="F227" s="47">
        <v>225</v>
      </c>
      <c r="G227" s="47" t="s">
        <v>68</v>
      </c>
      <c r="H227" s="47">
        <v>78</v>
      </c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22.5" customHeight="1" x14ac:dyDescent="0.15">
      <c r="A228" s="47"/>
      <c r="B228" s="47"/>
      <c r="C228" s="47"/>
      <c r="D228" s="47"/>
      <c r="E228" s="47"/>
      <c r="F228" s="47">
        <v>226</v>
      </c>
      <c r="G228" s="47" t="s">
        <v>103</v>
      </c>
      <c r="H228" s="47">
        <v>371</v>
      </c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22.5" customHeight="1" x14ac:dyDescent="0.15">
      <c r="A229" s="47"/>
      <c r="B229" s="47"/>
      <c r="C229" s="47"/>
      <c r="D229" s="47"/>
      <c r="E229" s="47"/>
      <c r="F229" s="47">
        <v>227</v>
      </c>
      <c r="G229" s="47" t="s">
        <v>103</v>
      </c>
      <c r="H229" s="47">
        <v>107</v>
      </c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22.5" customHeight="1" x14ac:dyDescent="0.15">
      <c r="A230" s="47"/>
      <c r="B230" s="47"/>
      <c r="C230" s="47"/>
      <c r="D230" s="47"/>
      <c r="E230" s="47"/>
      <c r="F230" s="47">
        <v>228</v>
      </c>
      <c r="G230" s="47" t="s">
        <v>66</v>
      </c>
      <c r="H230" s="47">
        <v>963</v>
      </c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22.5" customHeight="1" x14ac:dyDescent="0.15">
      <c r="A231" s="47"/>
      <c r="B231" s="47"/>
      <c r="C231" s="47"/>
      <c r="D231" s="47"/>
      <c r="E231" s="47"/>
      <c r="F231" s="47">
        <v>229</v>
      </c>
      <c r="G231" s="47" t="s">
        <v>103</v>
      </c>
      <c r="H231" s="47">
        <v>323</v>
      </c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22.5" customHeight="1" x14ac:dyDescent="0.15">
      <c r="A232" s="47"/>
      <c r="B232" s="47"/>
      <c r="C232" s="47"/>
      <c r="D232" s="47"/>
      <c r="E232" s="47"/>
      <c r="F232" s="47">
        <v>230</v>
      </c>
      <c r="G232" s="47" t="s">
        <v>103</v>
      </c>
      <c r="H232" s="47">
        <v>64</v>
      </c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22.5" customHeight="1" x14ac:dyDescent="0.15">
      <c r="A233" s="47"/>
      <c r="B233" s="47"/>
      <c r="C233" s="47"/>
      <c r="D233" s="47"/>
      <c r="E233" s="47"/>
      <c r="F233" s="47">
        <v>231</v>
      </c>
      <c r="G233" s="47" t="s">
        <v>58</v>
      </c>
      <c r="H233" s="47">
        <v>356</v>
      </c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22.5" customHeight="1" x14ac:dyDescent="0.15">
      <c r="A234" s="47"/>
      <c r="B234" s="47"/>
      <c r="C234" s="47"/>
      <c r="D234" s="47"/>
      <c r="E234" s="47"/>
      <c r="F234" s="47">
        <v>232</v>
      </c>
      <c r="G234" s="47" t="s">
        <v>64</v>
      </c>
      <c r="H234" s="47">
        <v>72</v>
      </c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22.5" customHeight="1" x14ac:dyDescent="0.15">
      <c r="A235" s="47"/>
      <c r="B235" s="47"/>
      <c r="C235" s="47"/>
      <c r="D235" s="47"/>
      <c r="E235" s="47"/>
      <c r="F235" s="47">
        <v>233</v>
      </c>
      <c r="G235" s="47" t="s">
        <v>68</v>
      </c>
      <c r="H235" s="47">
        <v>99</v>
      </c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22.5" customHeight="1" x14ac:dyDescent="0.15">
      <c r="A236" s="47"/>
      <c r="B236" s="47"/>
      <c r="C236" s="47"/>
      <c r="D236" s="47"/>
      <c r="E236" s="47"/>
      <c r="F236" s="47">
        <v>234</v>
      </c>
      <c r="G236" s="47" t="s">
        <v>103</v>
      </c>
      <c r="H236" s="47">
        <v>315</v>
      </c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22.5" customHeight="1" x14ac:dyDescent="0.15">
      <c r="A237" s="47"/>
      <c r="B237" s="47"/>
      <c r="C237" s="47"/>
      <c r="D237" s="47"/>
      <c r="E237" s="47"/>
      <c r="F237" s="47">
        <v>235</v>
      </c>
      <c r="G237" s="47" t="s">
        <v>103</v>
      </c>
      <c r="H237" s="47">
        <v>433</v>
      </c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22.5" customHeight="1" x14ac:dyDescent="0.15">
      <c r="A238" s="47"/>
      <c r="B238" s="47"/>
      <c r="C238" s="47"/>
      <c r="D238" s="47"/>
      <c r="E238" s="47"/>
      <c r="F238" s="47">
        <v>236</v>
      </c>
      <c r="G238" s="47" t="s">
        <v>103</v>
      </c>
      <c r="H238" s="47">
        <v>637</v>
      </c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22.5" customHeight="1" x14ac:dyDescent="0.15">
      <c r="A239" s="47"/>
      <c r="B239" s="47"/>
      <c r="C239" s="47"/>
      <c r="D239" s="47"/>
      <c r="E239" s="47"/>
      <c r="F239" s="47">
        <v>237</v>
      </c>
      <c r="G239" s="47" t="s">
        <v>66</v>
      </c>
      <c r="H239" s="47">
        <v>1440</v>
      </c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22.5" customHeight="1" x14ac:dyDescent="0.15">
      <c r="A240" s="47"/>
      <c r="B240" s="47"/>
      <c r="C240" s="47"/>
      <c r="D240" s="47"/>
      <c r="E240" s="47"/>
      <c r="F240" s="47">
        <v>238</v>
      </c>
      <c r="G240" s="47" t="s">
        <v>103</v>
      </c>
      <c r="H240" s="47">
        <v>189</v>
      </c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22.5" customHeight="1" x14ac:dyDescent="0.15">
      <c r="A241" s="47"/>
      <c r="B241" s="47"/>
      <c r="C241" s="47"/>
      <c r="D241" s="47"/>
      <c r="E241" s="47"/>
      <c r="F241" s="47">
        <v>239</v>
      </c>
      <c r="G241" s="47" t="s">
        <v>64</v>
      </c>
      <c r="H241" s="47">
        <v>73</v>
      </c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22.5" customHeight="1" x14ac:dyDescent="0.15">
      <c r="A242" s="47"/>
      <c r="B242" s="47"/>
      <c r="C242" s="47"/>
      <c r="D242" s="47"/>
      <c r="E242" s="47"/>
      <c r="F242" s="47">
        <v>240</v>
      </c>
      <c r="G242" s="47" t="s">
        <v>103</v>
      </c>
      <c r="H242" s="47">
        <v>278</v>
      </c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22.5" customHeight="1" x14ac:dyDescent="0.15">
      <c r="A243" s="47"/>
      <c r="B243" s="47"/>
      <c r="C243" s="47"/>
      <c r="D243" s="47"/>
      <c r="E243" s="47"/>
      <c r="F243" s="47">
        <v>241</v>
      </c>
      <c r="G243" s="47" t="s">
        <v>107</v>
      </c>
      <c r="H243" s="47">
        <v>430</v>
      </c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22.5" customHeight="1" x14ac:dyDescent="0.15">
      <c r="A244" s="47"/>
      <c r="B244" s="47"/>
      <c r="C244" s="47"/>
      <c r="D244" s="47"/>
      <c r="E244" s="47"/>
      <c r="F244" s="47">
        <v>242</v>
      </c>
      <c r="G244" s="47" t="s">
        <v>103</v>
      </c>
      <c r="H244" s="47">
        <v>343</v>
      </c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22.5" customHeight="1" x14ac:dyDescent="0.15">
      <c r="A245" s="47"/>
      <c r="B245" s="47"/>
      <c r="C245" s="47"/>
      <c r="D245" s="47"/>
      <c r="E245" s="47"/>
      <c r="F245" s="47">
        <v>243</v>
      </c>
      <c r="G245" s="47" t="s">
        <v>103</v>
      </c>
      <c r="H245" s="47">
        <v>270</v>
      </c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22.5" customHeight="1" x14ac:dyDescent="0.15">
      <c r="A246" s="47"/>
      <c r="B246" s="47"/>
      <c r="C246" s="47"/>
      <c r="D246" s="47"/>
      <c r="E246" s="47"/>
      <c r="F246" s="47">
        <v>244</v>
      </c>
      <c r="G246" s="47" t="s">
        <v>106</v>
      </c>
      <c r="H246" s="47">
        <v>259</v>
      </c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22.5" customHeight="1" x14ac:dyDescent="0.15">
      <c r="A247" s="47"/>
      <c r="B247" s="47"/>
      <c r="C247" s="47"/>
      <c r="D247" s="47"/>
      <c r="E247" s="47"/>
      <c r="F247" s="47">
        <v>245</v>
      </c>
      <c r="G247" s="47" t="s">
        <v>85</v>
      </c>
      <c r="H247" s="47">
        <v>405</v>
      </c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22.5" customHeight="1" x14ac:dyDescent="0.15">
      <c r="A248" s="47"/>
      <c r="B248" s="47"/>
      <c r="C248" s="47"/>
      <c r="D248" s="47"/>
      <c r="E248" s="47"/>
      <c r="F248" s="47">
        <v>246</v>
      </c>
      <c r="G248" s="47" t="s">
        <v>66</v>
      </c>
      <c r="H248" s="47">
        <v>370</v>
      </c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22.5" customHeight="1" x14ac:dyDescent="0.15">
      <c r="A249" s="47"/>
      <c r="B249" s="47"/>
      <c r="C249" s="47"/>
      <c r="D249" s="47"/>
      <c r="E249" s="47"/>
      <c r="F249" s="47">
        <v>247</v>
      </c>
      <c r="G249" s="47" t="s">
        <v>85</v>
      </c>
      <c r="H249" s="47">
        <v>644</v>
      </c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22.5" customHeight="1" x14ac:dyDescent="0.15">
      <c r="A250" s="47"/>
      <c r="B250" s="47"/>
      <c r="C250" s="47"/>
      <c r="D250" s="47"/>
      <c r="E250" s="47"/>
      <c r="F250" s="47">
        <v>248</v>
      </c>
      <c r="G250" s="47" t="s">
        <v>68</v>
      </c>
      <c r="H250" s="47">
        <v>98</v>
      </c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22.5" customHeight="1" x14ac:dyDescent="0.15">
      <c r="A251" s="47"/>
      <c r="B251" s="47"/>
      <c r="C251" s="47"/>
      <c r="D251" s="47"/>
      <c r="E251" s="47"/>
      <c r="F251" s="47">
        <v>249</v>
      </c>
      <c r="G251" s="47" t="s">
        <v>103</v>
      </c>
      <c r="H251" s="47">
        <v>90</v>
      </c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22.5" customHeight="1" x14ac:dyDescent="0.15">
      <c r="A252" s="47"/>
      <c r="B252" s="47"/>
      <c r="C252" s="47"/>
      <c r="D252" s="47"/>
      <c r="E252" s="47"/>
      <c r="F252" s="47">
        <v>250</v>
      </c>
      <c r="G252" s="47" t="s">
        <v>103</v>
      </c>
      <c r="H252" s="47">
        <v>243</v>
      </c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22.5" customHeight="1" x14ac:dyDescent="0.15">
      <c r="A253" s="47"/>
      <c r="B253" s="47"/>
      <c r="C253" s="47"/>
      <c r="D253" s="47"/>
      <c r="E253" s="47"/>
      <c r="F253" s="47">
        <v>251</v>
      </c>
      <c r="G253" s="47" t="s">
        <v>103</v>
      </c>
      <c r="H253" s="47">
        <v>66</v>
      </c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22.5" customHeight="1" x14ac:dyDescent="0.15">
      <c r="A254" s="47"/>
      <c r="B254" s="47"/>
      <c r="C254" s="47"/>
      <c r="D254" s="47"/>
      <c r="E254" s="47"/>
      <c r="F254" s="47">
        <v>252</v>
      </c>
      <c r="G254" s="47" t="s">
        <v>105</v>
      </c>
      <c r="H254" s="47">
        <v>370</v>
      </c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22.5" customHeight="1" x14ac:dyDescent="0.15">
      <c r="A255" s="47"/>
      <c r="B255" s="47"/>
      <c r="C255" s="47"/>
      <c r="D255" s="47"/>
      <c r="E255" s="47"/>
      <c r="F255" s="47">
        <v>253</v>
      </c>
      <c r="G255" s="47" t="s">
        <v>103</v>
      </c>
      <c r="H255" s="47">
        <v>435</v>
      </c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22.5" customHeight="1" x14ac:dyDescent="0.15">
      <c r="A256" s="47"/>
      <c r="B256" s="47"/>
      <c r="C256" s="47"/>
      <c r="D256" s="47"/>
      <c r="E256" s="47"/>
      <c r="F256" s="47">
        <v>254</v>
      </c>
      <c r="G256" s="47" t="s">
        <v>103</v>
      </c>
      <c r="H256" s="47">
        <v>321</v>
      </c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22.5" customHeight="1" x14ac:dyDescent="0.15">
      <c r="A257" s="47"/>
      <c r="B257" s="47"/>
      <c r="C257" s="47"/>
      <c r="D257" s="47"/>
      <c r="E257" s="47"/>
      <c r="F257" s="47">
        <v>255</v>
      </c>
      <c r="G257" s="47" t="s">
        <v>103</v>
      </c>
      <c r="H257" s="47">
        <v>295</v>
      </c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22.5" customHeight="1" x14ac:dyDescent="0.15">
      <c r="A258" s="47"/>
      <c r="B258" s="47"/>
      <c r="C258" s="47"/>
      <c r="D258" s="47"/>
      <c r="E258" s="47"/>
      <c r="F258" s="47">
        <v>256</v>
      </c>
      <c r="G258" s="47" t="s">
        <v>85</v>
      </c>
      <c r="H258" s="47">
        <v>802</v>
      </c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22.5" customHeight="1" x14ac:dyDescent="0.15">
      <c r="A259" s="47"/>
      <c r="B259" s="47"/>
      <c r="C259" s="47"/>
      <c r="D259" s="47"/>
      <c r="E259" s="47"/>
      <c r="F259" s="47">
        <v>257</v>
      </c>
      <c r="G259" s="47" t="s">
        <v>103</v>
      </c>
      <c r="H259" s="47">
        <v>60</v>
      </c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22.5" customHeight="1" x14ac:dyDescent="0.15">
      <c r="A260" s="47"/>
      <c r="B260" s="47"/>
      <c r="C260" s="47"/>
      <c r="D260" s="47"/>
      <c r="E260" s="47"/>
      <c r="F260" s="47">
        <v>258</v>
      </c>
      <c r="G260" s="47" t="s">
        <v>103</v>
      </c>
      <c r="H260" s="47">
        <v>428</v>
      </c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22.5" customHeight="1" x14ac:dyDescent="0.15">
      <c r="A261" s="47"/>
      <c r="B261" s="47"/>
      <c r="C261" s="47"/>
      <c r="D261" s="47"/>
      <c r="E261" s="47"/>
      <c r="F261" s="47">
        <v>259</v>
      </c>
      <c r="G261" s="47" t="s">
        <v>85</v>
      </c>
      <c r="H261" s="47">
        <v>199</v>
      </c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22.5" customHeight="1" x14ac:dyDescent="0.15">
      <c r="A262" s="47"/>
      <c r="B262" s="47"/>
      <c r="C262" s="47"/>
      <c r="D262" s="47"/>
      <c r="E262" s="47"/>
      <c r="F262" s="47">
        <v>260</v>
      </c>
      <c r="G262" s="47" t="s">
        <v>103</v>
      </c>
      <c r="H262" s="47">
        <v>422</v>
      </c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22.5" customHeight="1" x14ac:dyDescent="0.15">
      <c r="A263" s="47"/>
      <c r="B263" s="47"/>
      <c r="C263" s="47"/>
      <c r="D263" s="47"/>
      <c r="E263" s="47"/>
      <c r="F263" s="47">
        <v>261</v>
      </c>
      <c r="G263" s="47" t="s">
        <v>64</v>
      </c>
      <c r="H263" s="47">
        <v>60</v>
      </c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22.5" customHeight="1" x14ac:dyDescent="0.15">
      <c r="A264" s="47"/>
      <c r="B264" s="47"/>
      <c r="C264" s="47"/>
      <c r="D264" s="47"/>
      <c r="E264" s="47"/>
      <c r="F264" s="47">
        <v>262</v>
      </c>
      <c r="G264" s="47" t="s">
        <v>85</v>
      </c>
      <c r="H264" s="47">
        <v>779</v>
      </c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22.5" customHeight="1" x14ac:dyDescent="0.15">
      <c r="A265" s="47"/>
      <c r="B265" s="47"/>
      <c r="C265" s="47"/>
      <c r="D265" s="47"/>
      <c r="E265" s="47"/>
      <c r="F265" s="47">
        <v>263</v>
      </c>
      <c r="G265" s="47" t="s">
        <v>103</v>
      </c>
      <c r="H265" s="47">
        <v>443</v>
      </c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22.5" customHeight="1" x14ac:dyDescent="0.15">
      <c r="A266" s="47"/>
      <c r="B266" s="47"/>
      <c r="C266" s="47"/>
      <c r="D266" s="47"/>
      <c r="E266" s="47"/>
      <c r="F266" s="47">
        <v>264</v>
      </c>
      <c r="G266" s="47" t="s">
        <v>66</v>
      </c>
      <c r="H266" s="47">
        <v>1023</v>
      </c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22.5" customHeight="1" x14ac:dyDescent="0.15">
      <c r="A267" s="47"/>
      <c r="B267" s="47"/>
      <c r="C267" s="47"/>
      <c r="D267" s="47"/>
      <c r="E267" s="47"/>
      <c r="F267" s="47">
        <v>265</v>
      </c>
      <c r="G267" s="47" t="s">
        <v>103</v>
      </c>
      <c r="H267" s="47">
        <v>507</v>
      </c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22.5" customHeight="1" x14ac:dyDescent="0.15">
      <c r="A268" s="47"/>
      <c r="B268" s="47"/>
      <c r="C268" s="47"/>
      <c r="D268" s="47"/>
      <c r="E268" s="47"/>
      <c r="F268" s="47">
        <v>266</v>
      </c>
      <c r="G268" s="47" t="s">
        <v>103</v>
      </c>
      <c r="H268" s="47">
        <v>622</v>
      </c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22.5" customHeight="1" x14ac:dyDescent="0.15">
      <c r="A269" s="47"/>
      <c r="B269" s="47"/>
      <c r="C269" s="47"/>
      <c r="D269" s="47"/>
      <c r="E269" s="47"/>
      <c r="F269" s="47">
        <v>267</v>
      </c>
      <c r="G269" s="47" t="s">
        <v>103</v>
      </c>
      <c r="H269" s="47">
        <v>682</v>
      </c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22.5" customHeight="1" x14ac:dyDescent="0.15">
      <c r="A270" s="47"/>
      <c r="B270" s="47"/>
      <c r="C270" s="47"/>
      <c r="D270" s="47"/>
      <c r="E270" s="47"/>
      <c r="F270" s="47">
        <v>268</v>
      </c>
      <c r="G270" s="47" t="s">
        <v>103</v>
      </c>
      <c r="H270" s="47">
        <v>705</v>
      </c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22.5" customHeight="1" x14ac:dyDescent="0.15">
      <c r="A271" s="47"/>
      <c r="B271" s="47"/>
      <c r="C271" s="47"/>
      <c r="D271" s="47"/>
      <c r="E271" s="47"/>
      <c r="F271" s="47">
        <v>269</v>
      </c>
      <c r="G271" s="47" t="s">
        <v>103</v>
      </c>
      <c r="H271" s="47">
        <v>312</v>
      </c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22.5" customHeight="1" x14ac:dyDescent="0.15">
      <c r="A272" s="47"/>
      <c r="B272" s="47"/>
      <c r="C272" s="47"/>
      <c r="D272" s="47"/>
      <c r="E272" s="47"/>
      <c r="F272" s="47">
        <v>270</v>
      </c>
      <c r="G272" s="47" t="s">
        <v>103</v>
      </c>
      <c r="H272" s="47">
        <v>55</v>
      </c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22.5" customHeight="1" x14ac:dyDescent="0.15">
      <c r="A273" s="47"/>
      <c r="B273" s="47"/>
      <c r="C273" s="47"/>
      <c r="D273" s="47"/>
      <c r="E273" s="47"/>
      <c r="F273" s="47">
        <v>271</v>
      </c>
      <c r="G273" s="47" t="s">
        <v>66</v>
      </c>
      <c r="H273" s="47">
        <v>700</v>
      </c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22.5" customHeight="1" x14ac:dyDescent="0.15">
      <c r="A274" s="47"/>
      <c r="B274" s="47"/>
      <c r="C274" s="47"/>
      <c r="D274" s="47"/>
      <c r="E274" s="47"/>
      <c r="F274" s="47">
        <v>272</v>
      </c>
      <c r="G274" s="47" t="s">
        <v>66</v>
      </c>
      <c r="H274" s="47">
        <v>1512</v>
      </c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22.5" customHeight="1" x14ac:dyDescent="0.15">
      <c r="A275" s="47"/>
      <c r="B275" s="47"/>
      <c r="C275" s="47"/>
      <c r="D275" s="47"/>
      <c r="E275" s="47"/>
      <c r="F275" s="47">
        <v>273</v>
      </c>
      <c r="G275" s="47" t="s">
        <v>106</v>
      </c>
      <c r="H275" s="47">
        <v>280</v>
      </c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22.5" customHeight="1" x14ac:dyDescent="0.15">
      <c r="A276" s="47"/>
      <c r="B276" s="47"/>
      <c r="C276" s="47"/>
      <c r="D276" s="47"/>
      <c r="E276" s="47"/>
      <c r="F276" s="47">
        <v>274</v>
      </c>
      <c r="G276" s="47" t="s">
        <v>103</v>
      </c>
      <c r="H276" s="47">
        <v>550</v>
      </c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22.5" customHeight="1" x14ac:dyDescent="0.15">
      <c r="A277" s="47"/>
      <c r="B277" s="47"/>
      <c r="C277" s="47"/>
      <c r="D277" s="47"/>
      <c r="E277" s="47"/>
      <c r="F277" s="47">
        <v>275</v>
      </c>
      <c r="G277" s="47" t="s">
        <v>103</v>
      </c>
      <c r="H277" s="47">
        <v>202</v>
      </c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22.5" customHeight="1" x14ac:dyDescent="0.15">
      <c r="A278" s="47"/>
      <c r="B278" s="47"/>
      <c r="C278" s="47"/>
      <c r="D278" s="47"/>
      <c r="E278" s="47"/>
      <c r="F278" s="47">
        <v>276</v>
      </c>
      <c r="G278" s="47" t="s">
        <v>103</v>
      </c>
      <c r="H278" s="47">
        <v>63</v>
      </c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22.5" customHeight="1" x14ac:dyDescent="0.15">
      <c r="A279" s="47"/>
      <c r="B279" s="47"/>
      <c r="C279" s="47"/>
      <c r="D279" s="47"/>
      <c r="E279" s="47"/>
      <c r="F279" s="47">
        <v>277</v>
      </c>
      <c r="G279" s="47" t="s">
        <v>103</v>
      </c>
      <c r="H279" s="47">
        <v>401</v>
      </c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22.5" customHeight="1" x14ac:dyDescent="0.15">
      <c r="A280" s="47"/>
      <c r="B280" s="47"/>
      <c r="C280" s="47"/>
      <c r="D280" s="47"/>
      <c r="E280" s="47"/>
      <c r="F280" s="47">
        <v>278</v>
      </c>
      <c r="G280" s="47" t="s">
        <v>66</v>
      </c>
      <c r="H280" s="47">
        <v>1517</v>
      </c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22.5" customHeight="1" x14ac:dyDescent="0.15">
      <c r="A281" s="47"/>
      <c r="B281" s="47"/>
      <c r="C281" s="47"/>
      <c r="D281" s="47"/>
      <c r="E281" s="47"/>
      <c r="F281" s="47">
        <v>279</v>
      </c>
      <c r="G281" s="47" t="s">
        <v>66</v>
      </c>
      <c r="H281" s="47">
        <v>1705</v>
      </c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22.5" customHeight="1" x14ac:dyDescent="0.15">
      <c r="A282" s="47"/>
      <c r="B282" s="47"/>
      <c r="C282" s="47"/>
      <c r="D282" s="47"/>
      <c r="E282" s="47"/>
      <c r="F282" s="47">
        <v>280</v>
      </c>
      <c r="G282" s="47" t="s">
        <v>103</v>
      </c>
      <c r="H282" s="47">
        <v>381</v>
      </c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22.5" customHeight="1" x14ac:dyDescent="0.15">
      <c r="A283" s="47"/>
      <c r="B283" s="47"/>
      <c r="C283" s="47"/>
      <c r="D283" s="47"/>
      <c r="E283" s="47"/>
      <c r="F283" s="47">
        <v>281</v>
      </c>
      <c r="G283" s="47" t="s">
        <v>103</v>
      </c>
      <c r="H283" s="47">
        <v>29</v>
      </c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22.5" customHeight="1" x14ac:dyDescent="0.15">
      <c r="A284" s="47"/>
      <c r="B284" s="47"/>
      <c r="C284" s="47"/>
      <c r="D284" s="47"/>
      <c r="E284" s="47"/>
      <c r="F284" s="47">
        <v>282</v>
      </c>
      <c r="G284" s="47" t="s">
        <v>103</v>
      </c>
      <c r="H284" s="47">
        <v>242</v>
      </c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22.5" customHeight="1" x14ac:dyDescent="0.15">
      <c r="A285" s="47"/>
      <c r="B285" s="47"/>
      <c r="C285" s="47"/>
      <c r="D285" s="47"/>
      <c r="E285" s="47"/>
      <c r="F285" s="47">
        <v>283</v>
      </c>
      <c r="G285" s="47" t="s">
        <v>103</v>
      </c>
      <c r="H285" s="47">
        <v>62</v>
      </c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22.5" customHeight="1" x14ac:dyDescent="0.15">
      <c r="A286" s="47"/>
      <c r="B286" s="47"/>
      <c r="C286" s="47"/>
      <c r="D286" s="47"/>
      <c r="E286" s="47"/>
      <c r="F286" s="47">
        <v>284</v>
      </c>
      <c r="G286" s="47" t="s">
        <v>103</v>
      </c>
      <c r="H286" s="47">
        <v>670</v>
      </c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22.5" customHeight="1" x14ac:dyDescent="0.15">
      <c r="A287" s="47"/>
      <c r="B287" s="47"/>
      <c r="C287" s="47"/>
      <c r="D287" s="47"/>
      <c r="E287" s="47"/>
      <c r="F287" s="47">
        <v>285</v>
      </c>
      <c r="G287" s="47" t="s">
        <v>103</v>
      </c>
      <c r="H287" s="47" t="s">
        <v>112</v>
      </c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22.5" customHeight="1" x14ac:dyDescent="0.15">
      <c r="A288" s="47"/>
      <c r="B288" s="47"/>
      <c r="C288" s="47"/>
      <c r="D288" s="47"/>
      <c r="E288" s="47"/>
      <c r="F288" s="47">
        <v>286</v>
      </c>
      <c r="G288" s="47" t="s">
        <v>103</v>
      </c>
      <c r="H288" s="47">
        <v>701</v>
      </c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22.5" customHeight="1" x14ac:dyDescent="0.15">
      <c r="A289" s="47"/>
      <c r="B289" s="47"/>
      <c r="C289" s="47"/>
      <c r="D289" s="47"/>
      <c r="E289" s="47"/>
      <c r="F289" s="47">
        <v>287</v>
      </c>
      <c r="G289" s="47" t="s">
        <v>103</v>
      </c>
      <c r="H289" s="47">
        <v>798</v>
      </c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22.5" customHeight="1" x14ac:dyDescent="0.15">
      <c r="A290" s="47"/>
      <c r="B290" s="47"/>
      <c r="C290" s="47"/>
      <c r="D290" s="47"/>
      <c r="E290" s="47"/>
      <c r="F290" s="47">
        <v>288</v>
      </c>
      <c r="G290" s="47" t="s">
        <v>103</v>
      </c>
      <c r="H290" s="47">
        <v>290</v>
      </c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22.5" customHeight="1" x14ac:dyDescent="0.15">
      <c r="A291" s="47"/>
      <c r="B291" s="47"/>
      <c r="C291" s="47"/>
      <c r="D291" s="47"/>
      <c r="E291" s="47"/>
      <c r="F291" s="47">
        <v>289</v>
      </c>
      <c r="G291" s="47" t="s">
        <v>103</v>
      </c>
      <c r="H291" s="47">
        <v>600</v>
      </c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22.5" customHeight="1" x14ac:dyDescent="0.15">
      <c r="A292" s="47"/>
      <c r="B292" s="47"/>
      <c r="C292" s="47"/>
      <c r="D292" s="47"/>
      <c r="E292" s="47"/>
      <c r="F292" s="47">
        <v>290</v>
      </c>
      <c r="G292" s="47" t="s">
        <v>103</v>
      </c>
      <c r="H292" s="47">
        <v>667</v>
      </c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22.5" customHeight="1" x14ac:dyDescent="0.15">
      <c r="A293" s="47"/>
      <c r="B293" s="47"/>
      <c r="C293" s="47"/>
      <c r="D293" s="47"/>
      <c r="E293" s="47"/>
      <c r="F293" s="47">
        <v>291</v>
      </c>
      <c r="G293" s="47" t="s">
        <v>103</v>
      </c>
      <c r="H293" s="47">
        <v>356</v>
      </c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22.5" customHeight="1" x14ac:dyDescent="0.15">
      <c r="A294" s="47"/>
      <c r="B294" s="47"/>
      <c r="C294" s="47"/>
      <c r="D294" s="47"/>
      <c r="E294" s="47"/>
      <c r="F294" s="47">
        <v>292</v>
      </c>
      <c r="G294" s="47" t="s">
        <v>103</v>
      </c>
      <c r="H294" s="47">
        <v>242</v>
      </c>
      <c r="I294" s="47" t="str">
        <f>ROMAN(8)</f>
        <v>VIII</v>
      </c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22.5" customHeight="1" x14ac:dyDescent="0.15">
      <c r="A295" s="47"/>
      <c r="B295" s="47"/>
      <c r="C295" s="47"/>
      <c r="D295" s="47"/>
      <c r="E295" s="47"/>
      <c r="F295" s="47">
        <v>293</v>
      </c>
      <c r="G295" s="47" t="s">
        <v>103</v>
      </c>
      <c r="H295" s="47">
        <v>30</v>
      </c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22.5" customHeight="1" x14ac:dyDescent="0.15">
      <c r="A296" s="47"/>
      <c r="B296" s="47"/>
      <c r="C296" s="47"/>
      <c r="D296" s="47"/>
      <c r="E296" s="47"/>
      <c r="F296" s="47">
        <v>294</v>
      </c>
      <c r="G296" s="47" t="s">
        <v>103</v>
      </c>
      <c r="H296" s="47">
        <v>490</v>
      </c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22.5" customHeight="1" x14ac:dyDescent="0.15">
      <c r="A297" s="47"/>
      <c r="B297" s="47"/>
      <c r="C297" s="47"/>
      <c r="D297" s="47"/>
      <c r="E297" s="47"/>
      <c r="F297" s="47">
        <v>295</v>
      </c>
      <c r="G297" s="47" t="s">
        <v>103</v>
      </c>
      <c r="H297" s="47">
        <v>668</v>
      </c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22.5" customHeight="1" x14ac:dyDescent="0.15">
      <c r="A298" s="47"/>
      <c r="B298" s="47"/>
      <c r="C298" s="47"/>
      <c r="D298" s="47"/>
      <c r="E298" s="47"/>
      <c r="F298" s="47">
        <v>296</v>
      </c>
      <c r="G298" s="47" t="s">
        <v>103</v>
      </c>
      <c r="H298" s="47">
        <v>75</v>
      </c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22.5" customHeight="1" x14ac:dyDescent="0.15">
      <c r="A299" s="47"/>
      <c r="B299" s="47"/>
      <c r="C299" s="47"/>
      <c r="D299" s="47"/>
      <c r="E299" s="47"/>
      <c r="F299" s="47">
        <v>297</v>
      </c>
      <c r="G299" s="47" t="s">
        <v>103</v>
      </c>
      <c r="H299" s="47">
        <v>664</v>
      </c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22.5" customHeight="1" x14ac:dyDescent="0.15">
      <c r="A300" s="47"/>
      <c r="B300" s="47"/>
      <c r="C300" s="47"/>
      <c r="D300" s="47"/>
      <c r="E300" s="47"/>
      <c r="F300" s="47">
        <v>298</v>
      </c>
      <c r="G300" s="47" t="s">
        <v>103</v>
      </c>
      <c r="H300" s="47">
        <v>384</v>
      </c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22.5" customHeight="1" x14ac:dyDescent="0.15">
      <c r="A301" s="47"/>
      <c r="B301" s="47"/>
      <c r="C301" s="47"/>
      <c r="D301" s="47"/>
      <c r="E301" s="47"/>
      <c r="F301" s="47">
        <v>299</v>
      </c>
      <c r="G301" s="47" t="s">
        <v>103</v>
      </c>
      <c r="H301" s="47">
        <v>348</v>
      </c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22.5" customHeight="1" x14ac:dyDescent="0.1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22.5" customHeight="1" x14ac:dyDescent="0.1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22.5" customHeight="1" x14ac:dyDescent="0.1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22.5" customHeight="1" x14ac:dyDescent="0.1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22.5" customHeight="1" x14ac:dyDescent="0.1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22.5" customHeight="1" x14ac:dyDescent="0.1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22.5" customHeight="1" x14ac:dyDescent="0.1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22.5" customHeight="1" x14ac:dyDescent="0.1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22.5" customHeight="1" x14ac:dyDescent="0.1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22.5" customHeight="1" x14ac:dyDescent="0.1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22.5" customHeight="1" x14ac:dyDescent="0.1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22.5" customHeight="1" x14ac:dyDescent="0.1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22.5" customHeight="1" x14ac:dyDescent="0.1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22.5" customHeight="1" x14ac:dyDescent="0.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22.5" customHeight="1" x14ac:dyDescent="0.1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22.5" customHeight="1" x14ac:dyDescent="0.1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22.5" customHeight="1" x14ac:dyDescent="0.1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22.5" customHeight="1" x14ac:dyDescent="0.1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22.5" customHeight="1" x14ac:dyDescent="0.1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22.5" customHeight="1" x14ac:dyDescent="0.1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22.5" customHeight="1" x14ac:dyDescent="0.1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22.5" customHeight="1" x14ac:dyDescent="0.1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22.5" customHeight="1" x14ac:dyDescent="0.1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22.5" customHeight="1" x14ac:dyDescent="0.1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22.5" customHeight="1" x14ac:dyDescent="0.1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22.5" customHeight="1" x14ac:dyDescent="0.1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22.5" customHeight="1" x14ac:dyDescent="0.1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22.5" customHeight="1" x14ac:dyDescent="0.1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22.5" customHeight="1" x14ac:dyDescent="0.1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22.5" customHeight="1" x14ac:dyDescent="0.1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22.5" customHeight="1" x14ac:dyDescent="0.1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22.5" customHeight="1" x14ac:dyDescent="0.1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22.5" customHeight="1" x14ac:dyDescent="0.1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22.5" customHeight="1" x14ac:dyDescent="0.1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22.5" customHeight="1" x14ac:dyDescent="0.1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22.5" customHeight="1" x14ac:dyDescent="0.1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22.5" customHeight="1" x14ac:dyDescent="0.1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22.5" customHeight="1" x14ac:dyDescent="0.1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22.5" customHeight="1" x14ac:dyDescent="0.1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22.5" customHeight="1" x14ac:dyDescent="0.1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22.5" customHeight="1" x14ac:dyDescent="0.1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22.5" customHeight="1" x14ac:dyDescent="0.1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22.5" customHeight="1" x14ac:dyDescent="0.1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22.5" customHeight="1" x14ac:dyDescent="0.1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22.5" customHeight="1" x14ac:dyDescent="0.1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22.5" customHeight="1" x14ac:dyDescent="0.1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22.5" customHeight="1" x14ac:dyDescent="0.1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22.5" customHeight="1" x14ac:dyDescent="0.1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22.5" customHeight="1" x14ac:dyDescent="0.1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22.5" customHeight="1" x14ac:dyDescent="0.1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22.5" customHeight="1" x14ac:dyDescent="0.1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22.5" customHeight="1" x14ac:dyDescent="0.1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22.5" customHeight="1" x14ac:dyDescent="0.1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22.5" customHeight="1" x14ac:dyDescent="0.1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22.5" customHeight="1" x14ac:dyDescent="0.1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22.5" customHeight="1" x14ac:dyDescent="0.1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22.5" customHeight="1" x14ac:dyDescent="0.1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22.5" customHeight="1" x14ac:dyDescent="0.1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22.5" customHeight="1" x14ac:dyDescent="0.1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22.5" customHeight="1" x14ac:dyDescent="0.1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22.5" customHeight="1" x14ac:dyDescent="0.1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22.5" customHeight="1" x14ac:dyDescent="0.1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22.5" customHeight="1" x14ac:dyDescent="0.1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22.5" customHeight="1" x14ac:dyDescent="0.1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22.5" customHeight="1" x14ac:dyDescent="0.1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22.5" customHeight="1" x14ac:dyDescent="0.1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22.5" customHeight="1" x14ac:dyDescent="0.1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22.5" customHeight="1" x14ac:dyDescent="0.1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22.5" customHeight="1" x14ac:dyDescent="0.1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22.5" customHeight="1" x14ac:dyDescent="0.1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22.5" customHeight="1" x14ac:dyDescent="0.1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22.5" customHeight="1" x14ac:dyDescent="0.1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22.5" customHeight="1" x14ac:dyDescent="0.1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22.5" customHeight="1" x14ac:dyDescent="0.1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22.5" customHeight="1" x14ac:dyDescent="0.1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22.5" customHeight="1" x14ac:dyDescent="0.1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22.5" customHeight="1" x14ac:dyDescent="0.1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22.5" customHeight="1" x14ac:dyDescent="0.1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22.5" customHeight="1" x14ac:dyDescent="0.1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22.5" customHeight="1" x14ac:dyDescent="0.1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22.5" customHeight="1" x14ac:dyDescent="0.1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22.5" customHeight="1" x14ac:dyDescent="0.1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22.5" customHeight="1" x14ac:dyDescent="0.1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22.5" customHeight="1" x14ac:dyDescent="0.1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22.5" customHeight="1" x14ac:dyDescent="0.1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22.5" customHeight="1" x14ac:dyDescent="0.1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22.5" customHeight="1" x14ac:dyDescent="0.1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22.5" customHeight="1" x14ac:dyDescent="0.1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22.5" customHeight="1" x14ac:dyDescent="0.1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22.5" customHeight="1" x14ac:dyDescent="0.1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22.5" customHeight="1" x14ac:dyDescent="0.1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22.5" customHeight="1" x14ac:dyDescent="0.1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22.5" customHeight="1" x14ac:dyDescent="0.1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22.5" customHeight="1" x14ac:dyDescent="0.1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22.5" customHeight="1" x14ac:dyDescent="0.1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22.5" customHeight="1" x14ac:dyDescent="0.1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22.5" customHeight="1" x14ac:dyDescent="0.1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22.5" customHeight="1" x14ac:dyDescent="0.1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22.5" customHeight="1" x14ac:dyDescent="0.1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22.5" customHeight="1" x14ac:dyDescent="0.1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22.5" customHeight="1" x14ac:dyDescent="0.1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22.5" customHeight="1" x14ac:dyDescent="0.1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22.5" customHeight="1" x14ac:dyDescent="0.1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22.5" customHeight="1" x14ac:dyDescent="0.1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22.5" customHeight="1" x14ac:dyDescent="0.1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22.5" customHeight="1" x14ac:dyDescent="0.1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22.5" customHeight="1" x14ac:dyDescent="0.1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22.5" customHeight="1" x14ac:dyDescent="0.1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22.5" customHeight="1" x14ac:dyDescent="0.1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22.5" customHeight="1" x14ac:dyDescent="0.1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22.5" customHeight="1" x14ac:dyDescent="0.1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22.5" customHeight="1" x14ac:dyDescent="0.1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22.5" customHeight="1" x14ac:dyDescent="0.1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22.5" customHeight="1" x14ac:dyDescent="0.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22.5" customHeight="1" x14ac:dyDescent="0.1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22.5" customHeight="1" x14ac:dyDescent="0.1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22.5" customHeight="1" x14ac:dyDescent="0.1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22.5" customHeight="1" x14ac:dyDescent="0.1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22.5" customHeight="1" x14ac:dyDescent="0.1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22.5" customHeight="1" x14ac:dyDescent="0.1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22.5" customHeight="1" x14ac:dyDescent="0.1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22.5" customHeight="1" x14ac:dyDescent="0.1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22.5" customHeight="1" x14ac:dyDescent="0.1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22.5" customHeight="1" x14ac:dyDescent="0.1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22.5" customHeight="1" x14ac:dyDescent="0.1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22.5" customHeight="1" x14ac:dyDescent="0.1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22.5" customHeight="1" x14ac:dyDescent="0.1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22.5" customHeight="1" x14ac:dyDescent="0.1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22.5" customHeight="1" x14ac:dyDescent="0.1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22.5" customHeight="1" x14ac:dyDescent="0.1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22.5" customHeight="1" x14ac:dyDescent="0.1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22.5" customHeight="1" x14ac:dyDescent="0.1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22.5" customHeight="1" x14ac:dyDescent="0.1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22.5" customHeight="1" x14ac:dyDescent="0.1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22.5" customHeight="1" x14ac:dyDescent="0.1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22.5" customHeight="1" x14ac:dyDescent="0.1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22.5" customHeight="1" x14ac:dyDescent="0.1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22.5" customHeight="1" x14ac:dyDescent="0.1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22.5" customHeight="1" x14ac:dyDescent="0.1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22.5" customHeight="1" x14ac:dyDescent="0.1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22.5" customHeight="1" x14ac:dyDescent="0.1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22.5" customHeight="1" x14ac:dyDescent="0.1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22.5" customHeight="1" x14ac:dyDescent="0.1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22.5" customHeight="1" x14ac:dyDescent="0.1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22.5" customHeight="1" x14ac:dyDescent="0.1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22.5" customHeight="1" x14ac:dyDescent="0.1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22.5" customHeight="1" x14ac:dyDescent="0.1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22.5" customHeight="1" x14ac:dyDescent="0.1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22.5" customHeight="1" x14ac:dyDescent="0.1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22.5" customHeight="1" x14ac:dyDescent="0.1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22.5" customHeight="1" x14ac:dyDescent="0.1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22.5" customHeight="1" x14ac:dyDescent="0.1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22.5" customHeight="1" x14ac:dyDescent="0.1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22.5" customHeight="1" x14ac:dyDescent="0.1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22.5" customHeight="1" x14ac:dyDescent="0.1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22.5" customHeight="1" x14ac:dyDescent="0.1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22.5" customHeight="1" x14ac:dyDescent="0.1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22.5" customHeight="1" x14ac:dyDescent="0.1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22.5" customHeight="1" x14ac:dyDescent="0.1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22.5" customHeight="1" x14ac:dyDescent="0.1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22.5" customHeight="1" x14ac:dyDescent="0.1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22.5" customHeight="1" x14ac:dyDescent="0.1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22.5" customHeight="1" x14ac:dyDescent="0.1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22.5" customHeight="1" x14ac:dyDescent="0.1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22.5" customHeight="1" x14ac:dyDescent="0.1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22.5" customHeight="1" x14ac:dyDescent="0.1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22.5" customHeight="1" x14ac:dyDescent="0.1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22.5" customHeight="1" x14ac:dyDescent="0.1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22.5" customHeight="1" x14ac:dyDescent="0.1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22.5" customHeight="1" x14ac:dyDescent="0.1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22.5" customHeight="1" x14ac:dyDescent="0.1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22.5" customHeight="1" x14ac:dyDescent="0.1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22.5" customHeight="1" x14ac:dyDescent="0.1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22.5" customHeight="1" x14ac:dyDescent="0.1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22.5" customHeight="1" x14ac:dyDescent="0.1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22.5" customHeight="1" x14ac:dyDescent="0.1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22.5" customHeight="1" x14ac:dyDescent="0.1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22.5" customHeight="1" x14ac:dyDescent="0.1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22.5" customHeight="1" x14ac:dyDescent="0.1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22.5" customHeight="1" x14ac:dyDescent="0.1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22.5" customHeight="1" x14ac:dyDescent="0.1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22.5" customHeight="1" x14ac:dyDescent="0.1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22.5" customHeight="1" x14ac:dyDescent="0.1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22.5" customHeight="1" x14ac:dyDescent="0.1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22.5" customHeight="1" x14ac:dyDescent="0.1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22.5" customHeight="1" x14ac:dyDescent="0.1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22.5" customHeight="1" x14ac:dyDescent="0.1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22.5" customHeight="1" x14ac:dyDescent="0.1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22.5" customHeight="1" x14ac:dyDescent="0.1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22.5" customHeight="1" x14ac:dyDescent="0.1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22.5" customHeight="1" x14ac:dyDescent="0.1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22.5" customHeight="1" x14ac:dyDescent="0.1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22.5" customHeight="1" x14ac:dyDescent="0.1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22.5" customHeight="1" x14ac:dyDescent="0.1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22.5" customHeight="1" x14ac:dyDescent="0.1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22.5" customHeight="1" x14ac:dyDescent="0.1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22.5" customHeight="1" x14ac:dyDescent="0.1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22.5" customHeight="1" x14ac:dyDescent="0.1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22.5" customHeight="1" x14ac:dyDescent="0.1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22.5" customHeight="1" x14ac:dyDescent="0.1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22.5" customHeight="1" x14ac:dyDescent="0.1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22.5" customHeight="1" x14ac:dyDescent="0.1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22.5" customHeight="1" x14ac:dyDescent="0.1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22.5" customHeight="1" x14ac:dyDescent="0.1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22.5" customHeight="1" x14ac:dyDescent="0.1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22.5" customHeight="1" x14ac:dyDescent="0.1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22.5" customHeight="1" x14ac:dyDescent="0.1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22.5" customHeight="1" x14ac:dyDescent="0.1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22.5" customHeight="1" x14ac:dyDescent="0.1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22.5" customHeight="1" x14ac:dyDescent="0.1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22.5" customHeight="1" x14ac:dyDescent="0.1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22.5" customHeight="1" x14ac:dyDescent="0.1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22.5" customHeight="1" x14ac:dyDescent="0.1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22.5" customHeight="1" x14ac:dyDescent="0.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22.5" customHeight="1" x14ac:dyDescent="0.1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22.5" customHeight="1" x14ac:dyDescent="0.1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22.5" customHeight="1" x14ac:dyDescent="0.1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22.5" customHeight="1" x14ac:dyDescent="0.1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22.5" customHeight="1" x14ac:dyDescent="0.1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22.5" customHeight="1" x14ac:dyDescent="0.1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22.5" customHeight="1" x14ac:dyDescent="0.1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22.5" customHeight="1" x14ac:dyDescent="0.1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22.5" customHeight="1" x14ac:dyDescent="0.1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22.5" customHeight="1" x14ac:dyDescent="0.1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22.5" customHeight="1" x14ac:dyDescent="0.1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22.5" customHeight="1" x14ac:dyDescent="0.1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22.5" customHeight="1" x14ac:dyDescent="0.1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22.5" customHeight="1" x14ac:dyDescent="0.1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22.5" customHeight="1" x14ac:dyDescent="0.1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22.5" customHeight="1" x14ac:dyDescent="0.1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22.5" customHeight="1" x14ac:dyDescent="0.1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22.5" customHeight="1" x14ac:dyDescent="0.1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22.5" customHeight="1" x14ac:dyDescent="0.1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22.5" customHeight="1" x14ac:dyDescent="0.1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22.5" customHeight="1" x14ac:dyDescent="0.1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22.5" customHeight="1" x14ac:dyDescent="0.1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22.5" customHeight="1" x14ac:dyDescent="0.1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22.5" customHeight="1" x14ac:dyDescent="0.1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22.5" customHeight="1" x14ac:dyDescent="0.1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22.5" customHeight="1" x14ac:dyDescent="0.1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22.5" customHeight="1" x14ac:dyDescent="0.1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22.5" customHeight="1" x14ac:dyDescent="0.1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22.5" customHeight="1" x14ac:dyDescent="0.1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22.5" customHeight="1" x14ac:dyDescent="0.1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22.5" customHeight="1" x14ac:dyDescent="0.1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22.5" customHeight="1" x14ac:dyDescent="0.1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22.5" customHeight="1" x14ac:dyDescent="0.1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22.5" customHeight="1" x14ac:dyDescent="0.1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22.5" customHeight="1" x14ac:dyDescent="0.1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22.5" customHeight="1" x14ac:dyDescent="0.1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22.5" customHeight="1" x14ac:dyDescent="0.1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22.5" customHeight="1" x14ac:dyDescent="0.1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22.5" customHeight="1" x14ac:dyDescent="0.1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22.5" customHeight="1" x14ac:dyDescent="0.1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22.5" customHeight="1" x14ac:dyDescent="0.1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22.5" customHeight="1" x14ac:dyDescent="0.1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22.5" customHeight="1" x14ac:dyDescent="0.1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22.5" customHeight="1" x14ac:dyDescent="0.1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22.5" customHeight="1" x14ac:dyDescent="0.1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22.5" customHeight="1" x14ac:dyDescent="0.1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22.5" customHeight="1" x14ac:dyDescent="0.1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22.5" customHeight="1" x14ac:dyDescent="0.1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22.5" customHeight="1" x14ac:dyDescent="0.1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22.5" customHeight="1" x14ac:dyDescent="0.1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22.5" customHeight="1" x14ac:dyDescent="0.1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22.5" customHeight="1" x14ac:dyDescent="0.1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22.5" customHeight="1" x14ac:dyDescent="0.1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22.5" customHeight="1" x14ac:dyDescent="0.1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22.5" customHeight="1" x14ac:dyDescent="0.1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22.5" customHeight="1" x14ac:dyDescent="0.1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22.5" customHeight="1" x14ac:dyDescent="0.1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22.5" customHeight="1" x14ac:dyDescent="0.1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22.5" customHeight="1" x14ac:dyDescent="0.1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22.5" customHeight="1" x14ac:dyDescent="0.1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22.5" customHeight="1" x14ac:dyDescent="0.1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22.5" customHeight="1" x14ac:dyDescent="0.1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22.5" customHeight="1" x14ac:dyDescent="0.1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22.5" customHeight="1" x14ac:dyDescent="0.1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22.5" customHeight="1" x14ac:dyDescent="0.1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22.5" customHeight="1" x14ac:dyDescent="0.1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22.5" customHeight="1" x14ac:dyDescent="0.1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22.5" customHeight="1" x14ac:dyDescent="0.1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22.5" customHeight="1" x14ac:dyDescent="0.1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22.5" customHeight="1" x14ac:dyDescent="0.1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22.5" customHeight="1" x14ac:dyDescent="0.1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22.5" customHeight="1" x14ac:dyDescent="0.1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22.5" customHeight="1" x14ac:dyDescent="0.1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22.5" customHeight="1" x14ac:dyDescent="0.1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22.5" customHeight="1" x14ac:dyDescent="0.1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22.5" customHeight="1" x14ac:dyDescent="0.1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22.5" customHeight="1" x14ac:dyDescent="0.1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22.5" customHeight="1" x14ac:dyDescent="0.1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22.5" customHeight="1" x14ac:dyDescent="0.1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22.5" customHeight="1" x14ac:dyDescent="0.1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22.5" customHeight="1" x14ac:dyDescent="0.1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22.5" customHeight="1" x14ac:dyDescent="0.1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22.5" customHeight="1" x14ac:dyDescent="0.1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22.5" customHeight="1" x14ac:dyDescent="0.1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22.5" customHeight="1" x14ac:dyDescent="0.1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22.5" customHeight="1" x14ac:dyDescent="0.1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22.5" customHeight="1" x14ac:dyDescent="0.1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22.5" customHeight="1" x14ac:dyDescent="0.1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22.5" customHeight="1" x14ac:dyDescent="0.1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22.5" customHeight="1" x14ac:dyDescent="0.1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22.5" customHeight="1" x14ac:dyDescent="0.1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22.5" customHeight="1" x14ac:dyDescent="0.1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22.5" customHeight="1" x14ac:dyDescent="0.1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22.5" customHeight="1" x14ac:dyDescent="0.1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22.5" customHeight="1" x14ac:dyDescent="0.1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22.5" customHeight="1" x14ac:dyDescent="0.1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22.5" customHeight="1" x14ac:dyDescent="0.1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22.5" customHeight="1" x14ac:dyDescent="0.1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22.5" customHeight="1" x14ac:dyDescent="0.1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22.5" customHeight="1" x14ac:dyDescent="0.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22.5" customHeight="1" x14ac:dyDescent="0.1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22.5" customHeight="1" x14ac:dyDescent="0.1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22.5" customHeight="1" x14ac:dyDescent="0.1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22.5" customHeight="1" x14ac:dyDescent="0.1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22.5" customHeight="1" x14ac:dyDescent="0.1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22.5" customHeight="1" x14ac:dyDescent="0.1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22.5" customHeight="1" x14ac:dyDescent="0.1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22.5" customHeight="1" x14ac:dyDescent="0.1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22.5" customHeight="1" x14ac:dyDescent="0.1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22.5" customHeight="1" x14ac:dyDescent="0.1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22.5" customHeight="1" x14ac:dyDescent="0.1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22.5" customHeight="1" x14ac:dyDescent="0.1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22.5" customHeight="1" x14ac:dyDescent="0.1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22.5" customHeight="1" x14ac:dyDescent="0.1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22.5" customHeight="1" x14ac:dyDescent="0.1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22.5" customHeight="1" x14ac:dyDescent="0.1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22.5" customHeight="1" x14ac:dyDescent="0.1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22.5" customHeight="1" x14ac:dyDescent="0.1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22.5" customHeight="1" x14ac:dyDescent="0.1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22.5" customHeight="1" x14ac:dyDescent="0.1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22.5" customHeight="1" x14ac:dyDescent="0.1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22.5" customHeight="1" x14ac:dyDescent="0.1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22.5" customHeight="1" x14ac:dyDescent="0.1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22.5" customHeight="1" x14ac:dyDescent="0.1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22.5" customHeight="1" x14ac:dyDescent="0.1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22.5" customHeight="1" x14ac:dyDescent="0.1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22.5" customHeight="1" x14ac:dyDescent="0.1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22.5" customHeight="1" x14ac:dyDescent="0.1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22.5" customHeight="1" x14ac:dyDescent="0.1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22.5" customHeight="1" x14ac:dyDescent="0.1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22.5" customHeight="1" x14ac:dyDescent="0.1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22.5" customHeight="1" x14ac:dyDescent="0.1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22.5" customHeight="1" x14ac:dyDescent="0.1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22.5" customHeight="1" x14ac:dyDescent="0.1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22.5" customHeight="1" x14ac:dyDescent="0.1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22.5" customHeight="1" x14ac:dyDescent="0.1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22.5" customHeight="1" x14ac:dyDescent="0.1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22.5" customHeight="1" x14ac:dyDescent="0.1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22.5" customHeight="1" x14ac:dyDescent="0.1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22.5" customHeight="1" x14ac:dyDescent="0.1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22.5" customHeight="1" x14ac:dyDescent="0.1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22.5" customHeight="1" x14ac:dyDescent="0.1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22.5" customHeight="1" x14ac:dyDescent="0.1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22.5" customHeight="1" x14ac:dyDescent="0.1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22.5" customHeight="1" x14ac:dyDescent="0.1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22.5" customHeight="1" x14ac:dyDescent="0.1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22.5" customHeight="1" x14ac:dyDescent="0.1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22.5" customHeight="1" x14ac:dyDescent="0.1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22.5" customHeight="1" x14ac:dyDescent="0.1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22.5" customHeight="1" x14ac:dyDescent="0.1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22.5" customHeight="1" x14ac:dyDescent="0.1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22.5" customHeight="1" x14ac:dyDescent="0.1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22.5" customHeight="1" x14ac:dyDescent="0.1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22.5" customHeight="1" x14ac:dyDescent="0.1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22.5" customHeight="1" x14ac:dyDescent="0.1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22.5" customHeight="1" x14ac:dyDescent="0.1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22.5" customHeight="1" x14ac:dyDescent="0.1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22.5" customHeight="1" x14ac:dyDescent="0.1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22.5" customHeight="1" x14ac:dyDescent="0.1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22.5" customHeight="1" x14ac:dyDescent="0.1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22.5" customHeight="1" x14ac:dyDescent="0.1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22.5" customHeight="1" x14ac:dyDescent="0.1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22.5" customHeight="1" x14ac:dyDescent="0.1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22.5" customHeight="1" x14ac:dyDescent="0.1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22.5" customHeight="1" x14ac:dyDescent="0.1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22.5" customHeight="1" x14ac:dyDescent="0.1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22.5" customHeight="1" x14ac:dyDescent="0.1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22.5" customHeight="1" x14ac:dyDescent="0.1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22.5" customHeight="1" x14ac:dyDescent="0.1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22.5" customHeight="1" x14ac:dyDescent="0.1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22.5" customHeight="1" x14ac:dyDescent="0.1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22.5" customHeight="1" x14ac:dyDescent="0.1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22.5" customHeight="1" x14ac:dyDescent="0.1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22.5" customHeight="1" x14ac:dyDescent="0.1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22.5" customHeight="1" x14ac:dyDescent="0.1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22.5" customHeight="1" x14ac:dyDescent="0.1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22.5" customHeight="1" x14ac:dyDescent="0.1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22.5" customHeight="1" x14ac:dyDescent="0.1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22.5" customHeight="1" x14ac:dyDescent="0.1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22.5" customHeight="1" x14ac:dyDescent="0.1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22.5" customHeight="1" x14ac:dyDescent="0.1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22.5" customHeight="1" x14ac:dyDescent="0.1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22.5" customHeight="1" x14ac:dyDescent="0.1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22.5" customHeight="1" x14ac:dyDescent="0.1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22.5" customHeight="1" x14ac:dyDescent="0.1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22.5" customHeight="1" x14ac:dyDescent="0.1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22.5" customHeight="1" x14ac:dyDescent="0.1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22.5" customHeight="1" x14ac:dyDescent="0.1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22.5" customHeight="1" x14ac:dyDescent="0.1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22.5" customHeight="1" x14ac:dyDescent="0.1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22.5" customHeight="1" x14ac:dyDescent="0.1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22.5" customHeight="1" x14ac:dyDescent="0.1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22.5" customHeight="1" x14ac:dyDescent="0.1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22.5" customHeight="1" x14ac:dyDescent="0.1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22.5" customHeight="1" x14ac:dyDescent="0.1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22.5" customHeight="1" x14ac:dyDescent="0.1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22.5" customHeight="1" x14ac:dyDescent="0.1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22.5" customHeight="1" x14ac:dyDescent="0.1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22.5" customHeight="1" x14ac:dyDescent="0.1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22.5" customHeight="1" x14ac:dyDescent="0.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22.5" customHeight="1" x14ac:dyDescent="0.1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22.5" customHeight="1" x14ac:dyDescent="0.1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22.5" customHeight="1" x14ac:dyDescent="0.1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22.5" customHeight="1" x14ac:dyDescent="0.1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22.5" customHeight="1" x14ac:dyDescent="0.1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22.5" customHeight="1" x14ac:dyDescent="0.1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22.5" customHeight="1" x14ac:dyDescent="0.1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22.5" customHeight="1" x14ac:dyDescent="0.1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22.5" customHeight="1" x14ac:dyDescent="0.1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22.5" customHeight="1" x14ac:dyDescent="0.1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22.5" customHeight="1" x14ac:dyDescent="0.1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22.5" customHeight="1" x14ac:dyDescent="0.1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22.5" customHeight="1" x14ac:dyDescent="0.1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22.5" customHeight="1" x14ac:dyDescent="0.1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22.5" customHeight="1" x14ac:dyDescent="0.1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22.5" customHeight="1" x14ac:dyDescent="0.1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22.5" customHeight="1" x14ac:dyDescent="0.1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22.5" customHeight="1" x14ac:dyDescent="0.1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22.5" customHeight="1" x14ac:dyDescent="0.1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22.5" customHeight="1" x14ac:dyDescent="0.1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22.5" customHeight="1" x14ac:dyDescent="0.1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22.5" customHeight="1" x14ac:dyDescent="0.1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22.5" customHeight="1" x14ac:dyDescent="0.1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22.5" customHeight="1" x14ac:dyDescent="0.1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22.5" customHeight="1" x14ac:dyDescent="0.1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22.5" customHeight="1" x14ac:dyDescent="0.1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22.5" customHeight="1" x14ac:dyDescent="0.1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22.5" customHeight="1" x14ac:dyDescent="0.1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22.5" customHeight="1" x14ac:dyDescent="0.1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22.5" customHeight="1" x14ac:dyDescent="0.1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22.5" customHeight="1" x14ac:dyDescent="0.1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22.5" customHeight="1" x14ac:dyDescent="0.1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22.5" customHeight="1" x14ac:dyDescent="0.1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22.5" customHeight="1" x14ac:dyDescent="0.1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22.5" customHeight="1" x14ac:dyDescent="0.1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22.5" customHeight="1" x14ac:dyDescent="0.1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22.5" customHeight="1" x14ac:dyDescent="0.1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22.5" customHeight="1" x14ac:dyDescent="0.1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22.5" customHeight="1" x14ac:dyDescent="0.1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22.5" customHeight="1" x14ac:dyDescent="0.1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22.5" customHeight="1" x14ac:dyDescent="0.1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22.5" customHeight="1" x14ac:dyDescent="0.1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22.5" customHeight="1" x14ac:dyDescent="0.1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22.5" customHeight="1" x14ac:dyDescent="0.1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22.5" customHeight="1" x14ac:dyDescent="0.1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22.5" customHeight="1" x14ac:dyDescent="0.1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22.5" customHeight="1" x14ac:dyDescent="0.1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22.5" customHeight="1" x14ac:dyDescent="0.1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22.5" customHeight="1" x14ac:dyDescent="0.1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22.5" customHeight="1" x14ac:dyDescent="0.1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22.5" customHeight="1" x14ac:dyDescent="0.1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22.5" customHeight="1" x14ac:dyDescent="0.1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22.5" customHeight="1" x14ac:dyDescent="0.1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22.5" customHeight="1" x14ac:dyDescent="0.1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22.5" customHeight="1" x14ac:dyDescent="0.1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22.5" customHeight="1" x14ac:dyDescent="0.1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22.5" customHeight="1" x14ac:dyDescent="0.1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22.5" customHeight="1" x14ac:dyDescent="0.1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22.5" customHeight="1" x14ac:dyDescent="0.1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22.5" customHeight="1" x14ac:dyDescent="0.1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22.5" customHeight="1" x14ac:dyDescent="0.1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22.5" customHeight="1" x14ac:dyDescent="0.1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22.5" customHeight="1" x14ac:dyDescent="0.1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22.5" customHeight="1" x14ac:dyDescent="0.1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22.5" customHeight="1" x14ac:dyDescent="0.1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22.5" customHeight="1" x14ac:dyDescent="0.1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22.5" customHeight="1" x14ac:dyDescent="0.1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22.5" customHeight="1" x14ac:dyDescent="0.1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22.5" customHeight="1" x14ac:dyDescent="0.1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22.5" customHeight="1" x14ac:dyDescent="0.1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22.5" customHeight="1" x14ac:dyDescent="0.1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22.5" customHeight="1" x14ac:dyDescent="0.1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22.5" customHeight="1" x14ac:dyDescent="0.1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22.5" customHeight="1" x14ac:dyDescent="0.1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22.5" customHeight="1" x14ac:dyDescent="0.1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22.5" customHeight="1" x14ac:dyDescent="0.1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22.5" customHeight="1" x14ac:dyDescent="0.1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22.5" customHeight="1" x14ac:dyDescent="0.1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22.5" customHeight="1" x14ac:dyDescent="0.1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22.5" customHeight="1" x14ac:dyDescent="0.1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22.5" customHeight="1" x14ac:dyDescent="0.1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22.5" customHeight="1" x14ac:dyDescent="0.1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22.5" customHeight="1" x14ac:dyDescent="0.1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22.5" customHeight="1" x14ac:dyDescent="0.1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22.5" customHeight="1" x14ac:dyDescent="0.1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22.5" customHeight="1" x14ac:dyDescent="0.1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22.5" customHeight="1" x14ac:dyDescent="0.1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22.5" customHeight="1" x14ac:dyDescent="0.1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22.5" customHeight="1" x14ac:dyDescent="0.1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22.5" customHeight="1" x14ac:dyDescent="0.1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22.5" customHeight="1" x14ac:dyDescent="0.1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22.5" customHeight="1" x14ac:dyDescent="0.1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22.5" customHeight="1" x14ac:dyDescent="0.1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22.5" customHeight="1" x14ac:dyDescent="0.1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22.5" customHeight="1" x14ac:dyDescent="0.1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22.5" customHeight="1" x14ac:dyDescent="0.1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22.5" customHeight="1" x14ac:dyDescent="0.1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22.5" customHeight="1" x14ac:dyDescent="0.1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22.5" customHeight="1" x14ac:dyDescent="0.1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22.5" customHeight="1" x14ac:dyDescent="0.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22.5" customHeight="1" x14ac:dyDescent="0.1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22.5" customHeight="1" x14ac:dyDescent="0.1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22.5" customHeight="1" x14ac:dyDescent="0.1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22.5" customHeight="1" x14ac:dyDescent="0.1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22.5" customHeight="1" x14ac:dyDescent="0.1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22.5" customHeight="1" x14ac:dyDescent="0.1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22.5" customHeight="1" x14ac:dyDescent="0.1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22.5" customHeight="1" x14ac:dyDescent="0.1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22.5" customHeight="1" x14ac:dyDescent="0.1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22.5" customHeight="1" x14ac:dyDescent="0.1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22.5" customHeight="1" x14ac:dyDescent="0.1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22.5" customHeight="1" x14ac:dyDescent="0.1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22.5" customHeight="1" x14ac:dyDescent="0.1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22.5" customHeight="1" x14ac:dyDescent="0.1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22.5" customHeight="1" x14ac:dyDescent="0.1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22.5" customHeight="1" x14ac:dyDescent="0.1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22.5" customHeight="1" x14ac:dyDescent="0.1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22.5" customHeight="1" x14ac:dyDescent="0.1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22.5" customHeight="1" x14ac:dyDescent="0.1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22.5" customHeight="1" x14ac:dyDescent="0.1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22.5" customHeight="1" x14ac:dyDescent="0.1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22.5" customHeight="1" x14ac:dyDescent="0.1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22.5" customHeight="1" x14ac:dyDescent="0.1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22.5" customHeight="1" x14ac:dyDescent="0.1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22.5" customHeight="1" x14ac:dyDescent="0.1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22.5" customHeight="1" x14ac:dyDescent="0.1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22.5" customHeight="1" x14ac:dyDescent="0.1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22.5" customHeight="1" x14ac:dyDescent="0.1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22.5" customHeight="1" x14ac:dyDescent="0.1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22.5" customHeight="1" x14ac:dyDescent="0.1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22.5" customHeight="1" x14ac:dyDescent="0.1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22.5" customHeight="1" x14ac:dyDescent="0.1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22.5" customHeight="1" x14ac:dyDescent="0.1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22.5" customHeight="1" x14ac:dyDescent="0.1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22.5" customHeight="1" x14ac:dyDescent="0.1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22.5" customHeight="1" x14ac:dyDescent="0.1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22.5" customHeight="1" x14ac:dyDescent="0.1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22.5" customHeight="1" x14ac:dyDescent="0.1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22.5" customHeight="1" x14ac:dyDescent="0.1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22.5" customHeight="1" x14ac:dyDescent="0.1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22.5" customHeight="1" x14ac:dyDescent="0.1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22.5" customHeight="1" x14ac:dyDescent="0.1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22.5" customHeight="1" x14ac:dyDescent="0.1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22.5" customHeight="1" x14ac:dyDescent="0.1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22.5" customHeight="1" x14ac:dyDescent="0.1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22.5" customHeight="1" x14ac:dyDescent="0.1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22.5" customHeight="1" x14ac:dyDescent="0.1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22.5" customHeight="1" x14ac:dyDescent="0.1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22.5" customHeight="1" x14ac:dyDescent="0.1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22.5" customHeight="1" x14ac:dyDescent="0.1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22.5" customHeight="1" x14ac:dyDescent="0.1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22.5" customHeight="1" x14ac:dyDescent="0.1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22.5" customHeight="1" x14ac:dyDescent="0.1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22.5" customHeight="1" x14ac:dyDescent="0.1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22.5" customHeight="1" x14ac:dyDescent="0.1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22.5" customHeight="1" x14ac:dyDescent="0.1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22.5" customHeight="1" x14ac:dyDescent="0.1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22.5" customHeight="1" x14ac:dyDescent="0.1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22.5" customHeight="1" x14ac:dyDescent="0.1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22.5" customHeight="1" x14ac:dyDescent="0.1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22.5" customHeight="1" x14ac:dyDescent="0.1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22.5" customHeight="1" x14ac:dyDescent="0.1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22.5" customHeight="1" x14ac:dyDescent="0.1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22.5" customHeight="1" x14ac:dyDescent="0.1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22.5" customHeight="1" x14ac:dyDescent="0.1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22.5" customHeight="1" x14ac:dyDescent="0.1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22.5" customHeight="1" x14ac:dyDescent="0.1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22.5" customHeight="1" x14ac:dyDescent="0.1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22.5" customHeight="1" x14ac:dyDescent="0.1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22.5" customHeight="1" x14ac:dyDescent="0.1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22.5" customHeight="1" x14ac:dyDescent="0.1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22.5" customHeight="1" x14ac:dyDescent="0.1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22.5" customHeight="1" x14ac:dyDescent="0.1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22.5" customHeight="1" x14ac:dyDescent="0.1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22.5" customHeight="1" x14ac:dyDescent="0.1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22.5" customHeight="1" x14ac:dyDescent="0.1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22.5" customHeight="1" x14ac:dyDescent="0.1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22.5" customHeight="1" x14ac:dyDescent="0.1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22.5" customHeight="1" x14ac:dyDescent="0.1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22.5" customHeight="1" x14ac:dyDescent="0.1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22.5" customHeight="1" x14ac:dyDescent="0.1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22.5" customHeight="1" x14ac:dyDescent="0.1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22.5" customHeight="1" x14ac:dyDescent="0.1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22.5" customHeight="1" x14ac:dyDescent="0.1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22.5" customHeight="1" x14ac:dyDescent="0.1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22.5" customHeight="1" x14ac:dyDescent="0.1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22.5" customHeight="1" x14ac:dyDescent="0.1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22.5" customHeight="1" x14ac:dyDescent="0.1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22.5" customHeight="1" x14ac:dyDescent="0.1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22.5" customHeight="1" x14ac:dyDescent="0.1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22.5" customHeight="1" x14ac:dyDescent="0.1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22.5" customHeight="1" x14ac:dyDescent="0.1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22.5" customHeight="1" x14ac:dyDescent="0.1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22.5" customHeight="1" x14ac:dyDescent="0.1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22.5" customHeight="1" x14ac:dyDescent="0.1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22.5" customHeight="1" x14ac:dyDescent="0.1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22.5" customHeight="1" x14ac:dyDescent="0.1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22.5" customHeight="1" x14ac:dyDescent="0.1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22.5" customHeight="1" x14ac:dyDescent="0.1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22.5" customHeight="1" x14ac:dyDescent="0.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22.5" customHeight="1" x14ac:dyDescent="0.1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22.5" customHeight="1" x14ac:dyDescent="0.1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22.5" customHeight="1" x14ac:dyDescent="0.1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22.5" customHeight="1" x14ac:dyDescent="0.1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22.5" customHeight="1" x14ac:dyDescent="0.1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22.5" customHeight="1" x14ac:dyDescent="0.1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22.5" customHeight="1" x14ac:dyDescent="0.1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22.5" customHeight="1" x14ac:dyDescent="0.1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22.5" customHeight="1" x14ac:dyDescent="0.1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22.5" customHeight="1" x14ac:dyDescent="0.1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22.5" customHeight="1" x14ac:dyDescent="0.1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22.5" customHeight="1" x14ac:dyDescent="0.1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22.5" customHeight="1" x14ac:dyDescent="0.1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22.5" customHeight="1" x14ac:dyDescent="0.1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22.5" customHeight="1" x14ac:dyDescent="0.1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22.5" customHeight="1" x14ac:dyDescent="0.1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22.5" customHeight="1" x14ac:dyDescent="0.1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22.5" customHeight="1" x14ac:dyDescent="0.1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22.5" customHeight="1" x14ac:dyDescent="0.1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22.5" customHeight="1" x14ac:dyDescent="0.1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22.5" customHeight="1" x14ac:dyDescent="0.1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22.5" customHeight="1" x14ac:dyDescent="0.1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22.5" customHeight="1" x14ac:dyDescent="0.1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22.5" customHeight="1" x14ac:dyDescent="0.1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22.5" customHeight="1" x14ac:dyDescent="0.1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22.5" customHeight="1" x14ac:dyDescent="0.1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22.5" customHeight="1" x14ac:dyDescent="0.1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22.5" customHeight="1" x14ac:dyDescent="0.1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22.5" customHeight="1" x14ac:dyDescent="0.1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22.5" customHeight="1" x14ac:dyDescent="0.1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22.5" customHeight="1" x14ac:dyDescent="0.1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22.5" customHeight="1" x14ac:dyDescent="0.1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22.5" customHeight="1" x14ac:dyDescent="0.1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22.5" customHeight="1" x14ac:dyDescent="0.1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22.5" customHeight="1" x14ac:dyDescent="0.1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22.5" customHeight="1" x14ac:dyDescent="0.1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22.5" customHeight="1" x14ac:dyDescent="0.1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22.5" customHeight="1" x14ac:dyDescent="0.1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22.5" customHeight="1" x14ac:dyDescent="0.1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22.5" customHeight="1" x14ac:dyDescent="0.1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22.5" customHeight="1" x14ac:dyDescent="0.1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22.5" customHeight="1" x14ac:dyDescent="0.1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22.5" customHeight="1" x14ac:dyDescent="0.1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22.5" customHeight="1" x14ac:dyDescent="0.1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22.5" customHeight="1" x14ac:dyDescent="0.1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22.5" customHeight="1" x14ac:dyDescent="0.1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22.5" customHeight="1" x14ac:dyDescent="0.1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22.5" customHeight="1" x14ac:dyDescent="0.1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22.5" customHeight="1" x14ac:dyDescent="0.1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22.5" customHeight="1" x14ac:dyDescent="0.1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22.5" customHeight="1" x14ac:dyDescent="0.1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22.5" customHeight="1" x14ac:dyDescent="0.1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22.5" customHeight="1" x14ac:dyDescent="0.1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22.5" customHeight="1" x14ac:dyDescent="0.1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22.5" customHeight="1" x14ac:dyDescent="0.1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22.5" customHeight="1" x14ac:dyDescent="0.1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22.5" customHeight="1" x14ac:dyDescent="0.1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22.5" customHeight="1" x14ac:dyDescent="0.1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22.5" customHeight="1" x14ac:dyDescent="0.1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22.5" customHeight="1" x14ac:dyDescent="0.1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22.5" customHeight="1" x14ac:dyDescent="0.1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22.5" customHeight="1" x14ac:dyDescent="0.1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22.5" customHeight="1" x14ac:dyDescent="0.1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22.5" customHeight="1" x14ac:dyDescent="0.1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22.5" customHeight="1" x14ac:dyDescent="0.1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22.5" customHeight="1" x14ac:dyDescent="0.1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22.5" customHeight="1" x14ac:dyDescent="0.1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22.5" customHeight="1" x14ac:dyDescent="0.1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22.5" customHeight="1" x14ac:dyDescent="0.1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22.5" customHeight="1" x14ac:dyDescent="0.1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22.5" customHeight="1" x14ac:dyDescent="0.1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22.5" customHeight="1" x14ac:dyDescent="0.1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22.5" customHeight="1" x14ac:dyDescent="0.1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22.5" customHeight="1" x14ac:dyDescent="0.1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22.5" customHeight="1" x14ac:dyDescent="0.1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22.5" customHeight="1" x14ac:dyDescent="0.1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22.5" customHeight="1" x14ac:dyDescent="0.1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22.5" customHeight="1" x14ac:dyDescent="0.1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22.5" customHeight="1" x14ac:dyDescent="0.1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22.5" customHeight="1" x14ac:dyDescent="0.1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22.5" customHeight="1" x14ac:dyDescent="0.1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22.5" customHeight="1" x14ac:dyDescent="0.1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22.5" customHeight="1" x14ac:dyDescent="0.15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22.5" customHeight="1" x14ac:dyDescent="0.15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22.5" customHeight="1" x14ac:dyDescent="0.15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3">
    <mergeCell ref="B1:E1"/>
    <mergeCell ref="F1:I1"/>
    <mergeCell ref="J1:M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8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" customHeight="1" x14ac:dyDescent="0.15"/>
  <cols>
    <col min="1" max="1" width="10.6640625" customWidth="1"/>
    <col min="2" max="2" width="10.6640625" hidden="1" customWidth="1"/>
    <col min="3" max="7" width="10.6640625" customWidth="1"/>
    <col min="8" max="8" width="16.5" customWidth="1"/>
    <col min="9" max="36" width="10.6640625" customWidth="1"/>
  </cols>
  <sheetData>
    <row r="1" spans="1:36" ht="28.5" customHeight="1" x14ac:dyDescent="0.15">
      <c r="A1" s="48" t="s">
        <v>47</v>
      </c>
      <c r="B1" s="48"/>
      <c r="C1" s="48" t="s">
        <v>84</v>
      </c>
      <c r="D1" s="49" t="s">
        <v>113</v>
      </c>
      <c r="E1" s="49" t="s">
        <v>114</v>
      </c>
      <c r="F1" s="49" t="s">
        <v>115</v>
      </c>
      <c r="G1" s="49" t="s">
        <v>116</v>
      </c>
      <c r="H1" s="49" t="s">
        <v>1</v>
      </c>
      <c r="I1" s="49" t="s">
        <v>117</v>
      </c>
      <c r="J1" s="49"/>
      <c r="K1" s="49" t="s">
        <v>118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</row>
    <row r="2" spans="1:36" ht="28.5" customHeight="1" x14ac:dyDescent="0.15">
      <c r="A2" s="81" t="s">
        <v>92</v>
      </c>
      <c r="B2" s="51">
        <v>1</v>
      </c>
      <c r="C2" s="52" t="str">
        <f t="shared" ref="C2:C3" si="0">ROMAN(B2)</f>
        <v>I</v>
      </c>
      <c r="D2" s="53">
        <v>0</v>
      </c>
      <c r="E2" s="53"/>
      <c r="F2" s="53"/>
      <c r="G2" s="53"/>
      <c r="H2" s="53"/>
      <c r="I2" s="53"/>
      <c r="J2" s="53"/>
      <c r="K2" s="53">
        <f>D2</f>
        <v>0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</row>
    <row r="3" spans="1:36" ht="28.5" customHeight="1" x14ac:dyDescent="0.15">
      <c r="A3" s="76"/>
      <c r="B3" s="51">
        <v>2</v>
      </c>
      <c r="C3" s="83" t="str">
        <f t="shared" si="0"/>
        <v>II</v>
      </c>
      <c r="D3" s="53">
        <v>1</v>
      </c>
      <c r="E3" s="53" t="s">
        <v>119</v>
      </c>
      <c r="F3" s="53">
        <v>441</v>
      </c>
      <c r="G3" s="53" t="s">
        <v>120</v>
      </c>
      <c r="H3" s="53" t="s">
        <v>103</v>
      </c>
      <c r="I3" s="53" t="str">
        <f t="shared" ref="I3:I5" si="1">ROMAN(1)</f>
        <v>I</v>
      </c>
      <c r="J3" s="53"/>
      <c r="K3" s="87">
        <f>D10</f>
        <v>8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</row>
    <row r="4" spans="1:36" ht="28.5" customHeight="1" x14ac:dyDescent="0.15">
      <c r="A4" s="76"/>
      <c r="B4" s="51"/>
      <c r="C4" s="84"/>
      <c r="D4" s="53">
        <v>2</v>
      </c>
      <c r="E4" s="53" t="s">
        <v>121</v>
      </c>
      <c r="F4" s="53">
        <v>228</v>
      </c>
      <c r="G4" s="53" t="s">
        <v>122</v>
      </c>
      <c r="H4" s="53" t="s">
        <v>123</v>
      </c>
      <c r="I4" s="53" t="str">
        <f t="shared" si="1"/>
        <v>I</v>
      </c>
      <c r="J4" s="53"/>
      <c r="K4" s="64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6" ht="28.5" customHeight="1" x14ac:dyDescent="0.15">
      <c r="A5" s="76"/>
      <c r="B5" s="51"/>
      <c r="C5" s="84"/>
      <c r="D5" s="53">
        <v>3</v>
      </c>
      <c r="E5" s="53" t="s">
        <v>121</v>
      </c>
      <c r="F5" s="53">
        <v>227</v>
      </c>
      <c r="G5" s="53" t="s">
        <v>124</v>
      </c>
      <c r="H5" s="53" t="s">
        <v>123</v>
      </c>
      <c r="I5" s="53" t="str">
        <f t="shared" si="1"/>
        <v>I</v>
      </c>
      <c r="J5" s="53"/>
      <c r="K5" s="64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6" ht="28.5" customHeight="1" x14ac:dyDescent="0.15">
      <c r="A6" s="76"/>
      <c r="B6" s="51"/>
      <c r="C6" s="84"/>
      <c r="D6" s="53">
        <v>4</v>
      </c>
      <c r="E6" s="53" t="s">
        <v>121</v>
      </c>
      <c r="F6" s="53">
        <v>1</v>
      </c>
      <c r="G6" s="53" t="s">
        <v>125</v>
      </c>
      <c r="H6" s="53" t="s">
        <v>123</v>
      </c>
      <c r="I6" s="53" t="str">
        <f>ROMAN(30)</f>
        <v>XXX</v>
      </c>
      <c r="J6" s="53"/>
      <c r="K6" s="64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6" ht="28.5" customHeight="1" x14ac:dyDescent="0.15">
      <c r="A7" s="76"/>
      <c r="B7" s="51"/>
      <c r="C7" s="84"/>
      <c r="D7" s="53">
        <v>5</v>
      </c>
      <c r="E7" s="49" t="s">
        <v>121</v>
      </c>
      <c r="F7" s="49">
        <v>225</v>
      </c>
      <c r="G7" s="49" t="s">
        <v>126</v>
      </c>
      <c r="H7" s="49" t="s">
        <v>123</v>
      </c>
      <c r="I7" s="49" t="str">
        <f>ROMAN(1)</f>
        <v>I</v>
      </c>
      <c r="J7" s="53"/>
      <c r="K7" s="64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</row>
    <row r="8" spans="1:36" ht="28.5" customHeight="1" x14ac:dyDescent="0.15">
      <c r="A8" s="76"/>
      <c r="B8" s="51"/>
      <c r="C8" s="84"/>
      <c r="D8" s="53">
        <v>6</v>
      </c>
      <c r="E8" s="49" t="s">
        <v>121</v>
      </c>
      <c r="F8" s="49">
        <v>7</v>
      </c>
      <c r="G8" s="49" t="s">
        <v>127</v>
      </c>
      <c r="H8" s="49" t="s">
        <v>123</v>
      </c>
      <c r="I8" s="49" t="str">
        <f t="shared" ref="I8:I10" si="2">ROMAN(30)</f>
        <v>XXX</v>
      </c>
      <c r="J8" s="53"/>
      <c r="K8" s="64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</row>
    <row r="9" spans="1:36" ht="28.5" customHeight="1" x14ac:dyDescent="0.15">
      <c r="A9" s="76"/>
      <c r="B9" s="51"/>
      <c r="C9" s="84"/>
      <c r="D9" s="53">
        <v>7</v>
      </c>
      <c r="E9" s="49" t="s">
        <v>121</v>
      </c>
      <c r="F9" s="49">
        <v>6</v>
      </c>
      <c r="G9" s="53" t="s">
        <v>128</v>
      </c>
      <c r="H9" s="49" t="s">
        <v>129</v>
      </c>
      <c r="I9" s="49" t="str">
        <f t="shared" si="2"/>
        <v>XXX</v>
      </c>
      <c r="J9" s="53"/>
      <c r="K9" s="64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</row>
    <row r="10" spans="1:36" ht="28.5" customHeight="1" x14ac:dyDescent="0.15">
      <c r="A10" s="76"/>
      <c r="B10" s="51"/>
      <c r="C10" s="85"/>
      <c r="D10" s="53">
        <v>8</v>
      </c>
      <c r="E10" s="49" t="s">
        <v>121</v>
      </c>
      <c r="F10" s="53">
        <v>3</v>
      </c>
      <c r="G10" s="53" t="s">
        <v>130</v>
      </c>
      <c r="H10" s="49" t="s">
        <v>129</v>
      </c>
      <c r="I10" s="49" t="str">
        <f t="shared" si="2"/>
        <v>XXX</v>
      </c>
      <c r="J10" s="53"/>
      <c r="K10" s="64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</row>
    <row r="11" spans="1:36" ht="28.5" customHeight="1" x14ac:dyDescent="0.15">
      <c r="A11" s="76"/>
      <c r="B11" s="51">
        <v>3</v>
      </c>
      <c r="C11" s="83" t="str">
        <f>ROMAN(B11)</f>
        <v>III</v>
      </c>
      <c r="D11" s="53">
        <v>1</v>
      </c>
      <c r="E11" s="49" t="s">
        <v>131</v>
      </c>
      <c r="F11" s="49">
        <v>291</v>
      </c>
      <c r="G11" s="49" t="s">
        <v>132</v>
      </c>
      <c r="H11" s="49" t="s">
        <v>103</v>
      </c>
      <c r="I11" s="49" t="str">
        <f>ROMAN(9)</f>
        <v>IX</v>
      </c>
      <c r="J11" s="53"/>
      <c r="K11" s="87">
        <f>D12</f>
        <v>2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</row>
    <row r="12" spans="1:36" ht="28.5" customHeight="1" x14ac:dyDescent="0.15">
      <c r="A12" s="76"/>
      <c r="B12" s="51"/>
      <c r="C12" s="85"/>
      <c r="D12" s="53">
        <v>2</v>
      </c>
      <c r="E12" s="49" t="s">
        <v>131</v>
      </c>
      <c r="F12" s="49">
        <v>117</v>
      </c>
      <c r="G12" s="49" t="s">
        <v>133</v>
      </c>
      <c r="H12" s="49" t="s">
        <v>103</v>
      </c>
      <c r="I12" s="49" t="str">
        <f>ROMAN(4)</f>
        <v>IV</v>
      </c>
      <c r="J12" s="53"/>
      <c r="K12" s="64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</row>
    <row r="13" spans="1:36" ht="28.5" customHeight="1" x14ac:dyDescent="0.15">
      <c r="A13" s="76"/>
      <c r="B13" s="51"/>
      <c r="C13" s="83" t="str">
        <f>ROMAN(B19)</f>
        <v>IV</v>
      </c>
      <c r="D13" s="53">
        <v>1</v>
      </c>
      <c r="E13" s="49" t="s">
        <v>119</v>
      </c>
      <c r="F13" s="49">
        <v>78</v>
      </c>
      <c r="G13" s="49" t="s">
        <v>134</v>
      </c>
      <c r="H13" s="49" t="s">
        <v>103</v>
      </c>
      <c r="I13" s="49" t="str">
        <f>ROMAN(18)</f>
        <v>XVIII</v>
      </c>
      <c r="J13" s="53"/>
      <c r="K13" s="87">
        <f>D32</f>
        <v>20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</row>
    <row r="14" spans="1:36" ht="28.5" customHeight="1" x14ac:dyDescent="0.15">
      <c r="A14" s="76"/>
      <c r="B14" s="51"/>
      <c r="C14" s="84"/>
      <c r="D14" s="53">
        <v>2</v>
      </c>
      <c r="E14" s="49" t="s">
        <v>131</v>
      </c>
      <c r="F14" s="49">
        <v>130</v>
      </c>
      <c r="G14" s="49" t="s">
        <v>135</v>
      </c>
      <c r="H14" s="49" t="s">
        <v>103</v>
      </c>
      <c r="I14" s="49" t="str">
        <f t="shared" ref="I14:I16" si="3">ROMAN(3)</f>
        <v>III</v>
      </c>
      <c r="J14" s="53"/>
      <c r="K14" s="64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</row>
    <row r="15" spans="1:36" ht="28.5" customHeight="1" x14ac:dyDescent="0.15">
      <c r="A15" s="76"/>
      <c r="B15" s="51"/>
      <c r="C15" s="84"/>
      <c r="D15" s="53">
        <v>3</v>
      </c>
      <c r="E15" s="49" t="s">
        <v>131</v>
      </c>
      <c r="F15" s="49">
        <v>68</v>
      </c>
      <c r="G15" s="49" t="s">
        <v>136</v>
      </c>
      <c r="H15" s="49" t="s">
        <v>103</v>
      </c>
      <c r="I15" s="49" t="str">
        <f t="shared" si="3"/>
        <v>III</v>
      </c>
      <c r="J15" s="53"/>
      <c r="K15" s="64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</row>
    <row r="16" spans="1:36" ht="28.5" customHeight="1" x14ac:dyDescent="0.15">
      <c r="A16" s="76"/>
      <c r="B16" s="51"/>
      <c r="C16" s="84"/>
      <c r="D16" s="53">
        <v>4</v>
      </c>
      <c r="E16" s="49" t="s">
        <v>131</v>
      </c>
      <c r="F16" s="49">
        <v>117</v>
      </c>
      <c r="G16" s="49" t="s">
        <v>137</v>
      </c>
      <c r="H16" s="49" t="s">
        <v>103</v>
      </c>
      <c r="I16" s="49" t="str">
        <f t="shared" si="3"/>
        <v>III</v>
      </c>
      <c r="J16" s="53"/>
      <c r="K16" s="64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</row>
    <row r="17" spans="1:36" ht="28.5" customHeight="1" x14ac:dyDescent="0.15">
      <c r="A17" s="76"/>
      <c r="B17" s="51"/>
      <c r="C17" s="84"/>
      <c r="D17" s="53">
        <v>5</v>
      </c>
      <c r="E17" s="49" t="s">
        <v>131</v>
      </c>
      <c r="F17" s="49">
        <v>128</v>
      </c>
      <c r="G17" s="49" t="s">
        <v>138</v>
      </c>
      <c r="H17" s="49" t="s">
        <v>103</v>
      </c>
      <c r="I17" s="49" t="s">
        <v>139</v>
      </c>
      <c r="J17" s="53"/>
      <c r="K17" s="64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</row>
    <row r="18" spans="1:36" ht="28.5" customHeight="1" x14ac:dyDescent="0.15">
      <c r="A18" s="76"/>
      <c r="B18" s="51"/>
      <c r="C18" s="84"/>
      <c r="D18" s="53">
        <v>6</v>
      </c>
      <c r="E18" s="49" t="s">
        <v>131</v>
      </c>
      <c r="F18" s="49">
        <v>121</v>
      </c>
      <c r="G18" s="49" t="s">
        <v>140</v>
      </c>
      <c r="H18" s="49" t="s">
        <v>103</v>
      </c>
      <c r="I18" s="49" t="str">
        <f>ROMAN(3)</f>
        <v>III</v>
      </c>
      <c r="J18" s="53"/>
      <c r="K18" s="64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</row>
    <row r="19" spans="1:36" ht="28.5" customHeight="1" x14ac:dyDescent="0.15">
      <c r="A19" s="76"/>
      <c r="B19" s="51">
        <v>4</v>
      </c>
      <c r="C19" s="84"/>
      <c r="D19" s="53">
        <v>7</v>
      </c>
      <c r="E19" s="49" t="s">
        <v>131</v>
      </c>
      <c r="F19" s="49">
        <v>47</v>
      </c>
      <c r="G19" s="49" t="s">
        <v>141</v>
      </c>
      <c r="H19" s="49" t="s">
        <v>103</v>
      </c>
      <c r="I19" s="49" t="str">
        <f>ROMAN(2)</f>
        <v>II</v>
      </c>
      <c r="J19" s="53"/>
      <c r="K19" s="64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</row>
    <row r="20" spans="1:36" ht="28.5" customHeight="1" x14ac:dyDescent="0.15">
      <c r="A20" s="76"/>
      <c r="B20" s="51"/>
      <c r="C20" s="84"/>
      <c r="D20" s="53">
        <v>8</v>
      </c>
      <c r="E20" s="49" t="s">
        <v>121</v>
      </c>
      <c r="F20" s="49">
        <v>123</v>
      </c>
      <c r="G20" s="49" t="s">
        <v>142</v>
      </c>
      <c r="H20" s="49" t="s">
        <v>103</v>
      </c>
      <c r="I20" s="49" t="str">
        <f>ROMAN(3)</f>
        <v>III</v>
      </c>
      <c r="J20" s="49"/>
      <c r="K20" s="64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</row>
    <row r="21" spans="1:36" ht="28.5" customHeight="1" x14ac:dyDescent="0.15">
      <c r="A21" s="76"/>
      <c r="B21" s="51"/>
      <c r="C21" s="84"/>
      <c r="D21" s="53">
        <v>9</v>
      </c>
      <c r="E21" s="49" t="s">
        <v>121</v>
      </c>
      <c r="F21" s="49">
        <v>65</v>
      </c>
      <c r="G21" s="49" t="s">
        <v>143</v>
      </c>
      <c r="H21" s="49" t="s">
        <v>103</v>
      </c>
      <c r="I21" s="49" t="str">
        <f>ROMAN(17)</f>
        <v>XVII</v>
      </c>
      <c r="J21" s="49"/>
      <c r="K21" s="64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</row>
    <row r="22" spans="1:36" ht="28.5" customHeight="1" x14ac:dyDescent="0.15">
      <c r="A22" s="76"/>
      <c r="B22" s="51"/>
      <c r="C22" s="84"/>
      <c r="D22" s="53">
        <v>10</v>
      </c>
      <c r="E22" s="49" t="s">
        <v>121</v>
      </c>
      <c r="F22" s="49">
        <v>179</v>
      </c>
      <c r="G22" s="49" t="s">
        <v>144</v>
      </c>
      <c r="H22" s="49" t="s">
        <v>145</v>
      </c>
      <c r="I22" s="49" t="str">
        <f>ROMAN(12)</f>
        <v>XII</v>
      </c>
      <c r="J22" s="49" t="s">
        <v>146</v>
      </c>
      <c r="K22" s="64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</row>
    <row r="23" spans="1:36" ht="28.5" customHeight="1" x14ac:dyDescent="0.15">
      <c r="A23" s="76"/>
      <c r="B23" s="51"/>
      <c r="C23" s="84"/>
      <c r="D23" s="53">
        <v>11</v>
      </c>
      <c r="E23" s="49" t="s">
        <v>121</v>
      </c>
      <c r="F23" s="49">
        <v>141</v>
      </c>
      <c r="G23" s="49" t="s">
        <v>147</v>
      </c>
      <c r="H23" s="49" t="s">
        <v>145</v>
      </c>
      <c r="I23" s="49" t="str">
        <f>ROMAN(3)</f>
        <v>III</v>
      </c>
      <c r="J23" s="49"/>
      <c r="K23" s="64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</row>
    <row r="24" spans="1:36" ht="28.5" customHeight="1" x14ac:dyDescent="0.15">
      <c r="A24" s="76"/>
      <c r="B24" s="51"/>
      <c r="C24" s="84"/>
      <c r="D24" s="53">
        <v>12</v>
      </c>
      <c r="E24" s="49" t="s">
        <v>121</v>
      </c>
      <c r="F24" s="49">
        <v>99</v>
      </c>
      <c r="G24" s="49" t="s">
        <v>148</v>
      </c>
      <c r="H24" s="49" t="s">
        <v>145</v>
      </c>
      <c r="I24" s="49" t="str">
        <f t="shared" ref="I24:I25" si="4">ROMAN(2)</f>
        <v>II</v>
      </c>
      <c r="J24" s="49"/>
      <c r="K24" s="64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</row>
    <row r="25" spans="1:36" ht="28.5" customHeight="1" x14ac:dyDescent="0.15">
      <c r="A25" s="76"/>
      <c r="B25" s="51"/>
      <c r="C25" s="84"/>
      <c r="D25" s="53">
        <v>13</v>
      </c>
      <c r="E25" s="49" t="s">
        <v>121</v>
      </c>
      <c r="F25" s="49">
        <v>117</v>
      </c>
      <c r="G25" s="49" t="s">
        <v>149</v>
      </c>
      <c r="H25" s="49" t="s">
        <v>145</v>
      </c>
      <c r="I25" s="49" t="str">
        <f t="shared" si="4"/>
        <v>II</v>
      </c>
      <c r="J25" s="49"/>
      <c r="K25" s="64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</row>
    <row r="26" spans="1:36" ht="28.5" customHeight="1" x14ac:dyDescent="0.15">
      <c r="A26" s="76"/>
      <c r="B26" s="51"/>
      <c r="C26" s="84"/>
      <c r="D26" s="53">
        <v>14</v>
      </c>
      <c r="E26" s="49" t="s">
        <v>121</v>
      </c>
      <c r="F26" s="49">
        <v>127</v>
      </c>
      <c r="G26" s="49" t="s">
        <v>150</v>
      </c>
      <c r="H26" s="49" t="s">
        <v>145</v>
      </c>
      <c r="I26" s="49" t="str">
        <f>ROMAN(3)</f>
        <v>III</v>
      </c>
      <c r="J26" s="49"/>
      <c r="K26" s="64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</row>
    <row r="27" spans="1:36" ht="28.5" customHeight="1" x14ac:dyDescent="0.15">
      <c r="A27" s="76"/>
      <c r="B27" s="51"/>
      <c r="C27" s="84"/>
      <c r="D27" s="53">
        <v>15</v>
      </c>
      <c r="E27" s="49" t="s">
        <v>121</v>
      </c>
      <c r="F27" s="49" t="s">
        <v>151</v>
      </c>
      <c r="G27" s="49" t="s">
        <v>152</v>
      </c>
      <c r="H27" s="49" t="s">
        <v>145</v>
      </c>
      <c r="I27" s="49" t="str">
        <f>ROMAN(23)</f>
        <v>XXIII</v>
      </c>
      <c r="J27" s="49"/>
      <c r="K27" s="64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</row>
    <row r="28" spans="1:36" ht="28.5" customHeight="1" x14ac:dyDescent="0.15">
      <c r="A28" s="76"/>
      <c r="B28" s="51"/>
      <c r="C28" s="84"/>
      <c r="D28" s="53">
        <v>16</v>
      </c>
      <c r="E28" s="49" t="s">
        <v>121</v>
      </c>
      <c r="F28" s="49">
        <v>125</v>
      </c>
      <c r="G28" s="49" t="s">
        <v>153</v>
      </c>
      <c r="H28" s="49" t="s">
        <v>145</v>
      </c>
      <c r="I28" s="49" t="str">
        <f t="shared" ref="I28:I32" si="5">ROMAN(3)</f>
        <v>III</v>
      </c>
      <c r="J28" s="49"/>
      <c r="K28" s="64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</row>
    <row r="29" spans="1:36" ht="28.5" customHeight="1" x14ac:dyDescent="0.15">
      <c r="A29" s="76"/>
      <c r="B29" s="51"/>
      <c r="C29" s="84"/>
      <c r="D29" s="53">
        <v>17</v>
      </c>
      <c r="E29" s="49" t="s">
        <v>121</v>
      </c>
      <c r="F29" s="49">
        <v>126</v>
      </c>
      <c r="G29" s="49" t="s">
        <v>154</v>
      </c>
      <c r="H29" s="49" t="s">
        <v>145</v>
      </c>
      <c r="I29" s="49" t="str">
        <f t="shared" si="5"/>
        <v>III</v>
      </c>
      <c r="J29" s="49"/>
      <c r="K29" s="64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</row>
    <row r="30" spans="1:36" ht="28.5" customHeight="1" x14ac:dyDescent="0.15">
      <c r="A30" s="76"/>
      <c r="B30" s="51"/>
      <c r="C30" s="84"/>
      <c r="D30" s="53">
        <v>18</v>
      </c>
      <c r="E30" s="49" t="s">
        <v>121</v>
      </c>
      <c r="F30" s="49">
        <v>154</v>
      </c>
      <c r="G30" s="49" t="s">
        <v>155</v>
      </c>
      <c r="H30" s="49" t="s">
        <v>145</v>
      </c>
      <c r="I30" s="49" t="str">
        <f t="shared" si="5"/>
        <v>III</v>
      </c>
      <c r="J30" s="49"/>
      <c r="K30" s="64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</row>
    <row r="31" spans="1:36" ht="28.5" customHeight="1" x14ac:dyDescent="0.15">
      <c r="A31" s="76"/>
      <c r="B31" s="51"/>
      <c r="C31" s="84"/>
      <c r="D31" s="53">
        <v>19</v>
      </c>
      <c r="E31" s="49" t="s">
        <v>121</v>
      </c>
      <c r="F31" s="49">
        <v>122</v>
      </c>
      <c r="G31" s="49" t="s">
        <v>156</v>
      </c>
      <c r="H31" s="49" t="s">
        <v>145</v>
      </c>
      <c r="I31" s="49" t="str">
        <f t="shared" si="5"/>
        <v>III</v>
      </c>
      <c r="J31" s="49"/>
      <c r="K31" s="64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</row>
    <row r="32" spans="1:36" ht="28.5" customHeight="1" x14ac:dyDescent="0.15">
      <c r="A32" s="61"/>
      <c r="B32" s="51"/>
      <c r="C32" s="85"/>
      <c r="D32" s="53">
        <v>20</v>
      </c>
      <c r="E32" s="49" t="s">
        <v>121</v>
      </c>
      <c r="F32" s="49">
        <v>124</v>
      </c>
      <c r="G32" s="49" t="s">
        <v>157</v>
      </c>
      <c r="H32" s="49" t="s">
        <v>145</v>
      </c>
      <c r="I32" s="49" t="str">
        <f t="shared" si="5"/>
        <v>III</v>
      </c>
      <c r="J32" s="49"/>
      <c r="K32" s="64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</row>
    <row r="33" spans="1:36" ht="28.5" customHeight="1" x14ac:dyDescent="0.15">
      <c r="A33" s="81" t="s">
        <v>93</v>
      </c>
      <c r="B33" s="51">
        <v>5</v>
      </c>
      <c r="C33" s="51" t="str">
        <f t="shared" ref="C33:C34" si="6">ROMAN(B33)</f>
        <v>V</v>
      </c>
      <c r="D33" s="49">
        <v>0</v>
      </c>
      <c r="E33" s="49"/>
      <c r="F33" s="49"/>
      <c r="G33" s="49"/>
      <c r="H33" s="49"/>
      <c r="I33" s="49"/>
      <c r="J33" s="49"/>
      <c r="K33" s="49">
        <f>0</f>
        <v>0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</row>
    <row r="34" spans="1:36" ht="28.5" customHeight="1" x14ac:dyDescent="0.15">
      <c r="A34" s="76"/>
      <c r="B34" s="51">
        <v>6</v>
      </c>
      <c r="C34" s="51" t="str">
        <f t="shared" si="6"/>
        <v>VI</v>
      </c>
      <c r="D34" s="49">
        <v>1</v>
      </c>
      <c r="E34" s="49" t="s">
        <v>121</v>
      </c>
      <c r="F34" s="49">
        <v>640</v>
      </c>
      <c r="G34" s="49" t="s">
        <v>158</v>
      </c>
      <c r="H34" s="49" t="s">
        <v>103</v>
      </c>
      <c r="I34" s="49" t="str">
        <f>ROMAN(5)</f>
        <v>V</v>
      </c>
      <c r="J34" s="49"/>
      <c r="K34" s="49">
        <f t="shared" ref="K34:K35" si="7">D34</f>
        <v>1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</row>
    <row r="35" spans="1:36" ht="28.5" customHeight="1" x14ac:dyDescent="0.15">
      <c r="A35" s="76"/>
      <c r="B35" s="51"/>
      <c r="C35" s="51" t="str">
        <f t="shared" ref="C35:C36" si="8">ROMAN(B39)</f>
        <v>VII</v>
      </c>
      <c r="D35" s="49">
        <v>0</v>
      </c>
      <c r="E35" s="49"/>
      <c r="F35" s="49"/>
      <c r="G35" s="49"/>
      <c r="H35" s="49"/>
      <c r="I35" s="49"/>
      <c r="J35" s="49"/>
      <c r="K35" s="49">
        <f t="shared" si="7"/>
        <v>0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</row>
    <row r="36" spans="1:36" ht="28.5" customHeight="1" x14ac:dyDescent="0.15">
      <c r="A36" s="76"/>
      <c r="B36" s="51"/>
      <c r="C36" s="81" t="str">
        <f t="shared" si="8"/>
        <v>VIII</v>
      </c>
      <c r="D36" s="49">
        <v>1</v>
      </c>
      <c r="E36" s="49" t="s">
        <v>131</v>
      </c>
      <c r="F36" s="49">
        <v>55</v>
      </c>
      <c r="G36" s="49" t="s">
        <v>159</v>
      </c>
      <c r="H36" s="49" t="s">
        <v>160</v>
      </c>
      <c r="I36" s="49" t="str">
        <f>ROMAN(5)</f>
        <v>V</v>
      </c>
      <c r="J36" s="49"/>
      <c r="K36" s="86">
        <f>D37</f>
        <v>2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</row>
    <row r="37" spans="1:36" ht="28.5" customHeight="1" x14ac:dyDescent="0.15">
      <c r="A37" s="76"/>
      <c r="B37" s="51"/>
      <c r="C37" s="61"/>
      <c r="D37" s="49">
        <v>2</v>
      </c>
      <c r="E37" s="49"/>
      <c r="F37" s="49">
        <v>158</v>
      </c>
      <c r="G37" s="49" t="s">
        <v>161</v>
      </c>
      <c r="H37" s="49" t="s">
        <v>160</v>
      </c>
      <c r="I37" s="49" t="str">
        <f t="shared" ref="I37:I38" si="9">ROMAN(6)</f>
        <v>VI</v>
      </c>
      <c r="J37" s="49"/>
      <c r="K37" s="64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</row>
    <row r="38" spans="1:36" ht="28.5" customHeight="1" x14ac:dyDescent="0.15">
      <c r="A38" s="76"/>
      <c r="B38" s="51"/>
      <c r="C38" s="51" t="str">
        <f t="shared" ref="C38:C39" si="10">ROMAN(B41)</f>
        <v>IX</v>
      </c>
      <c r="D38" s="49">
        <v>1</v>
      </c>
      <c r="E38" s="49" t="s">
        <v>131</v>
      </c>
      <c r="F38" s="49">
        <v>414</v>
      </c>
      <c r="G38" s="49" t="s">
        <v>162</v>
      </c>
      <c r="H38" s="49" t="s">
        <v>160</v>
      </c>
      <c r="I38" s="49" t="str">
        <f t="shared" si="9"/>
        <v>VI</v>
      </c>
      <c r="J38" s="49"/>
      <c r="K38" s="49">
        <f>D38</f>
        <v>1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</row>
    <row r="39" spans="1:36" ht="28.5" customHeight="1" x14ac:dyDescent="0.15">
      <c r="A39" s="76"/>
      <c r="B39" s="51">
        <v>7</v>
      </c>
      <c r="C39" s="81" t="str">
        <f t="shared" si="10"/>
        <v>X</v>
      </c>
      <c r="D39" s="49">
        <v>1</v>
      </c>
      <c r="E39" s="49" t="s">
        <v>119</v>
      </c>
      <c r="F39" s="49">
        <v>301</v>
      </c>
      <c r="G39" s="49" t="s">
        <v>163</v>
      </c>
      <c r="H39" s="49" t="s">
        <v>160</v>
      </c>
      <c r="I39" s="49" t="str">
        <f>ROMAN(30)</f>
        <v>XXX</v>
      </c>
      <c r="J39" s="49"/>
      <c r="K39" s="86">
        <f>D48</f>
        <v>10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</row>
    <row r="40" spans="1:36" ht="28.5" customHeight="1" x14ac:dyDescent="0.15">
      <c r="A40" s="76"/>
      <c r="B40" s="51">
        <v>8</v>
      </c>
      <c r="C40" s="76"/>
      <c r="D40" s="49">
        <v>2</v>
      </c>
      <c r="E40" s="49" t="s">
        <v>119</v>
      </c>
      <c r="F40" s="49">
        <v>22</v>
      </c>
      <c r="G40" s="49" t="s">
        <v>164</v>
      </c>
      <c r="H40" s="49" t="s">
        <v>160</v>
      </c>
      <c r="I40" s="49" t="str">
        <f t="shared" ref="I40:I41" si="11">ROMAN(24)</f>
        <v>XXIV</v>
      </c>
      <c r="J40" s="49"/>
      <c r="K40" s="64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</row>
    <row r="41" spans="1:36" ht="28.5" customHeight="1" x14ac:dyDescent="0.15">
      <c r="A41" s="76"/>
      <c r="B41" s="51">
        <v>9</v>
      </c>
      <c r="C41" s="76"/>
      <c r="D41" s="49">
        <v>3</v>
      </c>
      <c r="E41" s="49" t="s">
        <v>119</v>
      </c>
      <c r="F41" s="49">
        <v>75</v>
      </c>
      <c r="G41" s="49" t="s">
        <v>165</v>
      </c>
      <c r="H41" s="49" t="s">
        <v>76</v>
      </c>
      <c r="I41" s="49" t="str">
        <f t="shared" si="11"/>
        <v>XXIV</v>
      </c>
      <c r="J41" s="49"/>
      <c r="K41" s="64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</row>
    <row r="42" spans="1:36" ht="28.5" customHeight="1" x14ac:dyDescent="0.15">
      <c r="A42" s="76"/>
      <c r="B42" s="51">
        <v>10</v>
      </c>
      <c r="C42" s="76"/>
      <c r="D42" s="49">
        <v>4</v>
      </c>
      <c r="E42" s="49" t="s">
        <v>119</v>
      </c>
      <c r="F42" s="49">
        <v>299</v>
      </c>
      <c r="G42" s="49" t="s">
        <v>166</v>
      </c>
      <c r="H42" s="49" t="s">
        <v>160</v>
      </c>
      <c r="I42" s="49" t="str">
        <f>ROMAN(30)</f>
        <v>XXX</v>
      </c>
      <c r="J42" s="49"/>
      <c r="K42" s="64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</row>
    <row r="43" spans="1:36" ht="28.5" customHeight="1" x14ac:dyDescent="0.15">
      <c r="A43" s="76"/>
      <c r="B43" s="51"/>
      <c r="C43" s="76"/>
      <c r="D43" s="49">
        <v>5</v>
      </c>
      <c r="E43" s="49" t="s">
        <v>131</v>
      </c>
      <c r="F43" s="49">
        <v>177</v>
      </c>
      <c r="G43" s="54" t="s">
        <v>167</v>
      </c>
      <c r="H43" s="49" t="s">
        <v>160</v>
      </c>
      <c r="I43" s="49" t="str">
        <f>ROMAN(17)</f>
        <v>XVII</v>
      </c>
      <c r="J43" s="49"/>
      <c r="K43" s="64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</row>
    <row r="44" spans="1:36" ht="28.5" customHeight="1" x14ac:dyDescent="0.15">
      <c r="A44" s="76"/>
      <c r="B44" s="51"/>
      <c r="C44" s="76"/>
      <c r="D44" s="49">
        <v>6</v>
      </c>
      <c r="E44" s="49" t="s">
        <v>131</v>
      </c>
      <c r="F44" s="49">
        <v>477</v>
      </c>
      <c r="G44" s="49" t="s">
        <v>168</v>
      </c>
      <c r="H44" s="49" t="s">
        <v>160</v>
      </c>
      <c r="I44" s="49" t="str">
        <f t="shared" ref="I44:I45" si="12">ROMAN(1)</f>
        <v>I</v>
      </c>
      <c r="J44" s="49"/>
      <c r="K44" s="64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</row>
    <row r="45" spans="1:36" ht="28.5" customHeight="1" x14ac:dyDescent="0.15">
      <c r="A45" s="76"/>
      <c r="B45" s="51"/>
      <c r="C45" s="76"/>
      <c r="D45" s="49">
        <v>7</v>
      </c>
      <c r="E45" s="49" t="s">
        <v>131</v>
      </c>
      <c r="F45" s="49">
        <v>8</v>
      </c>
      <c r="G45" s="49" t="s">
        <v>169</v>
      </c>
      <c r="H45" s="49" t="s">
        <v>160</v>
      </c>
      <c r="I45" s="49" t="str">
        <f t="shared" si="12"/>
        <v>I</v>
      </c>
      <c r="J45" s="49"/>
      <c r="K45" s="64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</row>
    <row r="46" spans="1:36" ht="28.5" customHeight="1" x14ac:dyDescent="0.15">
      <c r="A46" s="76"/>
      <c r="B46" s="51"/>
      <c r="C46" s="76"/>
      <c r="D46" s="49">
        <v>8</v>
      </c>
      <c r="E46" s="49" t="s">
        <v>131</v>
      </c>
      <c r="F46" s="49">
        <v>83</v>
      </c>
      <c r="G46" s="49" t="s">
        <v>170</v>
      </c>
      <c r="H46" s="49" t="s">
        <v>171</v>
      </c>
      <c r="I46" s="49" t="str">
        <f>ROMAN(24)</f>
        <v>XXIV</v>
      </c>
      <c r="J46" s="49"/>
      <c r="K46" s="64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6" ht="28.5" customHeight="1" x14ac:dyDescent="0.15">
      <c r="A47" s="76"/>
      <c r="B47" s="51"/>
      <c r="C47" s="76"/>
      <c r="D47" s="49">
        <v>9</v>
      </c>
      <c r="E47" s="49" t="s">
        <v>131</v>
      </c>
      <c r="F47" s="49">
        <v>9</v>
      </c>
      <c r="G47" s="49" t="s">
        <v>172</v>
      </c>
      <c r="H47" s="49" t="s">
        <v>160</v>
      </c>
      <c r="I47" s="49" t="str">
        <f t="shared" ref="I47:I48" si="13">ROMAN(1)</f>
        <v>I</v>
      </c>
      <c r="J47" s="49"/>
      <c r="K47" s="64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</row>
    <row r="48" spans="1:36" ht="28.5" customHeight="1" x14ac:dyDescent="0.15">
      <c r="A48" s="61"/>
      <c r="B48" s="51"/>
      <c r="C48" s="61"/>
      <c r="D48" s="49">
        <v>10</v>
      </c>
      <c r="E48" s="49" t="s">
        <v>131</v>
      </c>
      <c r="F48" s="49">
        <v>92</v>
      </c>
      <c r="G48" s="49" t="s">
        <v>173</v>
      </c>
      <c r="H48" s="49" t="s">
        <v>160</v>
      </c>
      <c r="I48" s="49" t="str">
        <f t="shared" si="13"/>
        <v>I</v>
      </c>
      <c r="J48" s="49"/>
      <c r="K48" s="64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</row>
    <row r="49" spans="1:36" ht="28.5" customHeight="1" x14ac:dyDescent="0.15">
      <c r="A49" s="81" t="s">
        <v>94</v>
      </c>
      <c r="B49" s="51">
        <v>11</v>
      </c>
      <c r="C49" s="51" t="str">
        <f t="shared" ref="C49:C51" si="14">ROMAN(B49)</f>
        <v>XI</v>
      </c>
      <c r="D49" s="49">
        <v>0</v>
      </c>
      <c r="E49" s="49"/>
      <c r="F49" s="49"/>
      <c r="G49" s="49"/>
      <c r="H49" s="49"/>
      <c r="I49" s="49"/>
      <c r="J49" s="49"/>
      <c r="K49" s="49">
        <f t="shared" ref="K49:K51" si="15">D49</f>
        <v>0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</row>
    <row r="50" spans="1:36" ht="28.5" customHeight="1" x14ac:dyDescent="0.15">
      <c r="A50" s="76"/>
      <c r="B50" s="51">
        <v>12</v>
      </c>
      <c r="C50" s="51" t="str">
        <f t="shared" si="14"/>
        <v>XII</v>
      </c>
      <c r="D50" s="49">
        <v>0</v>
      </c>
      <c r="E50" s="49"/>
      <c r="F50" s="49"/>
      <c r="G50" s="49"/>
      <c r="H50" s="49"/>
      <c r="I50" s="49"/>
      <c r="J50" s="49"/>
      <c r="K50" s="49">
        <f t="shared" si="15"/>
        <v>0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</row>
    <row r="51" spans="1:36" ht="28.5" customHeight="1" x14ac:dyDescent="0.15">
      <c r="A51" s="76"/>
      <c r="B51" s="51">
        <v>13</v>
      </c>
      <c r="C51" s="50" t="str">
        <f t="shared" si="14"/>
        <v>XIII</v>
      </c>
      <c r="D51" s="13">
        <v>0</v>
      </c>
      <c r="K51" s="49">
        <f t="shared" si="15"/>
        <v>0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</row>
    <row r="52" spans="1:36" ht="28.5" customHeight="1" x14ac:dyDescent="0.15">
      <c r="A52" s="76"/>
      <c r="B52" s="51"/>
      <c r="C52" s="81" t="str">
        <f>ROMAN(B54)</f>
        <v>XIV</v>
      </c>
      <c r="D52" s="49">
        <v>1</v>
      </c>
      <c r="E52" s="49" t="s">
        <v>131</v>
      </c>
      <c r="F52" s="49">
        <v>45</v>
      </c>
      <c r="G52" s="49" t="s">
        <v>174</v>
      </c>
      <c r="H52" s="49" t="s">
        <v>160</v>
      </c>
      <c r="I52" s="49" t="str">
        <f t="shared" ref="I52:I54" si="16">ROMAN(4)</f>
        <v>IV</v>
      </c>
      <c r="J52" s="49"/>
      <c r="K52" s="86">
        <f>D54</f>
        <v>3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</row>
    <row r="53" spans="1:36" ht="28.5" customHeight="1" x14ac:dyDescent="0.15">
      <c r="A53" s="76"/>
      <c r="B53" s="51"/>
      <c r="C53" s="76"/>
      <c r="D53" s="49">
        <v>2</v>
      </c>
      <c r="E53" s="49" t="s">
        <v>121</v>
      </c>
      <c r="F53" s="49">
        <v>163</v>
      </c>
      <c r="G53" s="49" t="s">
        <v>175</v>
      </c>
      <c r="H53" s="49" t="s">
        <v>160</v>
      </c>
      <c r="I53" s="49" t="str">
        <f t="shared" si="16"/>
        <v>IV</v>
      </c>
      <c r="J53" s="49"/>
      <c r="K53" s="64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</row>
    <row r="54" spans="1:36" ht="28.5" customHeight="1" x14ac:dyDescent="0.15">
      <c r="A54" s="76"/>
      <c r="B54" s="51">
        <v>14</v>
      </c>
      <c r="C54" s="76"/>
      <c r="D54" s="49">
        <v>3</v>
      </c>
      <c r="E54" s="49" t="s">
        <v>121</v>
      </c>
      <c r="F54" s="49">
        <v>106</v>
      </c>
      <c r="G54" s="49" t="s">
        <v>176</v>
      </c>
      <c r="H54" s="49" t="s">
        <v>160</v>
      </c>
      <c r="I54" s="49" t="str">
        <f t="shared" si="16"/>
        <v>IV</v>
      </c>
      <c r="J54" s="49"/>
      <c r="K54" s="64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</row>
    <row r="55" spans="1:36" ht="28.5" customHeight="1" x14ac:dyDescent="0.15">
      <c r="A55" s="76"/>
      <c r="B55" s="51"/>
      <c r="C55" s="81" t="str">
        <f>ROMAN(B58)</f>
        <v>XV</v>
      </c>
      <c r="D55" s="49">
        <v>1</v>
      </c>
      <c r="E55" s="13" t="s">
        <v>131</v>
      </c>
      <c r="F55" s="13">
        <v>51</v>
      </c>
      <c r="G55" s="13" t="s">
        <v>177</v>
      </c>
      <c r="H55" s="13" t="s">
        <v>160</v>
      </c>
      <c r="I55" s="13" t="str">
        <f t="shared" ref="I55:I56" si="17">ROMAN(11)</f>
        <v>XI</v>
      </c>
      <c r="J55" s="49"/>
      <c r="K55" s="86">
        <f>D56</f>
        <v>2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</row>
    <row r="56" spans="1:36" ht="28.5" customHeight="1" x14ac:dyDescent="0.15">
      <c r="A56" s="76"/>
      <c r="B56" s="51"/>
      <c r="C56" s="76"/>
      <c r="D56" s="49">
        <v>2</v>
      </c>
      <c r="E56" s="13" t="s">
        <v>121</v>
      </c>
      <c r="F56" s="13">
        <v>13</v>
      </c>
      <c r="G56" s="13" t="s">
        <v>178</v>
      </c>
      <c r="H56" s="13" t="s">
        <v>179</v>
      </c>
      <c r="I56" s="13" t="str">
        <f t="shared" si="17"/>
        <v>XI</v>
      </c>
      <c r="J56" s="49"/>
      <c r="K56" s="64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</row>
    <row r="57" spans="1:36" ht="28.5" customHeight="1" x14ac:dyDescent="0.15">
      <c r="A57" s="76"/>
      <c r="B57" s="51"/>
      <c r="C57" s="81" t="str">
        <f>ROMAN(B59)</f>
        <v>XVI</v>
      </c>
      <c r="D57" s="49">
        <v>1</v>
      </c>
      <c r="E57" s="13" t="s">
        <v>121</v>
      </c>
      <c r="F57" s="13">
        <v>74</v>
      </c>
      <c r="G57" s="13" t="s">
        <v>180</v>
      </c>
      <c r="H57" s="13" t="s">
        <v>179</v>
      </c>
      <c r="I57" s="13" t="str">
        <f>ROMAN(29)</f>
        <v>XXIX</v>
      </c>
      <c r="J57" s="49"/>
      <c r="K57" s="86">
        <f>D58</f>
        <v>2</v>
      </c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</row>
    <row r="58" spans="1:36" ht="28.5" customHeight="1" x14ac:dyDescent="0.15">
      <c r="A58" s="76"/>
      <c r="B58" s="51">
        <v>15</v>
      </c>
      <c r="C58" s="76"/>
      <c r="D58" s="49">
        <v>2</v>
      </c>
      <c r="E58" s="13" t="s">
        <v>121</v>
      </c>
      <c r="F58" s="13">
        <v>270</v>
      </c>
      <c r="G58" s="13" t="s">
        <v>181</v>
      </c>
      <c r="H58" s="13" t="s">
        <v>179</v>
      </c>
      <c r="I58" s="13" t="s">
        <v>182</v>
      </c>
      <c r="J58" s="49"/>
      <c r="K58" s="64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</row>
    <row r="59" spans="1:36" ht="28.5" customHeight="1" x14ac:dyDescent="0.15">
      <c r="A59" s="76"/>
      <c r="B59" s="51">
        <v>16</v>
      </c>
      <c r="C59" s="81" t="str">
        <f>ROMAN(B61)</f>
        <v>XVII</v>
      </c>
      <c r="D59" s="49">
        <v>1</v>
      </c>
      <c r="E59" s="13" t="s">
        <v>121</v>
      </c>
      <c r="F59" s="13">
        <v>69</v>
      </c>
      <c r="G59" s="13" t="s">
        <v>183</v>
      </c>
      <c r="H59" s="13" t="s">
        <v>179</v>
      </c>
      <c r="I59" s="13" t="str">
        <f>ROMAN(1)</f>
        <v>I</v>
      </c>
      <c r="J59" s="49"/>
      <c r="K59" s="86">
        <f>D61</f>
        <v>3</v>
      </c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</row>
    <row r="60" spans="1:36" ht="28.5" customHeight="1" x14ac:dyDescent="0.15">
      <c r="A60" s="76"/>
      <c r="B60" s="51"/>
      <c r="C60" s="76"/>
      <c r="D60" s="49">
        <v>2</v>
      </c>
      <c r="E60" s="49" t="s">
        <v>121</v>
      </c>
      <c r="F60" s="49">
        <v>58</v>
      </c>
      <c r="G60" s="49" t="s">
        <v>184</v>
      </c>
      <c r="H60" s="49" t="s">
        <v>179</v>
      </c>
      <c r="I60" s="49" t="str">
        <f>ROMAN(4)</f>
        <v>IV</v>
      </c>
      <c r="J60" s="49"/>
      <c r="K60" s="64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</row>
    <row r="61" spans="1:36" ht="28.5" customHeight="1" x14ac:dyDescent="0.15">
      <c r="A61" s="76"/>
      <c r="B61" s="51">
        <v>17</v>
      </c>
      <c r="C61" s="61"/>
      <c r="D61" s="49">
        <v>3</v>
      </c>
      <c r="E61" s="49" t="s">
        <v>121</v>
      </c>
      <c r="F61" s="49">
        <v>68</v>
      </c>
      <c r="G61" s="49" t="s">
        <v>185</v>
      </c>
      <c r="H61" s="49" t="s">
        <v>179</v>
      </c>
      <c r="I61" s="49" t="str">
        <f>ROMAN(1)</f>
        <v>I</v>
      </c>
      <c r="J61" s="49"/>
      <c r="K61" s="64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</row>
    <row r="62" spans="1:36" ht="28.5" customHeight="1" x14ac:dyDescent="0.15">
      <c r="A62" s="76"/>
      <c r="B62" s="51"/>
      <c r="C62" s="81" t="str">
        <f>ROMAN(B68)</f>
        <v>XVIII</v>
      </c>
      <c r="D62" s="49">
        <v>1</v>
      </c>
      <c r="E62" s="49" t="s">
        <v>131</v>
      </c>
      <c r="F62" s="13">
        <v>146</v>
      </c>
      <c r="G62" s="13" t="s">
        <v>186</v>
      </c>
      <c r="H62" s="13" t="s">
        <v>179</v>
      </c>
      <c r="I62" s="13" t="str">
        <f>ROMAN(7)</f>
        <v>VII</v>
      </c>
      <c r="J62" s="49" t="str">
        <f>ROMAN(15)</f>
        <v>XV</v>
      </c>
      <c r="K62" s="86">
        <f>D66</f>
        <v>5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</row>
    <row r="63" spans="1:36" ht="28.5" customHeight="1" x14ac:dyDescent="0.15">
      <c r="A63" s="76"/>
      <c r="B63" s="51"/>
      <c r="C63" s="76"/>
      <c r="D63" s="49">
        <v>2</v>
      </c>
      <c r="E63" s="49" t="s">
        <v>131</v>
      </c>
      <c r="F63" s="49">
        <v>36</v>
      </c>
      <c r="G63" s="49" t="s">
        <v>187</v>
      </c>
      <c r="H63" s="49" t="s">
        <v>179</v>
      </c>
      <c r="I63" s="49" t="str">
        <f>ROMAN(4)</f>
        <v>IV</v>
      </c>
      <c r="J63" s="49"/>
      <c r="K63" s="64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</row>
    <row r="64" spans="1:36" ht="28.5" customHeight="1" x14ac:dyDescent="0.15">
      <c r="A64" s="76"/>
      <c r="B64" s="51"/>
      <c r="C64" s="76"/>
      <c r="D64" s="49">
        <v>3</v>
      </c>
      <c r="E64" s="49" t="s">
        <v>131</v>
      </c>
      <c r="F64" s="49">
        <v>8</v>
      </c>
      <c r="G64" s="49" t="s">
        <v>188</v>
      </c>
      <c r="H64" s="49" t="s">
        <v>179</v>
      </c>
      <c r="I64" s="49" t="str">
        <f t="shared" ref="I64:I66" si="18">ROMAN(12)</f>
        <v>XII</v>
      </c>
      <c r="J64" s="49" t="str">
        <f t="shared" ref="J64:J66" si="19">ROMAN(15)</f>
        <v>XV</v>
      </c>
      <c r="K64" s="64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</row>
    <row r="65" spans="1:36" ht="28.5" customHeight="1" x14ac:dyDescent="0.15">
      <c r="A65" s="76"/>
      <c r="B65" s="51"/>
      <c r="C65" s="76"/>
      <c r="D65" s="49">
        <v>4</v>
      </c>
      <c r="E65" s="49" t="s">
        <v>131</v>
      </c>
      <c r="F65" s="49">
        <v>21</v>
      </c>
      <c r="G65" s="49" t="s">
        <v>189</v>
      </c>
      <c r="H65" s="49" t="s">
        <v>179</v>
      </c>
      <c r="I65" s="49" t="str">
        <f t="shared" si="18"/>
        <v>XII</v>
      </c>
      <c r="J65" s="49" t="str">
        <f t="shared" si="19"/>
        <v>XV</v>
      </c>
      <c r="K65" s="64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</row>
    <row r="66" spans="1:36" ht="28.5" customHeight="1" x14ac:dyDescent="0.15">
      <c r="A66" s="76"/>
      <c r="B66" s="51"/>
      <c r="C66" s="61"/>
      <c r="D66" s="49">
        <v>5</v>
      </c>
      <c r="E66" s="49" t="s">
        <v>131</v>
      </c>
      <c r="F66" s="49">
        <v>148</v>
      </c>
      <c r="G66" s="49" t="s">
        <v>190</v>
      </c>
      <c r="H66" s="49" t="s">
        <v>179</v>
      </c>
      <c r="I66" s="49" t="str">
        <f t="shared" si="18"/>
        <v>XII</v>
      </c>
      <c r="J66" s="49" t="str">
        <f t="shared" si="19"/>
        <v>XV</v>
      </c>
      <c r="K66" s="64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</row>
    <row r="67" spans="1:36" ht="28.5" customHeight="1" x14ac:dyDescent="0.15">
      <c r="A67" s="76"/>
      <c r="B67" s="51"/>
      <c r="C67" s="51" t="str">
        <f t="shared" ref="C67:C68" si="20">ROMAN(B69)</f>
        <v>XIX</v>
      </c>
      <c r="D67" s="49" t="s">
        <v>191</v>
      </c>
      <c r="E67" s="49"/>
      <c r="F67" s="49"/>
      <c r="G67" s="49"/>
      <c r="H67" s="49"/>
      <c r="I67" s="49"/>
      <c r="J67" s="49"/>
      <c r="K67" s="49">
        <v>0</v>
      </c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</row>
    <row r="68" spans="1:36" ht="28.5" customHeight="1" x14ac:dyDescent="0.15">
      <c r="A68" s="76"/>
      <c r="B68" s="51">
        <v>18</v>
      </c>
      <c r="C68" s="81" t="str">
        <f t="shared" si="20"/>
        <v>XX</v>
      </c>
      <c r="D68" s="49">
        <v>1</v>
      </c>
      <c r="E68" s="49" t="s">
        <v>119</v>
      </c>
      <c r="F68" s="49">
        <v>197</v>
      </c>
      <c r="G68" s="49" t="s">
        <v>192</v>
      </c>
      <c r="H68" s="49" t="s">
        <v>179</v>
      </c>
      <c r="I68" s="49" t="str">
        <f>ROMAN(16)</f>
        <v>XVI</v>
      </c>
      <c r="J68" s="49"/>
      <c r="K68" s="86">
        <f>D72</f>
        <v>5</v>
      </c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</row>
    <row r="69" spans="1:36" ht="28.5" customHeight="1" x14ac:dyDescent="0.15">
      <c r="A69" s="76"/>
      <c r="B69" s="51">
        <v>19</v>
      </c>
      <c r="C69" s="76"/>
      <c r="D69" s="49">
        <v>2</v>
      </c>
      <c r="E69" s="49" t="s">
        <v>119</v>
      </c>
      <c r="F69" s="49">
        <v>224</v>
      </c>
      <c r="G69" s="49" t="s">
        <v>193</v>
      </c>
      <c r="H69" s="49" t="s">
        <v>179</v>
      </c>
      <c r="I69" s="49" t="str">
        <f>ROMAN(26)</f>
        <v>XXVI</v>
      </c>
      <c r="J69" s="49"/>
      <c r="K69" s="64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</row>
    <row r="70" spans="1:36" ht="28.5" customHeight="1" x14ac:dyDescent="0.15">
      <c r="A70" s="76"/>
      <c r="B70" s="51">
        <v>20</v>
      </c>
      <c r="C70" s="76"/>
      <c r="D70" s="49">
        <v>3</v>
      </c>
      <c r="E70" s="49" t="s">
        <v>119</v>
      </c>
      <c r="F70" s="49">
        <v>307</v>
      </c>
      <c r="G70" s="49" t="s">
        <v>194</v>
      </c>
      <c r="H70" s="49" t="s">
        <v>179</v>
      </c>
      <c r="I70" s="49" t="str">
        <f>ROMAN(12)</f>
        <v>XII</v>
      </c>
      <c r="J70" s="49" t="str">
        <f>ROMAN(16)</f>
        <v>XVI</v>
      </c>
      <c r="K70" s="64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</row>
    <row r="71" spans="1:36" ht="28.5" customHeight="1" x14ac:dyDescent="0.15">
      <c r="A71" s="76"/>
      <c r="B71" s="51"/>
      <c r="C71" s="76"/>
      <c r="D71" s="49">
        <v>4</v>
      </c>
      <c r="E71" s="49" t="s">
        <v>119</v>
      </c>
      <c r="F71" s="49">
        <v>228</v>
      </c>
      <c r="G71" s="49" t="s">
        <v>195</v>
      </c>
      <c r="H71" s="49" t="s">
        <v>179</v>
      </c>
      <c r="I71" s="49" t="str">
        <f t="shared" ref="I71:I72" si="21">ROMAN(16)</f>
        <v>XVI</v>
      </c>
      <c r="J71" s="49"/>
      <c r="K71" s="64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</row>
    <row r="72" spans="1:36" ht="28.5" customHeight="1" x14ac:dyDescent="0.15">
      <c r="A72" s="61"/>
      <c r="B72" s="51"/>
      <c r="C72" s="61"/>
      <c r="D72" s="49">
        <v>5</v>
      </c>
      <c r="E72" s="49" t="s">
        <v>119</v>
      </c>
      <c r="F72" s="49">
        <v>205</v>
      </c>
      <c r="G72" s="49" t="s">
        <v>196</v>
      </c>
      <c r="H72" s="49" t="s">
        <v>179</v>
      </c>
      <c r="I72" s="49" t="str">
        <f t="shared" si="21"/>
        <v>XVI</v>
      </c>
      <c r="J72" s="49"/>
      <c r="K72" s="64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</row>
    <row r="73" spans="1:36" ht="28.5" customHeight="1" x14ac:dyDescent="0.15">
      <c r="A73" s="81" t="s">
        <v>95</v>
      </c>
      <c r="B73" s="51">
        <v>21</v>
      </c>
      <c r="C73" s="81" t="str">
        <f>ROMAN(B73)</f>
        <v>XXI</v>
      </c>
      <c r="D73" s="49">
        <v>1</v>
      </c>
      <c r="E73" s="49" t="s">
        <v>119</v>
      </c>
      <c r="F73" s="49">
        <v>113</v>
      </c>
      <c r="G73" s="49" t="s">
        <v>197</v>
      </c>
      <c r="H73" s="49" t="s">
        <v>179</v>
      </c>
      <c r="I73" s="49" t="str">
        <f t="shared" ref="I73:I96" si="22">ROMAN(22)</f>
        <v>XXII</v>
      </c>
      <c r="J73" s="49"/>
      <c r="K73" s="86">
        <f>D151</f>
        <v>79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</row>
    <row r="74" spans="1:36" ht="28.5" customHeight="1" x14ac:dyDescent="0.15">
      <c r="A74" s="76"/>
      <c r="B74" s="51"/>
      <c r="C74" s="76"/>
      <c r="D74" s="49">
        <v>2</v>
      </c>
      <c r="E74" s="49" t="s">
        <v>131</v>
      </c>
      <c r="F74" s="49">
        <v>193</v>
      </c>
      <c r="G74" s="49" t="s">
        <v>198</v>
      </c>
      <c r="H74" s="49" t="s">
        <v>179</v>
      </c>
      <c r="I74" s="49" t="str">
        <f t="shared" si="22"/>
        <v>XXII</v>
      </c>
      <c r="J74" s="49"/>
      <c r="K74" s="64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</row>
    <row r="75" spans="1:36" ht="28.5" customHeight="1" x14ac:dyDescent="0.15">
      <c r="A75" s="76"/>
      <c r="B75" s="51"/>
      <c r="C75" s="76"/>
      <c r="D75" s="49">
        <v>3</v>
      </c>
      <c r="E75" s="49" t="s">
        <v>131</v>
      </c>
      <c r="F75" s="49">
        <v>192</v>
      </c>
      <c r="G75" s="49" t="s">
        <v>199</v>
      </c>
      <c r="H75" s="49" t="s">
        <v>179</v>
      </c>
      <c r="I75" s="49" t="str">
        <f t="shared" si="22"/>
        <v>XXII</v>
      </c>
      <c r="J75" s="49"/>
      <c r="K75" s="64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</row>
    <row r="76" spans="1:36" ht="28.5" customHeight="1" x14ac:dyDescent="0.15">
      <c r="A76" s="76"/>
      <c r="B76" s="51"/>
      <c r="C76" s="76"/>
      <c r="D76" s="49">
        <v>4</v>
      </c>
      <c r="E76" s="49" t="s">
        <v>131</v>
      </c>
      <c r="F76" s="49">
        <v>240</v>
      </c>
      <c r="G76" s="49" t="s">
        <v>200</v>
      </c>
      <c r="H76" s="49" t="s">
        <v>179</v>
      </c>
      <c r="I76" s="49" t="str">
        <f t="shared" si="22"/>
        <v>XXII</v>
      </c>
      <c r="J76" s="49"/>
      <c r="K76" s="64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</row>
    <row r="77" spans="1:36" ht="28.5" customHeight="1" x14ac:dyDescent="0.15">
      <c r="A77" s="76"/>
      <c r="B77" s="51"/>
      <c r="C77" s="76"/>
      <c r="D77" s="49">
        <v>5</v>
      </c>
      <c r="E77" s="49" t="s">
        <v>131</v>
      </c>
      <c r="F77" s="49">
        <v>115</v>
      </c>
      <c r="G77" s="49" t="s">
        <v>201</v>
      </c>
      <c r="H77" s="49" t="s">
        <v>179</v>
      </c>
      <c r="I77" s="49" t="str">
        <f t="shared" si="22"/>
        <v>XXII</v>
      </c>
      <c r="J77" s="49"/>
      <c r="K77" s="64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</row>
    <row r="78" spans="1:36" ht="28.5" customHeight="1" x14ac:dyDescent="0.15">
      <c r="A78" s="76"/>
      <c r="B78" s="51"/>
      <c r="C78" s="76"/>
      <c r="D78" s="49">
        <v>6</v>
      </c>
      <c r="E78" s="49" t="s">
        <v>131</v>
      </c>
      <c r="F78" s="49">
        <v>203</v>
      </c>
      <c r="G78" s="49" t="s">
        <v>202</v>
      </c>
      <c r="H78" s="49" t="s">
        <v>179</v>
      </c>
      <c r="I78" s="49" t="str">
        <f t="shared" si="22"/>
        <v>XXII</v>
      </c>
      <c r="J78" s="49"/>
      <c r="K78" s="64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</row>
    <row r="79" spans="1:36" ht="28.5" customHeight="1" x14ac:dyDescent="0.15">
      <c r="A79" s="76"/>
      <c r="B79" s="51"/>
      <c r="C79" s="76"/>
      <c r="D79" s="49">
        <v>7</v>
      </c>
      <c r="E79" s="49" t="s">
        <v>131</v>
      </c>
      <c r="F79" s="49">
        <v>114</v>
      </c>
      <c r="G79" s="49" t="s">
        <v>203</v>
      </c>
      <c r="H79" s="49" t="s">
        <v>179</v>
      </c>
      <c r="I79" s="49" t="str">
        <f t="shared" si="22"/>
        <v>XXII</v>
      </c>
      <c r="J79" s="49"/>
      <c r="K79" s="64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</row>
    <row r="80" spans="1:36" ht="28.5" customHeight="1" x14ac:dyDescent="0.15">
      <c r="A80" s="76"/>
      <c r="B80" s="51"/>
      <c r="C80" s="76"/>
      <c r="D80" s="49">
        <v>8</v>
      </c>
      <c r="E80" s="49" t="s">
        <v>131</v>
      </c>
      <c r="F80" s="49">
        <v>194</v>
      </c>
      <c r="G80" s="49" t="s">
        <v>204</v>
      </c>
      <c r="H80" s="49" t="s">
        <v>179</v>
      </c>
      <c r="I80" s="49" t="str">
        <f t="shared" si="22"/>
        <v>XXII</v>
      </c>
      <c r="J80" s="49"/>
      <c r="K80" s="64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</row>
    <row r="81" spans="1:36" ht="28.5" customHeight="1" x14ac:dyDescent="0.15">
      <c r="A81" s="76"/>
      <c r="B81" s="51"/>
      <c r="C81" s="76"/>
      <c r="D81" s="49">
        <v>9</v>
      </c>
      <c r="E81" s="49" t="s">
        <v>131</v>
      </c>
      <c r="F81" s="49">
        <v>226</v>
      </c>
      <c r="G81" s="49" t="s">
        <v>205</v>
      </c>
      <c r="H81" s="49" t="s">
        <v>179</v>
      </c>
      <c r="I81" s="49" t="str">
        <f t="shared" si="22"/>
        <v>XXII</v>
      </c>
      <c r="J81" s="49"/>
      <c r="K81" s="64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</row>
    <row r="82" spans="1:36" ht="28.5" customHeight="1" x14ac:dyDescent="0.15">
      <c r="A82" s="76"/>
      <c r="B82" s="51"/>
      <c r="C82" s="76"/>
      <c r="D82" s="49">
        <v>10</v>
      </c>
      <c r="E82" s="49" t="s">
        <v>131</v>
      </c>
      <c r="F82" s="49">
        <v>146</v>
      </c>
      <c r="G82" s="49" t="s">
        <v>206</v>
      </c>
      <c r="H82" s="49" t="s">
        <v>179</v>
      </c>
      <c r="I82" s="49" t="str">
        <f t="shared" si="22"/>
        <v>XXII</v>
      </c>
      <c r="J82" s="49"/>
      <c r="K82" s="64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</row>
    <row r="83" spans="1:36" ht="28.5" customHeight="1" x14ac:dyDescent="0.15">
      <c r="A83" s="76"/>
      <c r="B83" s="51"/>
      <c r="C83" s="76"/>
      <c r="D83" s="49">
        <v>11</v>
      </c>
      <c r="E83" s="49" t="s">
        <v>131</v>
      </c>
      <c r="F83" s="49">
        <v>135</v>
      </c>
      <c r="G83" s="49" t="s">
        <v>207</v>
      </c>
      <c r="H83" s="49" t="s">
        <v>179</v>
      </c>
      <c r="I83" s="49" t="str">
        <f t="shared" si="22"/>
        <v>XXII</v>
      </c>
      <c r="J83" s="49"/>
      <c r="K83" s="64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</row>
    <row r="84" spans="1:36" ht="28.5" customHeight="1" x14ac:dyDescent="0.15">
      <c r="A84" s="76"/>
      <c r="B84" s="51"/>
      <c r="C84" s="76"/>
      <c r="D84" s="49">
        <v>12</v>
      </c>
      <c r="E84" s="49" t="s">
        <v>131</v>
      </c>
      <c r="F84" s="49">
        <v>188</v>
      </c>
      <c r="G84" s="49" t="s">
        <v>208</v>
      </c>
      <c r="H84" s="49" t="s">
        <v>179</v>
      </c>
      <c r="I84" s="49" t="str">
        <f t="shared" si="22"/>
        <v>XXII</v>
      </c>
      <c r="J84" s="49"/>
      <c r="K84" s="64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</row>
    <row r="85" spans="1:36" ht="28.5" customHeight="1" x14ac:dyDescent="0.15">
      <c r="A85" s="76"/>
      <c r="B85" s="51"/>
      <c r="C85" s="76"/>
      <c r="D85" s="49">
        <v>13</v>
      </c>
      <c r="E85" s="49" t="s">
        <v>131</v>
      </c>
      <c r="F85" s="49">
        <v>181</v>
      </c>
      <c r="G85" s="49" t="s">
        <v>209</v>
      </c>
      <c r="H85" s="49" t="s">
        <v>179</v>
      </c>
      <c r="I85" s="49" t="str">
        <f t="shared" si="22"/>
        <v>XXII</v>
      </c>
      <c r="J85" s="49"/>
      <c r="K85" s="64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</row>
    <row r="86" spans="1:36" ht="28.5" customHeight="1" x14ac:dyDescent="0.15">
      <c r="A86" s="76"/>
      <c r="B86" s="51"/>
      <c r="C86" s="76"/>
      <c r="D86" s="49">
        <v>14</v>
      </c>
      <c r="E86" s="49" t="s">
        <v>131</v>
      </c>
      <c r="F86" s="49">
        <v>228</v>
      </c>
      <c r="G86" s="49" t="s">
        <v>210</v>
      </c>
      <c r="H86" s="49" t="s">
        <v>179</v>
      </c>
      <c r="I86" s="49" t="str">
        <f t="shared" si="22"/>
        <v>XXII</v>
      </c>
      <c r="J86" s="49"/>
      <c r="K86" s="64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</row>
    <row r="87" spans="1:36" ht="28.5" customHeight="1" x14ac:dyDescent="0.15">
      <c r="A87" s="76"/>
      <c r="B87" s="51"/>
      <c r="C87" s="76"/>
      <c r="D87" s="49">
        <v>15</v>
      </c>
      <c r="E87" s="49" t="s">
        <v>131</v>
      </c>
      <c r="F87" s="49">
        <v>215</v>
      </c>
      <c r="G87" s="49" t="s">
        <v>211</v>
      </c>
      <c r="H87" s="49" t="s">
        <v>179</v>
      </c>
      <c r="I87" s="49" t="str">
        <f t="shared" si="22"/>
        <v>XXII</v>
      </c>
      <c r="J87" s="49"/>
      <c r="K87" s="64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</row>
    <row r="88" spans="1:36" ht="28.5" customHeight="1" x14ac:dyDescent="0.15">
      <c r="A88" s="76"/>
      <c r="B88" s="51"/>
      <c r="C88" s="76"/>
      <c r="D88" s="49">
        <v>16</v>
      </c>
      <c r="E88" s="49" t="s">
        <v>131</v>
      </c>
      <c r="F88" s="49">
        <v>191</v>
      </c>
      <c r="G88" s="49" t="s">
        <v>212</v>
      </c>
      <c r="H88" s="49" t="s">
        <v>179</v>
      </c>
      <c r="I88" s="49" t="str">
        <f t="shared" si="22"/>
        <v>XXII</v>
      </c>
      <c r="J88" s="49"/>
      <c r="K88" s="64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</row>
    <row r="89" spans="1:36" ht="28.5" customHeight="1" x14ac:dyDescent="0.15">
      <c r="A89" s="76"/>
      <c r="B89" s="51"/>
      <c r="C89" s="76"/>
      <c r="D89" s="49">
        <v>17</v>
      </c>
      <c r="E89" s="49" t="s">
        <v>131</v>
      </c>
      <c r="F89" s="49">
        <v>209</v>
      </c>
      <c r="G89" s="49" t="s">
        <v>213</v>
      </c>
      <c r="H89" s="49" t="s">
        <v>179</v>
      </c>
      <c r="I89" s="49" t="str">
        <f t="shared" si="22"/>
        <v>XXII</v>
      </c>
      <c r="J89" s="49"/>
      <c r="K89" s="64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</row>
    <row r="90" spans="1:36" ht="28.5" customHeight="1" x14ac:dyDescent="0.15">
      <c r="A90" s="76"/>
      <c r="B90" s="51"/>
      <c r="C90" s="76"/>
      <c r="D90" s="49">
        <v>18</v>
      </c>
      <c r="E90" s="49" t="s">
        <v>131</v>
      </c>
      <c r="F90" s="49">
        <v>109</v>
      </c>
      <c r="G90" s="49" t="s">
        <v>214</v>
      </c>
      <c r="H90" s="49" t="s">
        <v>179</v>
      </c>
      <c r="I90" s="49" t="str">
        <f t="shared" si="22"/>
        <v>XXII</v>
      </c>
      <c r="J90" s="49"/>
      <c r="K90" s="64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</row>
    <row r="91" spans="1:36" ht="28.5" customHeight="1" x14ac:dyDescent="0.15">
      <c r="A91" s="76"/>
      <c r="B91" s="51"/>
      <c r="C91" s="76"/>
      <c r="D91" s="49">
        <v>19</v>
      </c>
      <c r="E91" s="49" t="s">
        <v>131</v>
      </c>
      <c r="F91" s="49">
        <v>187</v>
      </c>
      <c r="G91" s="49" t="s">
        <v>215</v>
      </c>
      <c r="H91" s="49" t="s">
        <v>179</v>
      </c>
      <c r="I91" s="49" t="str">
        <f t="shared" si="22"/>
        <v>XXII</v>
      </c>
      <c r="J91" s="49"/>
      <c r="K91" s="64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</row>
    <row r="92" spans="1:36" ht="28.5" customHeight="1" x14ac:dyDescent="0.15">
      <c r="A92" s="76"/>
      <c r="B92" s="51"/>
      <c r="C92" s="76"/>
      <c r="D92" s="49">
        <v>20</v>
      </c>
      <c r="E92" s="49" t="s">
        <v>131</v>
      </c>
      <c r="F92" s="49">
        <v>161</v>
      </c>
      <c r="G92" s="49" t="s">
        <v>216</v>
      </c>
      <c r="H92" s="49" t="s">
        <v>179</v>
      </c>
      <c r="I92" s="49" t="str">
        <f t="shared" si="22"/>
        <v>XXII</v>
      </c>
      <c r="J92" s="49"/>
      <c r="K92" s="64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</row>
    <row r="93" spans="1:36" ht="28.5" customHeight="1" x14ac:dyDescent="0.15">
      <c r="A93" s="76"/>
      <c r="B93" s="51"/>
      <c r="C93" s="76"/>
      <c r="D93" s="49">
        <v>21</v>
      </c>
      <c r="E93" s="49" t="s">
        <v>131</v>
      </c>
      <c r="F93" s="49">
        <v>112</v>
      </c>
      <c r="G93" s="49" t="s">
        <v>217</v>
      </c>
      <c r="H93" s="49" t="s">
        <v>179</v>
      </c>
      <c r="I93" s="49" t="str">
        <f t="shared" si="22"/>
        <v>XXII</v>
      </c>
      <c r="J93" s="49"/>
      <c r="K93" s="64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</row>
    <row r="94" spans="1:36" ht="28.5" customHeight="1" x14ac:dyDescent="0.15">
      <c r="A94" s="76"/>
      <c r="B94" s="51"/>
      <c r="C94" s="76"/>
      <c r="D94" s="49">
        <v>22</v>
      </c>
      <c r="E94" s="49" t="s">
        <v>131</v>
      </c>
      <c r="F94" s="49">
        <v>139</v>
      </c>
      <c r="G94" s="49" t="s">
        <v>218</v>
      </c>
      <c r="H94" s="49" t="s">
        <v>179</v>
      </c>
      <c r="I94" s="49" t="str">
        <f t="shared" si="22"/>
        <v>XXII</v>
      </c>
      <c r="J94" s="49"/>
      <c r="K94" s="64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</row>
    <row r="95" spans="1:36" ht="28.5" customHeight="1" x14ac:dyDescent="0.15">
      <c r="A95" s="76"/>
      <c r="B95" s="51"/>
      <c r="C95" s="76"/>
      <c r="D95" s="49">
        <v>23</v>
      </c>
      <c r="E95" s="49" t="s">
        <v>131</v>
      </c>
      <c r="F95" s="49">
        <v>169</v>
      </c>
      <c r="G95" s="49" t="s">
        <v>219</v>
      </c>
      <c r="H95" s="49" t="s">
        <v>179</v>
      </c>
      <c r="I95" s="49" t="str">
        <f t="shared" si="22"/>
        <v>XXII</v>
      </c>
      <c r="J95" s="49"/>
      <c r="K95" s="64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</row>
    <row r="96" spans="1:36" ht="28.5" customHeight="1" x14ac:dyDescent="0.15">
      <c r="A96" s="76"/>
      <c r="B96" s="51"/>
      <c r="C96" s="76"/>
      <c r="D96" s="49">
        <v>24</v>
      </c>
      <c r="E96" s="49" t="s">
        <v>131</v>
      </c>
      <c r="F96" s="49">
        <v>132</v>
      </c>
      <c r="G96" s="49" t="s">
        <v>220</v>
      </c>
      <c r="H96" s="49" t="s">
        <v>179</v>
      </c>
      <c r="I96" s="49" t="str">
        <f t="shared" si="22"/>
        <v>XXII</v>
      </c>
      <c r="J96" s="49"/>
      <c r="K96" s="64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</row>
    <row r="97" spans="1:36" ht="28.5" customHeight="1" x14ac:dyDescent="0.15">
      <c r="A97" s="76"/>
      <c r="B97" s="51"/>
      <c r="C97" s="76"/>
      <c r="D97" s="49">
        <v>25</v>
      </c>
      <c r="E97" s="49" t="s">
        <v>131</v>
      </c>
      <c r="F97" s="49">
        <v>181</v>
      </c>
      <c r="G97" s="49" t="s">
        <v>221</v>
      </c>
      <c r="H97" s="49" t="s">
        <v>179</v>
      </c>
      <c r="I97" s="49" t="str">
        <f>ROMAN(10)</f>
        <v>X</v>
      </c>
      <c r="J97" s="49"/>
      <c r="K97" s="64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</row>
    <row r="98" spans="1:36" ht="28.5" customHeight="1" x14ac:dyDescent="0.15">
      <c r="A98" s="76"/>
      <c r="B98" s="51"/>
      <c r="C98" s="76"/>
      <c r="D98" s="49">
        <v>26</v>
      </c>
      <c r="E98" s="49" t="s">
        <v>131</v>
      </c>
      <c r="F98" s="49">
        <v>149</v>
      </c>
      <c r="G98" s="49" t="s">
        <v>222</v>
      </c>
      <c r="H98" s="49" t="s">
        <v>179</v>
      </c>
      <c r="I98" s="49" t="str">
        <f t="shared" ref="I98:I99" si="23">ROMAN(22)</f>
        <v>XXII</v>
      </c>
      <c r="J98" s="49"/>
      <c r="K98" s="64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</row>
    <row r="99" spans="1:36" ht="28.5" customHeight="1" x14ac:dyDescent="0.15">
      <c r="A99" s="76"/>
      <c r="B99" s="51"/>
      <c r="C99" s="76"/>
      <c r="D99" s="49">
        <v>27</v>
      </c>
      <c r="E99" s="49" t="s">
        <v>131</v>
      </c>
      <c r="F99" s="49">
        <v>233</v>
      </c>
      <c r="G99" s="49" t="s">
        <v>223</v>
      </c>
      <c r="H99" s="49" t="s">
        <v>179</v>
      </c>
      <c r="I99" s="49" t="str">
        <f t="shared" si="23"/>
        <v>XXII</v>
      </c>
      <c r="J99" s="49"/>
      <c r="K99" s="64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</row>
    <row r="100" spans="1:36" ht="28.5" customHeight="1" x14ac:dyDescent="0.15">
      <c r="A100" s="76"/>
      <c r="B100" s="51"/>
      <c r="C100" s="76"/>
      <c r="D100" s="49">
        <v>28</v>
      </c>
      <c r="E100" s="49" t="s">
        <v>131</v>
      </c>
      <c r="F100" s="49">
        <v>641</v>
      </c>
      <c r="G100" s="49" t="s">
        <v>224</v>
      </c>
      <c r="H100" s="49" t="s">
        <v>179</v>
      </c>
      <c r="I100" s="49" t="str">
        <f>ROMAN(10)</f>
        <v>X</v>
      </c>
      <c r="J100" s="49"/>
      <c r="K100" s="64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</row>
    <row r="101" spans="1:36" ht="28.5" customHeight="1" x14ac:dyDescent="0.15">
      <c r="A101" s="76"/>
      <c r="B101" s="51"/>
      <c r="C101" s="76"/>
      <c r="D101" s="49">
        <v>29</v>
      </c>
      <c r="E101" s="49" t="s">
        <v>131</v>
      </c>
      <c r="F101" s="49">
        <v>690</v>
      </c>
      <c r="G101" s="49" t="s">
        <v>225</v>
      </c>
      <c r="H101" s="49" t="s">
        <v>179</v>
      </c>
      <c r="I101" s="49" t="str">
        <f t="shared" ref="I101:I151" si="24">ROMAN(22)</f>
        <v>XXII</v>
      </c>
      <c r="J101" s="49"/>
      <c r="K101" s="64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</row>
    <row r="102" spans="1:36" ht="28.5" customHeight="1" x14ac:dyDescent="0.15">
      <c r="A102" s="76"/>
      <c r="B102" s="51"/>
      <c r="C102" s="76"/>
      <c r="D102" s="49">
        <v>30</v>
      </c>
      <c r="E102" s="49" t="s">
        <v>131</v>
      </c>
      <c r="F102" s="49">
        <v>198</v>
      </c>
      <c r="G102" s="49" t="s">
        <v>226</v>
      </c>
      <c r="H102" s="49" t="s">
        <v>179</v>
      </c>
      <c r="I102" s="49" t="str">
        <f t="shared" si="24"/>
        <v>XXII</v>
      </c>
      <c r="J102" s="49"/>
      <c r="K102" s="64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</row>
    <row r="103" spans="1:36" ht="28.5" customHeight="1" x14ac:dyDescent="0.15">
      <c r="A103" s="76"/>
      <c r="B103" s="51"/>
      <c r="C103" s="76"/>
      <c r="D103" s="49">
        <v>31</v>
      </c>
      <c r="E103" s="49" t="s">
        <v>131</v>
      </c>
      <c r="F103" s="49">
        <v>208</v>
      </c>
      <c r="G103" s="49" t="s">
        <v>227</v>
      </c>
      <c r="H103" s="49" t="s">
        <v>179</v>
      </c>
      <c r="I103" s="49" t="str">
        <f t="shared" si="24"/>
        <v>XXII</v>
      </c>
      <c r="J103" s="49"/>
      <c r="K103" s="64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</row>
    <row r="104" spans="1:36" ht="28.5" customHeight="1" x14ac:dyDescent="0.15">
      <c r="A104" s="76"/>
      <c r="B104" s="51"/>
      <c r="C104" s="76"/>
      <c r="D104" s="49">
        <v>32</v>
      </c>
      <c r="E104" s="49" t="s">
        <v>131</v>
      </c>
      <c r="F104" s="49">
        <v>204</v>
      </c>
      <c r="G104" s="49" t="s">
        <v>228</v>
      </c>
      <c r="H104" s="49" t="s">
        <v>179</v>
      </c>
      <c r="I104" s="49" t="str">
        <f t="shared" si="24"/>
        <v>XXII</v>
      </c>
      <c r="J104" s="49"/>
      <c r="K104" s="64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</row>
    <row r="105" spans="1:36" ht="28.5" customHeight="1" x14ac:dyDescent="0.15">
      <c r="A105" s="76"/>
      <c r="B105" s="51"/>
      <c r="C105" s="76"/>
      <c r="D105" s="49">
        <v>33</v>
      </c>
      <c r="E105" s="49" t="s">
        <v>131</v>
      </c>
      <c r="F105" s="49">
        <v>214</v>
      </c>
      <c r="G105" s="49" t="s">
        <v>229</v>
      </c>
      <c r="H105" s="49" t="s">
        <v>179</v>
      </c>
      <c r="I105" s="49" t="str">
        <f t="shared" si="24"/>
        <v>XXII</v>
      </c>
      <c r="J105" s="49"/>
      <c r="K105" s="64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</row>
    <row r="106" spans="1:36" ht="28.5" customHeight="1" x14ac:dyDescent="0.15">
      <c r="A106" s="76"/>
      <c r="B106" s="51"/>
      <c r="C106" s="76"/>
      <c r="D106" s="49">
        <v>34</v>
      </c>
      <c r="E106" s="49" t="s">
        <v>131</v>
      </c>
      <c r="F106" s="49">
        <v>124</v>
      </c>
      <c r="G106" s="49" t="s">
        <v>230</v>
      </c>
      <c r="H106" s="49" t="s">
        <v>179</v>
      </c>
      <c r="I106" s="49" t="str">
        <f t="shared" si="24"/>
        <v>XXII</v>
      </c>
      <c r="J106" s="49"/>
      <c r="K106" s="64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</row>
    <row r="107" spans="1:36" ht="28.5" customHeight="1" x14ac:dyDescent="0.15">
      <c r="A107" s="76"/>
      <c r="B107" s="51"/>
      <c r="C107" s="76"/>
      <c r="D107" s="49">
        <v>35</v>
      </c>
      <c r="E107" s="49" t="s">
        <v>131</v>
      </c>
      <c r="F107" s="49">
        <v>129</v>
      </c>
      <c r="G107" s="49" t="s">
        <v>231</v>
      </c>
      <c r="H107" s="49" t="s">
        <v>179</v>
      </c>
      <c r="I107" s="49" t="str">
        <f t="shared" si="24"/>
        <v>XXII</v>
      </c>
      <c r="J107" s="49"/>
      <c r="K107" s="64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</row>
    <row r="108" spans="1:36" ht="28.5" customHeight="1" x14ac:dyDescent="0.15">
      <c r="A108" s="76"/>
      <c r="B108" s="51"/>
      <c r="C108" s="76"/>
      <c r="D108" s="49">
        <v>36</v>
      </c>
      <c r="E108" s="49" t="s">
        <v>131</v>
      </c>
      <c r="F108" s="49">
        <v>117</v>
      </c>
      <c r="G108" s="49" t="s">
        <v>232</v>
      </c>
      <c r="H108" s="49" t="s">
        <v>179</v>
      </c>
      <c r="I108" s="49" t="str">
        <f t="shared" si="24"/>
        <v>XXII</v>
      </c>
      <c r="J108" s="49"/>
      <c r="K108" s="64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</row>
    <row r="109" spans="1:36" ht="28.5" customHeight="1" x14ac:dyDescent="0.15">
      <c r="A109" s="76"/>
      <c r="B109" s="51"/>
      <c r="C109" s="76"/>
      <c r="D109" s="49">
        <v>37</v>
      </c>
      <c r="E109" s="49" t="s">
        <v>131</v>
      </c>
      <c r="F109" s="49">
        <v>190</v>
      </c>
      <c r="G109" s="49" t="s">
        <v>233</v>
      </c>
      <c r="H109" s="49" t="s">
        <v>179</v>
      </c>
      <c r="I109" s="49" t="str">
        <f t="shared" si="24"/>
        <v>XXII</v>
      </c>
      <c r="J109" s="49"/>
      <c r="K109" s="64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</row>
    <row r="110" spans="1:36" ht="28.5" customHeight="1" x14ac:dyDescent="0.15">
      <c r="A110" s="76"/>
      <c r="B110" s="51"/>
      <c r="C110" s="76"/>
      <c r="D110" s="49">
        <v>38</v>
      </c>
      <c r="E110" s="49" t="s">
        <v>131</v>
      </c>
      <c r="F110" s="49">
        <v>159</v>
      </c>
      <c r="G110" s="49" t="s">
        <v>234</v>
      </c>
      <c r="H110" s="49" t="s">
        <v>179</v>
      </c>
      <c r="I110" s="49" t="str">
        <f t="shared" si="24"/>
        <v>XXII</v>
      </c>
      <c r="J110" s="49"/>
      <c r="K110" s="64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</row>
    <row r="111" spans="1:36" ht="28.5" customHeight="1" x14ac:dyDescent="0.15">
      <c r="A111" s="76"/>
      <c r="B111" s="51"/>
      <c r="C111" s="76"/>
      <c r="D111" s="49">
        <v>39</v>
      </c>
      <c r="E111" s="49" t="s">
        <v>131</v>
      </c>
      <c r="F111" s="49">
        <v>178</v>
      </c>
      <c r="G111" s="49" t="s">
        <v>235</v>
      </c>
      <c r="H111" s="49" t="s">
        <v>179</v>
      </c>
      <c r="I111" s="49" t="str">
        <f t="shared" si="24"/>
        <v>XXII</v>
      </c>
      <c r="J111" s="49"/>
      <c r="K111" s="64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</row>
    <row r="112" spans="1:36" ht="28.5" customHeight="1" x14ac:dyDescent="0.15">
      <c r="A112" s="76"/>
      <c r="B112" s="51"/>
      <c r="C112" s="76"/>
      <c r="D112" s="49">
        <v>40</v>
      </c>
      <c r="E112" s="49" t="s">
        <v>131</v>
      </c>
      <c r="F112" s="49">
        <v>122</v>
      </c>
      <c r="G112" s="49" t="s">
        <v>236</v>
      </c>
      <c r="H112" s="49" t="s">
        <v>179</v>
      </c>
      <c r="I112" s="49" t="str">
        <f t="shared" si="24"/>
        <v>XXII</v>
      </c>
      <c r="J112" s="49"/>
      <c r="K112" s="64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</row>
    <row r="113" spans="1:36" ht="28.5" customHeight="1" x14ac:dyDescent="0.15">
      <c r="A113" s="76"/>
      <c r="B113" s="51"/>
      <c r="C113" s="76"/>
      <c r="D113" s="49">
        <v>41</v>
      </c>
      <c r="E113" s="49" t="s">
        <v>131</v>
      </c>
      <c r="F113" s="49">
        <v>175</v>
      </c>
      <c r="G113" s="49" t="s">
        <v>237</v>
      </c>
      <c r="H113" s="49" t="s">
        <v>179</v>
      </c>
      <c r="I113" s="49" t="str">
        <f t="shared" si="24"/>
        <v>XXII</v>
      </c>
      <c r="J113" s="49"/>
      <c r="K113" s="64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</row>
    <row r="114" spans="1:36" ht="28.5" customHeight="1" x14ac:dyDescent="0.15">
      <c r="A114" s="76"/>
      <c r="B114" s="51"/>
      <c r="C114" s="76"/>
      <c r="D114" s="49">
        <v>42</v>
      </c>
      <c r="E114" s="49" t="s">
        <v>131</v>
      </c>
      <c r="F114" s="49">
        <v>195</v>
      </c>
      <c r="G114" s="49" t="s">
        <v>238</v>
      </c>
      <c r="H114" s="49" t="s">
        <v>179</v>
      </c>
      <c r="I114" s="49" t="str">
        <f t="shared" si="24"/>
        <v>XXII</v>
      </c>
      <c r="J114" s="49"/>
      <c r="K114" s="64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</row>
    <row r="115" spans="1:36" ht="28.5" customHeight="1" x14ac:dyDescent="0.15">
      <c r="A115" s="76"/>
      <c r="B115" s="51"/>
      <c r="C115" s="76"/>
      <c r="D115" s="49">
        <v>43</v>
      </c>
      <c r="E115" s="49" t="s">
        <v>131</v>
      </c>
      <c r="F115" s="49">
        <v>125</v>
      </c>
      <c r="G115" s="49" t="s">
        <v>239</v>
      </c>
      <c r="H115" s="49" t="s">
        <v>179</v>
      </c>
      <c r="I115" s="49" t="str">
        <f t="shared" si="24"/>
        <v>XXII</v>
      </c>
      <c r="J115" s="49"/>
      <c r="K115" s="64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</row>
    <row r="116" spans="1:36" ht="28.5" customHeight="1" x14ac:dyDescent="0.15">
      <c r="A116" s="76"/>
      <c r="B116" s="51"/>
      <c r="C116" s="76"/>
      <c r="D116" s="49">
        <v>44</v>
      </c>
      <c r="E116" s="49" t="s">
        <v>121</v>
      </c>
      <c r="F116" s="49">
        <v>118</v>
      </c>
      <c r="G116" s="49" t="s">
        <v>240</v>
      </c>
      <c r="H116" s="49" t="s">
        <v>179</v>
      </c>
      <c r="I116" s="49" t="str">
        <f t="shared" si="24"/>
        <v>XXII</v>
      </c>
      <c r="J116" s="49"/>
      <c r="K116" s="64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</row>
    <row r="117" spans="1:36" ht="28.5" customHeight="1" x14ac:dyDescent="0.15">
      <c r="A117" s="76"/>
      <c r="B117" s="51"/>
      <c r="C117" s="76"/>
      <c r="D117" s="49">
        <v>45</v>
      </c>
      <c r="E117" s="49" t="s">
        <v>121</v>
      </c>
      <c r="F117" s="49">
        <v>365</v>
      </c>
      <c r="G117" s="49" t="s">
        <v>241</v>
      </c>
      <c r="H117" s="49" t="s">
        <v>179</v>
      </c>
      <c r="I117" s="49" t="str">
        <f t="shared" si="24"/>
        <v>XXII</v>
      </c>
      <c r="J117" s="49"/>
      <c r="K117" s="64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</row>
    <row r="118" spans="1:36" ht="28.5" customHeight="1" x14ac:dyDescent="0.15">
      <c r="A118" s="76"/>
      <c r="B118" s="51"/>
      <c r="C118" s="76"/>
      <c r="D118" s="49">
        <v>46</v>
      </c>
      <c r="E118" s="49" t="s">
        <v>121</v>
      </c>
      <c r="F118" s="49">
        <v>160</v>
      </c>
      <c r="G118" s="49" t="s">
        <v>242</v>
      </c>
      <c r="H118" s="49" t="s">
        <v>179</v>
      </c>
      <c r="I118" s="49" t="str">
        <f t="shared" si="24"/>
        <v>XXII</v>
      </c>
      <c r="J118" s="49"/>
      <c r="K118" s="64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</row>
    <row r="119" spans="1:36" ht="28.5" customHeight="1" x14ac:dyDescent="0.15">
      <c r="A119" s="76"/>
      <c r="B119" s="51"/>
      <c r="C119" s="76"/>
      <c r="D119" s="49">
        <v>47</v>
      </c>
      <c r="E119" s="49" t="s">
        <v>121</v>
      </c>
      <c r="F119" s="49">
        <v>232</v>
      </c>
      <c r="G119" s="49" t="s">
        <v>243</v>
      </c>
      <c r="H119" s="49" t="s">
        <v>179</v>
      </c>
      <c r="I119" s="49" t="str">
        <f t="shared" si="24"/>
        <v>XXII</v>
      </c>
      <c r="J119" s="49"/>
      <c r="K119" s="64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</row>
    <row r="120" spans="1:36" ht="28.5" customHeight="1" x14ac:dyDescent="0.15">
      <c r="A120" s="76"/>
      <c r="B120" s="51"/>
      <c r="C120" s="76"/>
      <c r="D120" s="49">
        <v>48</v>
      </c>
      <c r="E120" s="49" t="s">
        <v>121</v>
      </c>
      <c r="F120" s="49">
        <v>212</v>
      </c>
      <c r="G120" s="49" t="s">
        <v>244</v>
      </c>
      <c r="H120" s="49" t="s">
        <v>179</v>
      </c>
      <c r="I120" s="49" t="str">
        <f t="shared" si="24"/>
        <v>XXII</v>
      </c>
      <c r="J120" s="49"/>
      <c r="K120" s="64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</row>
    <row r="121" spans="1:36" ht="28.5" customHeight="1" x14ac:dyDescent="0.15">
      <c r="A121" s="76"/>
      <c r="B121" s="51"/>
      <c r="C121" s="76"/>
      <c r="D121" s="49">
        <v>49</v>
      </c>
      <c r="E121" s="49" t="s">
        <v>121</v>
      </c>
      <c r="F121" s="49" t="s">
        <v>245</v>
      </c>
      <c r="G121" s="49" t="s">
        <v>246</v>
      </c>
      <c r="H121" s="49" t="s">
        <v>179</v>
      </c>
      <c r="I121" s="49" t="str">
        <f t="shared" si="24"/>
        <v>XXII</v>
      </c>
      <c r="J121" s="49"/>
      <c r="K121" s="64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</row>
    <row r="122" spans="1:36" ht="28.5" customHeight="1" x14ac:dyDescent="0.15">
      <c r="A122" s="76"/>
      <c r="B122" s="51"/>
      <c r="C122" s="76"/>
      <c r="D122" s="49">
        <v>50</v>
      </c>
      <c r="E122" s="49" t="s">
        <v>121</v>
      </c>
      <c r="F122" s="49">
        <v>145</v>
      </c>
      <c r="G122" s="49" t="s">
        <v>247</v>
      </c>
      <c r="H122" s="49" t="s">
        <v>179</v>
      </c>
      <c r="I122" s="49" t="str">
        <f t="shared" si="24"/>
        <v>XXII</v>
      </c>
      <c r="J122" s="49"/>
      <c r="K122" s="64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</row>
    <row r="123" spans="1:36" ht="28.5" customHeight="1" x14ac:dyDescent="0.15">
      <c r="A123" s="76"/>
      <c r="B123" s="51"/>
      <c r="C123" s="76"/>
      <c r="D123" s="49">
        <v>51</v>
      </c>
      <c r="E123" s="49" t="s">
        <v>121</v>
      </c>
      <c r="F123" s="49">
        <v>171</v>
      </c>
      <c r="G123" s="49" t="s">
        <v>248</v>
      </c>
      <c r="H123" s="49" t="s">
        <v>179</v>
      </c>
      <c r="I123" s="49" t="str">
        <f t="shared" si="24"/>
        <v>XXII</v>
      </c>
      <c r="J123" s="49"/>
      <c r="K123" s="64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</row>
    <row r="124" spans="1:36" ht="28.5" customHeight="1" x14ac:dyDescent="0.15">
      <c r="A124" s="76"/>
      <c r="B124" s="51"/>
      <c r="C124" s="76"/>
      <c r="D124" s="49">
        <v>52</v>
      </c>
      <c r="E124" s="49" t="s">
        <v>121</v>
      </c>
      <c r="F124" s="49">
        <v>182</v>
      </c>
      <c r="G124" s="49" t="s">
        <v>249</v>
      </c>
      <c r="H124" s="49" t="s">
        <v>179</v>
      </c>
      <c r="I124" s="49" t="str">
        <f t="shared" si="24"/>
        <v>XXII</v>
      </c>
      <c r="J124" s="49"/>
      <c r="K124" s="64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</row>
    <row r="125" spans="1:36" ht="28.5" customHeight="1" x14ac:dyDescent="0.15">
      <c r="A125" s="76"/>
      <c r="B125" s="51"/>
      <c r="C125" s="76"/>
      <c r="D125" s="49">
        <v>53</v>
      </c>
      <c r="E125" s="49" t="s">
        <v>121</v>
      </c>
      <c r="F125" s="49">
        <v>109</v>
      </c>
      <c r="G125" s="49"/>
      <c r="H125" s="49" t="s">
        <v>179</v>
      </c>
      <c r="I125" s="49" t="str">
        <f t="shared" si="24"/>
        <v>XXII</v>
      </c>
      <c r="J125" s="49"/>
      <c r="K125" s="64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</row>
    <row r="126" spans="1:36" ht="28.5" customHeight="1" x14ac:dyDescent="0.15">
      <c r="A126" s="76"/>
      <c r="B126" s="51"/>
      <c r="C126" s="76"/>
      <c r="D126" s="49">
        <v>54</v>
      </c>
      <c r="E126" s="49" t="s">
        <v>121</v>
      </c>
      <c r="F126" s="49">
        <v>142</v>
      </c>
      <c r="G126" s="49"/>
      <c r="H126" s="49" t="s">
        <v>179</v>
      </c>
      <c r="I126" s="49" t="str">
        <f t="shared" si="24"/>
        <v>XXII</v>
      </c>
      <c r="J126" s="49"/>
      <c r="K126" s="64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</row>
    <row r="127" spans="1:36" ht="28.5" customHeight="1" x14ac:dyDescent="0.15">
      <c r="A127" s="76"/>
      <c r="B127" s="51"/>
      <c r="C127" s="76"/>
      <c r="D127" s="49">
        <v>55</v>
      </c>
      <c r="E127" s="49" t="s">
        <v>121</v>
      </c>
      <c r="F127" s="49">
        <v>165</v>
      </c>
      <c r="G127" s="49"/>
      <c r="H127" s="49" t="s">
        <v>179</v>
      </c>
      <c r="I127" s="49" t="str">
        <f t="shared" si="24"/>
        <v>XXII</v>
      </c>
      <c r="J127" s="49"/>
      <c r="K127" s="64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</row>
    <row r="128" spans="1:36" ht="28.5" customHeight="1" x14ac:dyDescent="0.15">
      <c r="A128" s="76"/>
      <c r="B128" s="51"/>
      <c r="C128" s="76"/>
      <c r="D128" s="49">
        <v>56</v>
      </c>
      <c r="E128" s="49" t="s">
        <v>121</v>
      </c>
      <c r="F128" s="49">
        <v>217</v>
      </c>
      <c r="G128" s="49"/>
      <c r="H128" s="49" t="s">
        <v>179</v>
      </c>
      <c r="I128" s="49" t="str">
        <f t="shared" si="24"/>
        <v>XXII</v>
      </c>
      <c r="J128" s="49"/>
      <c r="K128" s="64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</row>
    <row r="129" spans="1:36" ht="28.5" customHeight="1" x14ac:dyDescent="0.15">
      <c r="A129" s="76"/>
      <c r="B129" s="51"/>
      <c r="C129" s="76"/>
      <c r="D129" s="49">
        <v>57</v>
      </c>
      <c r="E129" s="49" t="s">
        <v>121</v>
      </c>
      <c r="F129" s="49">
        <v>157</v>
      </c>
      <c r="G129" s="49"/>
      <c r="H129" s="49" t="s">
        <v>179</v>
      </c>
      <c r="I129" s="49" t="str">
        <f t="shared" si="24"/>
        <v>XXII</v>
      </c>
      <c r="J129" s="49"/>
      <c r="K129" s="64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</row>
    <row r="130" spans="1:36" ht="28.5" customHeight="1" x14ac:dyDescent="0.15">
      <c r="A130" s="76"/>
      <c r="B130" s="51"/>
      <c r="C130" s="76"/>
      <c r="D130" s="49">
        <v>58</v>
      </c>
      <c r="E130" s="49" t="s">
        <v>121</v>
      </c>
      <c r="F130" s="49">
        <v>110</v>
      </c>
      <c r="G130" s="49"/>
      <c r="H130" s="49" t="s">
        <v>179</v>
      </c>
      <c r="I130" s="49" t="str">
        <f t="shared" si="24"/>
        <v>XXII</v>
      </c>
      <c r="J130" s="49"/>
      <c r="K130" s="64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</row>
    <row r="131" spans="1:36" ht="28.5" customHeight="1" x14ac:dyDescent="0.15">
      <c r="A131" s="76"/>
      <c r="B131" s="51"/>
      <c r="C131" s="76"/>
      <c r="D131" s="49">
        <v>59</v>
      </c>
      <c r="E131" s="49" t="s">
        <v>121</v>
      </c>
      <c r="F131" s="13">
        <v>120</v>
      </c>
      <c r="G131" s="49"/>
      <c r="H131" s="49" t="s">
        <v>179</v>
      </c>
      <c r="I131" s="49" t="str">
        <f t="shared" si="24"/>
        <v>XXII</v>
      </c>
      <c r="J131" s="49"/>
      <c r="K131" s="64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</row>
    <row r="132" spans="1:36" ht="28.5" customHeight="1" x14ac:dyDescent="0.15">
      <c r="A132" s="76"/>
      <c r="B132" s="51"/>
      <c r="C132" s="76"/>
      <c r="D132" s="49">
        <v>60</v>
      </c>
      <c r="E132" s="49" t="s">
        <v>121</v>
      </c>
      <c r="F132" s="49">
        <v>151</v>
      </c>
      <c r="G132" s="49"/>
      <c r="H132" s="49" t="s">
        <v>179</v>
      </c>
      <c r="I132" s="49" t="str">
        <f t="shared" si="24"/>
        <v>XXII</v>
      </c>
      <c r="J132" s="49"/>
      <c r="K132" s="64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</row>
    <row r="133" spans="1:36" ht="28.5" customHeight="1" x14ac:dyDescent="0.15">
      <c r="A133" s="76"/>
      <c r="B133" s="51"/>
      <c r="C133" s="76"/>
      <c r="D133" s="49">
        <v>61</v>
      </c>
      <c r="E133" s="49" t="s">
        <v>121</v>
      </c>
      <c r="F133" s="49">
        <v>156</v>
      </c>
      <c r="G133" s="49"/>
      <c r="H133" s="49" t="s">
        <v>179</v>
      </c>
      <c r="I133" s="49" t="str">
        <f t="shared" si="24"/>
        <v>XXII</v>
      </c>
      <c r="J133" s="49"/>
      <c r="K133" s="64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</row>
    <row r="134" spans="1:36" ht="28.5" customHeight="1" x14ac:dyDescent="0.15">
      <c r="A134" s="76"/>
      <c r="B134" s="51"/>
      <c r="C134" s="76"/>
      <c r="D134" s="49">
        <v>62</v>
      </c>
      <c r="E134" s="49" t="s">
        <v>121</v>
      </c>
      <c r="F134" s="49">
        <v>206</v>
      </c>
      <c r="G134" s="49"/>
      <c r="H134" s="49" t="s">
        <v>179</v>
      </c>
      <c r="I134" s="49" t="str">
        <f t="shared" si="24"/>
        <v>XXII</v>
      </c>
      <c r="J134" s="49"/>
      <c r="K134" s="64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</row>
    <row r="135" spans="1:36" ht="28.5" customHeight="1" x14ac:dyDescent="0.15">
      <c r="A135" s="76"/>
      <c r="B135" s="51"/>
      <c r="C135" s="76"/>
      <c r="D135" s="49">
        <v>63</v>
      </c>
      <c r="E135" s="49" t="s">
        <v>121</v>
      </c>
      <c r="F135" s="49">
        <v>167</v>
      </c>
      <c r="G135" s="49"/>
      <c r="H135" s="49" t="s">
        <v>179</v>
      </c>
      <c r="I135" s="49" t="str">
        <f t="shared" si="24"/>
        <v>XXII</v>
      </c>
      <c r="J135" s="49"/>
      <c r="K135" s="64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</row>
    <row r="136" spans="1:36" ht="28.5" customHeight="1" x14ac:dyDescent="0.15">
      <c r="A136" s="76"/>
      <c r="B136" s="51"/>
      <c r="C136" s="76"/>
      <c r="D136" s="49">
        <v>64</v>
      </c>
      <c r="E136" s="49" t="s">
        <v>121</v>
      </c>
      <c r="F136" s="49">
        <v>219</v>
      </c>
      <c r="G136" s="49"/>
      <c r="H136" s="49" t="s">
        <v>179</v>
      </c>
      <c r="I136" s="49" t="str">
        <f t="shared" si="24"/>
        <v>XXII</v>
      </c>
      <c r="J136" s="49"/>
      <c r="K136" s="64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</row>
    <row r="137" spans="1:36" ht="28.5" customHeight="1" x14ac:dyDescent="0.15">
      <c r="A137" s="76"/>
      <c r="B137" s="51"/>
      <c r="C137" s="76"/>
      <c r="D137" s="49">
        <v>65</v>
      </c>
      <c r="E137" s="49" t="s">
        <v>121</v>
      </c>
      <c r="F137" s="49">
        <v>123</v>
      </c>
      <c r="G137" s="49"/>
      <c r="H137" s="49" t="s">
        <v>179</v>
      </c>
      <c r="I137" s="49" t="str">
        <f t="shared" si="24"/>
        <v>XXII</v>
      </c>
      <c r="J137" s="49"/>
      <c r="K137" s="64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</row>
    <row r="138" spans="1:36" ht="28.5" customHeight="1" x14ac:dyDescent="0.15">
      <c r="A138" s="76"/>
      <c r="B138" s="51"/>
      <c r="C138" s="76"/>
      <c r="D138" s="49">
        <v>66</v>
      </c>
      <c r="E138" s="49" t="s">
        <v>121</v>
      </c>
      <c r="F138" s="49">
        <v>225</v>
      </c>
      <c r="G138" s="49"/>
      <c r="H138" s="49" t="s">
        <v>179</v>
      </c>
      <c r="I138" s="49" t="str">
        <f t="shared" si="24"/>
        <v>XXII</v>
      </c>
      <c r="J138" s="49"/>
      <c r="K138" s="64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</row>
    <row r="139" spans="1:36" ht="28.5" customHeight="1" x14ac:dyDescent="0.15">
      <c r="A139" s="76"/>
      <c r="B139" s="51"/>
      <c r="C139" s="76"/>
      <c r="D139" s="49">
        <v>67</v>
      </c>
      <c r="E139" s="49" t="s">
        <v>121</v>
      </c>
      <c r="F139" s="49">
        <v>231</v>
      </c>
      <c r="G139" s="49"/>
      <c r="H139" s="49" t="s">
        <v>179</v>
      </c>
      <c r="I139" s="49" t="str">
        <f t="shared" si="24"/>
        <v>XXII</v>
      </c>
      <c r="J139" s="49"/>
      <c r="K139" s="64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</row>
    <row r="140" spans="1:36" ht="28.5" customHeight="1" x14ac:dyDescent="0.15">
      <c r="A140" s="76"/>
      <c r="B140" s="51"/>
      <c r="C140" s="76"/>
      <c r="D140" s="49">
        <v>68</v>
      </c>
      <c r="E140" s="49" t="s">
        <v>121</v>
      </c>
      <c r="F140" s="49">
        <v>128</v>
      </c>
      <c r="G140" s="49"/>
      <c r="H140" s="49" t="s">
        <v>179</v>
      </c>
      <c r="I140" s="49" t="str">
        <f t="shared" si="24"/>
        <v>XXII</v>
      </c>
      <c r="J140" s="49"/>
      <c r="K140" s="64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</row>
    <row r="141" spans="1:36" ht="28.5" customHeight="1" x14ac:dyDescent="0.15">
      <c r="A141" s="76"/>
      <c r="B141" s="51"/>
      <c r="C141" s="76"/>
      <c r="D141" s="49">
        <v>69</v>
      </c>
      <c r="E141" s="49" t="s">
        <v>121</v>
      </c>
      <c r="F141" s="49">
        <v>162</v>
      </c>
      <c r="G141" s="49"/>
      <c r="H141" s="49" t="s">
        <v>179</v>
      </c>
      <c r="I141" s="49" t="str">
        <f t="shared" si="24"/>
        <v>XXII</v>
      </c>
      <c r="J141" s="49"/>
      <c r="K141" s="64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</row>
    <row r="142" spans="1:36" ht="28.5" customHeight="1" x14ac:dyDescent="0.15">
      <c r="A142" s="76"/>
      <c r="B142" s="51"/>
      <c r="C142" s="76"/>
      <c r="D142" s="49">
        <v>70</v>
      </c>
      <c r="E142" s="49" t="s">
        <v>121</v>
      </c>
      <c r="F142" s="49" t="s">
        <v>250</v>
      </c>
      <c r="G142" s="49"/>
      <c r="H142" s="49" t="s">
        <v>179</v>
      </c>
      <c r="I142" s="49" t="str">
        <f t="shared" si="24"/>
        <v>XXII</v>
      </c>
      <c r="J142" s="49"/>
      <c r="K142" s="64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</row>
    <row r="143" spans="1:36" ht="28.5" customHeight="1" x14ac:dyDescent="0.15">
      <c r="A143" s="76"/>
      <c r="B143" s="51"/>
      <c r="C143" s="76"/>
      <c r="D143" s="49">
        <v>71</v>
      </c>
      <c r="E143" s="49" t="s">
        <v>121</v>
      </c>
      <c r="F143" s="49">
        <v>137</v>
      </c>
      <c r="G143" s="49"/>
      <c r="H143" s="49" t="s">
        <v>179</v>
      </c>
      <c r="I143" s="49" t="str">
        <f t="shared" si="24"/>
        <v>XXII</v>
      </c>
      <c r="J143" s="49"/>
      <c r="K143" s="64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</row>
    <row r="144" spans="1:36" ht="28.5" customHeight="1" x14ac:dyDescent="0.15">
      <c r="A144" s="76"/>
      <c r="B144" s="51"/>
      <c r="C144" s="76"/>
      <c r="D144" s="49">
        <v>72</v>
      </c>
      <c r="E144" s="49" t="s">
        <v>121</v>
      </c>
      <c r="F144" s="49">
        <v>119</v>
      </c>
      <c r="G144" s="49"/>
      <c r="H144" s="49" t="s">
        <v>179</v>
      </c>
      <c r="I144" s="49" t="str">
        <f t="shared" si="24"/>
        <v>XXII</v>
      </c>
      <c r="J144" s="49"/>
      <c r="K144" s="64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</row>
    <row r="145" spans="1:36" ht="28.5" customHeight="1" x14ac:dyDescent="0.15">
      <c r="A145" s="76"/>
      <c r="B145" s="51"/>
      <c r="C145" s="76"/>
      <c r="D145" s="49">
        <v>73</v>
      </c>
      <c r="E145" s="49" t="s">
        <v>121</v>
      </c>
      <c r="F145" s="49">
        <v>233</v>
      </c>
      <c r="G145" s="49"/>
      <c r="H145" s="49" t="s">
        <v>179</v>
      </c>
      <c r="I145" s="49" t="str">
        <f t="shared" si="24"/>
        <v>XXII</v>
      </c>
      <c r="J145" s="49"/>
      <c r="K145" s="64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</row>
    <row r="146" spans="1:36" ht="28.5" customHeight="1" x14ac:dyDescent="0.15">
      <c r="A146" s="76"/>
      <c r="B146" s="51"/>
      <c r="C146" s="76"/>
      <c r="D146" s="49">
        <v>74</v>
      </c>
      <c r="E146" s="49" t="s">
        <v>121</v>
      </c>
      <c r="F146" s="49">
        <v>147</v>
      </c>
      <c r="G146" s="49"/>
      <c r="H146" s="49" t="s">
        <v>179</v>
      </c>
      <c r="I146" s="49" t="str">
        <f t="shared" si="24"/>
        <v>XXII</v>
      </c>
      <c r="J146" s="49"/>
      <c r="K146" s="64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</row>
    <row r="147" spans="1:36" ht="28.5" customHeight="1" x14ac:dyDescent="0.15">
      <c r="A147" s="76"/>
      <c r="B147" s="51"/>
      <c r="C147" s="76"/>
      <c r="D147" s="49">
        <v>75</v>
      </c>
      <c r="E147" s="49" t="s">
        <v>121</v>
      </c>
      <c r="F147" s="49">
        <v>158</v>
      </c>
      <c r="G147" s="49"/>
      <c r="H147" s="49" t="s">
        <v>179</v>
      </c>
      <c r="I147" s="49" t="str">
        <f t="shared" si="24"/>
        <v>XXII</v>
      </c>
      <c r="J147" s="49"/>
      <c r="K147" s="64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</row>
    <row r="148" spans="1:36" ht="28.5" customHeight="1" x14ac:dyDescent="0.15">
      <c r="A148" s="76"/>
      <c r="B148" s="51"/>
      <c r="C148" s="76"/>
      <c r="D148" s="49">
        <v>76</v>
      </c>
      <c r="E148" s="49" t="s">
        <v>121</v>
      </c>
      <c r="F148" s="49">
        <v>205</v>
      </c>
      <c r="G148" s="49"/>
      <c r="H148" s="49" t="s">
        <v>179</v>
      </c>
      <c r="I148" s="49" t="str">
        <f t="shared" si="24"/>
        <v>XXII</v>
      </c>
      <c r="J148" s="49"/>
      <c r="K148" s="64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</row>
    <row r="149" spans="1:36" ht="28.5" customHeight="1" x14ac:dyDescent="0.15">
      <c r="A149" s="76"/>
      <c r="B149" s="51"/>
      <c r="C149" s="76"/>
      <c r="D149" s="49">
        <v>77</v>
      </c>
      <c r="E149" s="49" t="s">
        <v>121</v>
      </c>
      <c r="F149" s="49">
        <v>211</v>
      </c>
      <c r="G149" s="49"/>
      <c r="H149" s="49" t="s">
        <v>179</v>
      </c>
      <c r="I149" s="49" t="str">
        <f t="shared" si="24"/>
        <v>XXII</v>
      </c>
      <c r="J149" s="49"/>
      <c r="K149" s="64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</row>
    <row r="150" spans="1:36" ht="28.5" customHeight="1" x14ac:dyDescent="0.15">
      <c r="A150" s="76"/>
      <c r="B150" s="51"/>
      <c r="C150" s="76"/>
      <c r="D150" s="49">
        <v>78</v>
      </c>
      <c r="E150" s="49" t="s">
        <v>121</v>
      </c>
      <c r="F150" s="49">
        <v>187</v>
      </c>
      <c r="G150" s="49"/>
      <c r="H150" s="49" t="s">
        <v>179</v>
      </c>
      <c r="I150" s="49" t="str">
        <f t="shared" si="24"/>
        <v>XXII</v>
      </c>
      <c r="J150" s="49"/>
      <c r="K150" s="64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</row>
    <row r="151" spans="1:36" ht="28.5" customHeight="1" x14ac:dyDescent="0.15">
      <c r="A151" s="76"/>
      <c r="B151" s="51"/>
      <c r="C151" s="61"/>
      <c r="D151" s="49">
        <v>79</v>
      </c>
      <c r="E151" s="49" t="s">
        <v>121</v>
      </c>
      <c r="F151" s="49">
        <v>134</v>
      </c>
      <c r="G151" s="49"/>
      <c r="H151" s="49" t="s">
        <v>179</v>
      </c>
      <c r="I151" s="49" t="str">
        <f t="shared" si="24"/>
        <v>XXII</v>
      </c>
      <c r="J151" s="49"/>
      <c r="K151" s="64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</row>
    <row r="152" spans="1:36" ht="28.5" customHeight="1" x14ac:dyDescent="0.15">
      <c r="A152" s="76"/>
      <c r="B152" s="51"/>
      <c r="C152" s="81" t="str">
        <f>ROMAN(B161)</f>
        <v>XXII</v>
      </c>
      <c r="D152" s="49">
        <v>1</v>
      </c>
      <c r="E152" s="49" t="s">
        <v>119</v>
      </c>
      <c r="F152" s="49">
        <v>1709</v>
      </c>
      <c r="G152" s="49" t="s">
        <v>251</v>
      </c>
      <c r="H152" s="49" t="s">
        <v>171</v>
      </c>
      <c r="I152" s="49" t="str">
        <f>ROMAN(26)</f>
        <v>XXVI</v>
      </c>
      <c r="J152" s="49"/>
      <c r="K152" s="86">
        <f>D167</f>
        <v>16</v>
      </c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</row>
    <row r="153" spans="1:36" ht="28.5" customHeight="1" x14ac:dyDescent="0.15">
      <c r="A153" s="76"/>
      <c r="B153" s="51"/>
      <c r="C153" s="76"/>
      <c r="D153" s="49">
        <v>2</v>
      </c>
      <c r="E153" s="49" t="s">
        <v>131</v>
      </c>
      <c r="F153" s="49">
        <v>416</v>
      </c>
      <c r="G153" s="49" t="s">
        <v>252</v>
      </c>
      <c r="H153" s="49" t="s">
        <v>179</v>
      </c>
      <c r="I153" s="49" t="str">
        <f>ROMAN(6)</f>
        <v>VI</v>
      </c>
      <c r="J153" s="49"/>
      <c r="K153" s="64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</row>
    <row r="154" spans="1:36" ht="28.5" customHeight="1" x14ac:dyDescent="0.15">
      <c r="A154" s="76"/>
      <c r="B154" s="51"/>
      <c r="C154" s="76"/>
      <c r="D154" s="49">
        <v>3</v>
      </c>
      <c r="E154" s="49"/>
      <c r="F154" s="49" t="s">
        <v>108</v>
      </c>
      <c r="G154" s="49" t="s">
        <v>253</v>
      </c>
      <c r="H154" s="49" t="s">
        <v>179</v>
      </c>
      <c r="I154" s="49" t="str">
        <f>ROMAN(1)</f>
        <v>I</v>
      </c>
      <c r="J154" s="49"/>
      <c r="K154" s="64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</row>
    <row r="155" spans="1:36" ht="28.5" customHeight="1" x14ac:dyDescent="0.15">
      <c r="A155" s="76"/>
      <c r="B155" s="51"/>
      <c r="C155" s="76"/>
      <c r="D155" s="49">
        <v>4</v>
      </c>
      <c r="E155" s="49"/>
      <c r="F155" s="49">
        <v>66</v>
      </c>
      <c r="G155" s="49" t="s">
        <v>254</v>
      </c>
      <c r="H155" s="49" t="s">
        <v>179</v>
      </c>
      <c r="I155" s="49" t="str">
        <f>ROMAN(9)</f>
        <v>IX</v>
      </c>
      <c r="J155" s="49"/>
      <c r="K155" s="64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</row>
    <row r="156" spans="1:36" ht="28.5" customHeight="1" x14ac:dyDescent="0.15">
      <c r="A156" s="76"/>
      <c r="B156" s="51"/>
      <c r="C156" s="76"/>
      <c r="D156" s="49">
        <v>5</v>
      </c>
      <c r="E156" s="49"/>
      <c r="F156" s="49">
        <v>211</v>
      </c>
      <c r="G156" s="49" t="s">
        <v>255</v>
      </c>
      <c r="H156" s="49" t="s">
        <v>179</v>
      </c>
      <c r="I156" s="49" t="str">
        <f>ROMAN(20)</f>
        <v>XX</v>
      </c>
      <c r="J156" s="49"/>
      <c r="K156" s="64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</row>
    <row r="157" spans="1:36" ht="28.5" customHeight="1" x14ac:dyDescent="0.15">
      <c r="A157" s="76"/>
      <c r="B157" s="51"/>
      <c r="C157" s="76"/>
      <c r="D157" s="49">
        <v>6</v>
      </c>
      <c r="E157" s="49"/>
      <c r="F157" s="49">
        <v>323</v>
      </c>
      <c r="G157" s="49" t="s">
        <v>256</v>
      </c>
      <c r="H157" s="49" t="s">
        <v>179</v>
      </c>
      <c r="I157" s="49" t="str">
        <f>ROMAN(30)</f>
        <v>XXX</v>
      </c>
      <c r="J157" s="49"/>
      <c r="K157" s="64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</row>
    <row r="158" spans="1:36" ht="28.5" customHeight="1" x14ac:dyDescent="0.15">
      <c r="A158" s="76"/>
      <c r="B158" s="51"/>
      <c r="C158" s="76"/>
      <c r="D158" s="49">
        <v>7</v>
      </c>
      <c r="E158" s="49"/>
      <c r="F158" s="49">
        <v>434</v>
      </c>
      <c r="G158" s="49" t="s">
        <v>257</v>
      </c>
      <c r="H158" s="49" t="s">
        <v>107</v>
      </c>
      <c r="I158" s="49" t="str">
        <f>ROMAN(24)</f>
        <v>XXIV</v>
      </c>
      <c r="J158" s="49"/>
      <c r="K158" s="64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</row>
    <row r="159" spans="1:36" ht="28.5" customHeight="1" x14ac:dyDescent="0.15">
      <c r="A159" s="76"/>
      <c r="B159" s="51"/>
      <c r="C159" s="76"/>
      <c r="D159" s="49">
        <v>8</v>
      </c>
      <c r="E159" s="49"/>
      <c r="F159" s="49">
        <v>204</v>
      </c>
      <c r="G159" s="49" t="s">
        <v>258</v>
      </c>
      <c r="H159" s="49" t="s">
        <v>179</v>
      </c>
      <c r="I159" s="49" t="str">
        <f>ROMAN(30)</f>
        <v>XXX</v>
      </c>
      <c r="J159" s="49"/>
      <c r="K159" s="64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</row>
    <row r="160" spans="1:36" ht="28.5" customHeight="1" x14ac:dyDescent="0.15">
      <c r="A160" s="76"/>
      <c r="B160" s="51"/>
      <c r="C160" s="76"/>
      <c r="D160" s="49">
        <v>9</v>
      </c>
      <c r="E160" s="49"/>
      <c r="F160" s="49">
        <v>428</v>
      </c>
      <c r="G160" s="49" t="s">
        <v>259</v>
      </c>
      <c r="H160" s="49" t="s">
        <v>179</v>
      </c>
      <c r="I160" s="49" t="str">
        <f>ROMAN(1)</f>
        <v>I</v>
      </c>
      <c r="J160" s="49"/>
      <c r="K160" s="64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</row>
    <row r="161" spans="1:36" ht="28.5" customHeight="1" x14ac:dyDescent="0.15">
      <c r="A161" s="76"/>
      <c r="B161" s="51">
        <v>22</v>
      </c>
      <c r="C161" s="76"/>
      <c r="D161" s="49">
        <v>10</v>
      </c>
      <c r="E161" s="49"/>
      <c r="F161" s="49">
        <v>422</v>
      </c>
      <c r="G161" s="49" t="s">
        <v>260</v>
      </c>
      <c r="H161" s="49" t="s">
        <v>179</v>
      </c>
      <c r="I161" s="49" t="str">
        <f>ROMAN(5)</f>
        <v>V</v>
      </c>
      <c r="J161" s="49"/>
      <c r="K161" s="64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</row>
    <row r="162" spans="1:36" ht="28.5" customHeight="1" x14ac:dyDescent="0.15">
      <c r="A162" s="76"/>
      <c r="B162" s="51"/>
      <c r="C162" s="76"/>
      <c r="D162" s="49">
        <v>11</v>
      </c>
      <c r="E162" s="49"/>
      <c r="F162" s="49">
        <v>242</v>
      </c>
      <c r="G162" s="49" t="s">
        <v>261</v>
      </c>
      <c r="H162" s="49" t="s">
        <v>179</v>
      </c>
      <c r="I162" s="49" t="str">
        <f>ROMAN(8)</f>
        <v>VIII</v>
      </c>
      <c r="J162" s="49"/>
      <c r="K162" s="64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</row>
    <row r="163" spans="1:36" ht="28.5" customHeight="1" x14ac:dyDescent="0.15">
      <c r="A163" s="76"/>
      <c r="B163" s="51"/>
      <c r="C163" s="76"/>
      <c r="D163" s="49">
        <v>12</v>
      </c>
      <c r="E163" s="49" t="s">
        <v>121</v>
      </c>
      <c r="F163" s="49">
        <v>158</v>
      </c>
      <c r="G163" s="49" t="s">
        <v>262</v>
      </c>
      <c r="H163" s="49" t="s">
        <v>179</v>
      </c>
      <c r="I163" s="49" t="str">
        <f>ROMAN(8)</f>
        <v>VIII</v>
      </c>
      <c r="J163" s="49"/>
      <c r="K163" s="64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</row>
    <row r="164" spans="1:36" ht="28.5" customHeight="1" x14ac:dyDescent="0.15">
      <c r="A164" s="76"/>
      <c r="B164" s="51"/>
      <c r="C164" s="76"/>
      <c r="D164" s="49">
        <v>13</v>
      </c>
      <c r="E164" s="49"/>
      <c r="F164" s="49">
        <v>57</v>
      </c>
      <c r="G164" s="49" t="s">
        <v>263</v>
      </c>
      <c r="H164" s="49" t="s">
        <v>179</v>
      </c>
      <c r="I164" s="49" t="str">
        <f>ROMAN(30)</f>
        <v>XXX</v>
      </c>
      <c r="J164" s="49"/>
      <c r="K164" s="64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</row>
    <row r="165" spans="1:36" ht="28.5" customHeight="1" x14ac:dyDescent="0.15">
      <c r="A165" s="76"/>
      <c r="B165" s="51"/>
      <c r="C165" s="76"/>
      <c r="D165" s="49">
        <v>14</v>
      </c>
      <c r="E165" s="49"/>
      <c r="F165" s="49">
        <v>427</v>
      </c>
      <c r="G165" s="49" t="s">
        <v>264</v>
      </c>
      <c r="H165" s="49" t="s">
        <v>107</v>
      </c>
      <c r="I165" s="49" t="str">
        <f t="shared" ref="I165:I166" si="25">ROMAN(21)</f>
        <v>XXI</v>
      </c>
      <c r="J165" s="49"/>
      <c r="K165" s="64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</row>
    <row r="166" spans="1:36" ht="28.5" customHeight="1" x14ac:dyDescent="0.15">
      <c r="A166" s="76"/>
      <c r="B166" s="51"/>
      <c r="C166" s="76"/>
      <c r="D166" s="49">
        <v>15</v>
      </c>
      <c r="E166" s="49"/>
      <c r="F166" s="49">
        <v>428</v>
      </c>
      <c r="G166" s="49" t="s">
        <v>265</v>
      </c>
      <c r="H166" s="49" t="s">
        <v>107</v>
      </c>
      <c r="I166" s="49" t="str">
        <f t="shared" si="25"/>
        <v>XXI</v>
      </c>
      <c r="J166" s="49"/>
      <c r="K166" s="64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</row>
    <row r="167" spans="1:36" ht="28.5" customHeight="1" x14ac:dyDescent="0.15">
      <c r="A167" s="76"/>
      <c r="B167" s="51"/>
      <c r="C167" s="61"/>
      <c r="D167" s="49">
        <v>16</v>
      </c>
      <c r="E167" s="49"/>
      <c r="F167" s="49">
        <v>108</v>
      </c>
      <c r="G167" s="49" t="s">
        <v>266</v>
      </c>
      <c r="H167" s="49" t="s">
        <v>179</v>
      </c>
      <c r="I167" s="49" t="str">
        <f>ROMAN(29)</f>
        <v>XXIX</v>
      </c>
      <c r="J167" s="49"/>
      <c r="K167" s="64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</row>
    <row r="168" spans="1:36" ht="28.5" customHeight="1" x14ac:dyDescent="0.15">
      <c r="A168" s="76"/>
      <c r="B168" s="81">
        <v>23</v>
      </c>
      <c r="C168" s="81" t="str">
        <f>ROMAN(B168)</f>
        <v>XXIII</v>
      </c>
      <c r="D168" s="49">
        <v>1</v>
      </c>
      <c r="E168" s="49" t="s">
        <v>131</v>
      </c>
      <c r="F168" s="49">
        <v>46</v>
      </c>
      <c r="G168" s="49" t="s">
        <v>267</v>
      </c>
      <c r="H168" s="49" t="s">
        <v>179</v>
      </c>
      <c r="I168" s="49" t="str">
        <f t="shared" ref="I168:I169" si="26">ROMAN(22)</f>
        <v>XXII</v>
      </c>
      <c r="J168" s="49"/>
      <c r="K168" s="86">
        <f>D173</f>
        <v>6</v>
      </c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</row>
    <row r="169" spans="1:36" ht="28.5" customHeight="1" x14ac:dyDescent="0.15">
      <c r="A169" s="76"/>
      <c r="B169" s="76"/>
      <c r="C169" s="76"/>
      <c r="D169" s="49">
        <v>2</v>
      </c>
      <c r="E169" s="49" t="s">
        <v>131</v>
      </c>
      <c r="F169" s="49">
        <v>305</v>
      </c>
      <c r="G169" s="49" t="s">
        <v>268</v>
      </c>
      <c r="H169" s="49" t="s">
        <v>179</v>
      </c>
      <c r="I169" s="49" t="str">
        <f t="shared" si="26"/>
        <v>XXII</v>
      </c>
      <c r="J169" s="49"/>
      <c r="K169" s="64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</row>
    <row r="170" spans="1:36" ht="28.5" customHeight="1" x14ac:dyDescent="0.15">
      <c r="A170" s="76"/>
      <c r="B170" s="76"/>
      <c r="C170" s="76"/>
      <c r="D170" s="49">
        <v>3</v>
      </c>
      <c r="E170" s="49" t="s">
        <v>131</v>
      </c>
      <c r="F170" s="49">
        <v>323</v>
      </c>
      <c r="G170" s="49" t="s">
        <v>269</v>
      </c>
      <c r="H170" s="49" t="s">
        <v>179</v>
      </c>
      <c r="I170" s="49" t="str">
        <f>ROMAN(30)</f>
        <v>XXX</v>
      </c>
      <c r="J170" s="49"/>
      <c r="K170" s="64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</row>
    <row r="171" spans="1:36" ht="28.5" customHeight="1" x14ac:dyDescent="0.15">
      <c r="A171" s="76"/>
      <c r="B171" s="76"/>
      <c r="C171" s="76"/>
      <c r="D171" s="49">
        <v>4</v>
      </c>
      <c r="E171" s="49" t="s">
        <v>131</v>
      </c>
      <c r="F171" s="49">
        <v>44</v>
      </c>
      <c r="G171" s="49" t="s">
        <v>270</v>
      </c>
      <c r="H171" s="49" t="s">
        <v>179</v>
      </c>
      <c r="I171" s="49" t="str">
        <f>ROMAN(29)</f>
        <v>XXIX</v>
      </c>
      <c r="J171" s="49"/>
      <c r="K171" s="64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</row>
    <row r="172" spans="1:36" ht="28.5" customHeight="1" x14ac:dyDescent="0.15">
      <c r="A172" s="76"/>
      <c r="B172" s="76"/>
      <c r="C172" s="76"/>
      <c r="D172" s="49">
        <v>5</v>
      </c>
      <c r="E172" s="49" t="s">
        <v>121</v>
      </c>
      <c r="F172" s="49">
        <v>293</v>
      </c>
      <c r="G172" s="49" t="s">
        <v>271</v>
      </c>
      <c r="H172" s="49" t="s">
        <v>179</v>
      </c>
      <c r="I172" s="49" t="str">
        <f>ROMAN(22)</f>
        <v>XXII</v>
      </c>
      <c r="J172" s="49"/>
      <c r="K172" s="64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</row>
    <row r="173" spans="1:36" ht="28.5" customHeight="1" x14ac:dyDescent="0.15">
      <c r="A173" s="76"/>
      <c r="B173" s="61"/>
      <c r="C173" s="61"/>
      <c r="D173" s="49">
        <v>6</v>
      </c>
      <c r="E173" s="49" t="s">
        <v>121</v>
      </c>
      <c r="F173" s="49">
        <v>117</v>
      </c>
      <c r="G173" s="49" t="s">
        <v>272</v>
      </c>
      <c r="H173" s="49" t="s">
        <v>179</v>
      </c>
      <c r="I173" s="49" t="str">
        <f t="shared" ref="I173:I175" si="27">ROMAN(26)</f>
        <v>XXVI</v>
      </c>
      <c r="J173" s="49"/>
      <c r="K173" s="64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</row>
    <row r="174" spans="1:36" ht="28.5" customHeight="1" x14ac:dyDescent="0.15">
      <c r="A174" s="76"/>
      <c r="B174" s="81">
        <v>24</v>
      </c>
      <c r="C174" s="81" t="str">
        <f>ROMAN(B174)</f>
        <v>XXIV</v>
      </c>
      <c r="D174" s="49">
        <v>1</v>
      </c>
      <c r="E174" s="49" t="s">
        <v>131</v>
      </c>
      <c r="F174" s="49">
        <v>408</v>
      </c>
      <c r="G174" s="49" t="s">
        <v>273</v>
      </c>
      <c r="H174" s="49" t="s">
        <v>179</v>
      </c>
      <c r="I174" s="49" t="str">
        <f t="shared" si="27"/>
        <v>XXVI</v>
      </c>
      <c r="J174" s="49"/>
      <c r="K174" s="86">
        <f>D176</f>
        <v>3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</row>
    <row r="175" spans="1:36" ht="28.5" customHeight="1" x14ac:dyDescent="0.15">
      <c r="A175" s="76"/>
      <c r="B175" s="76"/>
      <c r="C175" s="76"/>
      <c r="D175" s="49">
        <v>2</v>
      </c>
      <c r="E175" s="49" t="s">
        <v>131</v>
      </c>
      <c r="F175" s="49">
        <v>399</v>
      </c>
      <c r="G175" s="49" t="s">
        <v>274</v>
      </c>
      <c r="H175" s="49" t="s">
        <v>179</v>
      </c>
      <c r="I175" s="49" t="str">
        <f t="shared" si="27"/>
        <v>XXVI</v>
      </c>
      <c r="J175" s="49"/>
      <c r="K175" s="64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</row>
    <row r="176" spans="1:36" ht="28.5" customHeight="1" x14ac:dyDescent="0.15">
      <c r="A176" s="76"/>
      <c r="B176" s="61"/>
      <c r="C176" s="61"/>
      <c r="D176" s="49">
        <v>3</v>
      </c>
      <c r="E176" s="49" t="s">
        <v>121</v>
      </c>
      <c r="F176" s="49">
        <v>2</v>
      </c>
      <c r="G176" s="49" t="s">
        <v>275</v>
      </c>
      <c r="H176" s="49" t="s">
        <v>179</v>
      </c>
      <c r="I176" s="49" t="str">
        <f>ROMAN(25)</f>
        <v>XXV</v>
      </c>
      <c r="J176" s="49"/>
      <c r="K176" s="64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</row>
    <row r="177" spans="1:36" ht="28.5" customHeight="1" x14ac:dyDescent="0.15">
      <c r="A177" s="76"/>
      <c r="B177" s="51">
        <v>25</v>
      </c>
      <c r="C177" s="51" t="str">
        <f t="shared" ref="C177:C178" si="28">ROMAN(B177)</f>
        <v>XXV</v>
      </c>
      <c r="D177" s="49">
        <v>1</v>
      </c>
      <c r="E177" s="49" t="s">
        <v>121</v>
      </c>
      <c r="F177" s="49">
        <v>9</v>
      </c>
      <c r="G177" s="49" t="s">
        <v>276</v>
      </c>
      <c r="H177" s="49" t="s">
        <v>277</v>
      </c>
      <c r="I177" s="49" t="str">
        <f>ROMAN(29)</f>
        <v>XXIX</v>
      </c>
      <c r="J177" s="49"/>
      <c r="K177" s="49">
        <f>D177</f>
        <v>1</v>
      </c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</row>
    <row r="178" spans="1:36" ht="28.5" customHeight="1" x14ac:dyDescent="0.15">
      <c r="A178" s="81" t="s">
        <v>96</v>
      </c>
      <c r="B178" s="81">
        <v>26</v>
      </c>
      <c r="C178" s="81" t="str">
        <f t="shared" si="28"/>
        <v>XXVI</v>
      </c>
      <c r="D178" s="49">
        <v>1</v>
      </c>
      <c r="E178" s="49" t="s">
        <v>131</v>
      </c>
      <c r="F178" s="49">
        <v>110</v>
      </c>
      <c r="G178" s="49" t="s">
        <v>278</v>
      </c>
      <c r="H178" s="49" t="s">
        <v>179</v>
      </c>
      <c r="I178" s="49" t="str">
        <f>ROMAN(30)</f>
        <v>XXX</v>
      </c>
      <c r="J178" s="49"/>
      <c r="K178" s="86">
        <f>D185</f>
        <v>8</v>
      </c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</row>
    <row r="179" spans="1:36" ht="28.5" customHeight="1" x14ac:dyDescent="0.15">
      <c r="A179" s="76"/>
      <c r="B179" s="76"/>
      <c r="C179" s="76"/>
      <c r="D179" s="49">
        <v>2</v>
      </c>
      <c r="E179" s="49" t="s">
        <v>131</v>
      </c>
      <c r="F179" s="49">
        <v>1</v>
      </c>
      <c r="G179" s="49" t="s">
        <v>279</v>
      </c>
      <c r="H179" s="49" t="s">
        <v>179</v>
      </c>
      <c r="I179" s="49" t="str">
        <f>ROMAN(28)</f>
        <v>XXVIII</v>
      </c>
      <c r="J179" s="49"/>
      <c r="K179" s="64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</row>
    <row r="180" spans="1:36" ht="28.5" customHeight="1" x14ac:dyDescent="0.15">
      <c r="A180" s="76"/>
      <c r="B180" s="76"/>
      <c r="C180" s="76"/>
      <c r="D180" s="49">
        <v>3</v>
      </c>
      <c r="E180" s="49" t="s">
        <v>121</v>
      </c>
      <c r="F180" s="49">
        <v>321</v>
      </c>
      <c r="G180" s="49" t="s">
        <v>280</v>
      </c>
      <c r="H180" s="49" t="s">
        <v>179</v>
      </c>
      <c r="I180" s="49" t="str">
        <f t="shared" ref="I180:I182" si="29">ROMAN(30)</f>
        <v>XXX</v>
      </c>
      <c r="J180" s="49"/>
      <c r="K180" s="64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</row>
    <row r="181" spans="1:36" ht="28.5" customHeight="1" x14ac:dyDescent="0.15">
      <c r="A181" s="76"/>
      <c r="B181" s="76"/>
      <c r="C181" s="76"/>
      <c r="D181" s="49">
        <v>4</v>
      </c>
      <c r="E181" s="49" t="s">
        <v>121</v>
      </c>
      <c r="F181" s="49">
        <v>70</v>
      </c>
      <c r="G181" s="49" t="s">
        <v>281</v>
      </c>
      <c r="H181" s="49" t="s">
        <v>179</v>
      </c>
      <c r="I181" s="49" t="str">
        <f t="shared" si="29"/>
        <v>XXX</v>
      </c>
      <c r="J181" s="49"/>
      <c r="K181" s="64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</row>
    <row r="182" spans="1:36" ht="28.5" customHeight="1" x14ac:dyDescent="0.15">
      <c r="A182" s="76"/>
      <c r="B182" s="76"/>
      <c r="C182" s="76"/>
      <c r="D182" s="49">
        <v>5</v>
      </c>
      <c r="E182" s="49" t="s">
        <v>121</v>
      </c>
      <c r="F182" s="49" t="s">
        <v>282</v>
      </c>
      <c r="G182" s="49" t="s">
        <v>283</v>
      </c>
      <c r="H182" s="49" t="s">
        <v>179</v>
      </c>
      <c r="I182" s="49" t="str">
        <f t="shared" si="29"/>
        <v>XXX</v>
      </c>
      <c r="J182" s="49"/>
      <c r="K182" s="64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</row>
    <row r="183" spans="1:36" ht="28.5" customHeight="1" x14ac:dyDescent="0.15">
      <c r="A183" s="76"/>
      <c r="B183" s="76"/>
      <c r="C183" s="76"/>
      <c r="D183" s="49">
        <v>6</v>
      </c>
      <c r="E183" s="49" t="s">
        <v>121</v>
      </c>
      <c r="F183" s="49">
        <v>69</v>
      </c>
      <c r="G183" s="49" t="s">
        <v>284</v>
      </c>
      <c r="H183" s="49" t="s">
        <v>179</v>
      </c>
      <c r="I183" s="49" t="str">
        <f>ROMAN(27)</f>
        <v>XXVII</v>
      </c>
      <c r="J183" s="49"/>
      <c r="K183" s="64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</row>
    <row r="184" spans="1:36" ht="28.5" customHeight="1" x14ac:dyDescent="0.15">
      <c r="A184" s="76"/>
      <c r="B184" s="76"/>
      <c r="C184" s="76"/>
      <c r="D184" s="49">
        <v>7</v>
      </c>
      <c r="E184" s="49" t="s">
        <v>121</v>
      </c>
      <c r="F184" s="49">
        <v>108</v>
      </c>
      <c r="G184" s="49" t="s">
        <v>285</v>
      </c>
      <c r="H184" s="49" t="s">
        <v>179</v>
      </c>
      <c r="I184" s="49" t="str">
        <f>ROMAN(30)</f>
        <v>XXX</v>
      </c>
      <c r="J184" s="49"/>
      <c r="K184" s="64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</row>
    <row r="185" spans="1:36" ht="28.5" customHeight="1" x14ac:dyDescent="0.15">
      <c r="A185" s="76"/>
      <c r="B185" s="61"/>
      <c r="C185" s="61"/>
      <c r="D185" s="49">
        <v>8</v>
      </c>
      <c r="E185" s="49" t="s">
        <v>121</v>
      </c>
      <c r="F185" s="49">
        <v>69</v>
      </c>
      <c r="G185" s="49" t="s">
        <v>286</v>
      </c>
      <c r="H185" s="49" t="s">
        <v>179</v>
      </c>
      <c r="I185" s="49" t="str">
        <f>ROMAN(22)</f>
        <v>XXII</v>
      </c>
      <c r="J185" s="49"/>
      <c r="K185" s="64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</row>
    <row r="186" spans="1:36" ht="28.5" customHeight="1" x14ac:dyDescent="0.15">
      <c r="A186" s="76"/>
      <c r="B186" s="81">
        <v>27</v>
      </c>
      <c r="C186" s="81" t="str">
        <f>ROMAN(B186)</f>
        <v>XXVII</v>
      </c>
      <c r="D186" s="49">
        <v>1</v>
      </c>
      <c r="E186" s="49" t="s">
        <v>131</v>
      </c>
      <c r="F186" s="49">
        <v>132</v>
      </c>
      <c r="G186" s="49" t="s">
        <v>287</v>
      </c>
      <c r="H186" s="49" t="s">
        <v>179</v>
      </c>
      <c r="I186" s="49" t="str">
        <f t="shared" ref="I186:I187" si="30">ROMAN(1)</f>
        <v>I</v>
      </c>
      <c r="J186" s="49"/>
      <c r="K186" s="86">
        <f>D202</f>
        <v>17</v>
      </c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</row>
    <row r="187" spans="1:36" ht="28.5" customHeight="1" x14ac:dyDescent="0.15">
      <c r="A187" s="76"/>
      <c r="B187" s="76"/>
      <c r="C187" s="76"/>
      <c r="D187" s="49">
        <v>2</v>
      </c>
      <c r="E187" s="49" t="s">
        <v>131</v>
      </c>
      <c r="F187" s="49">
        <v>141</v>
      </c>
      <c r="G187" s="49" t="s">
        <v>288</v>
      </c>
      <c r="H187" s="49" t="s">
        <v>179</v>
      </c>
      <c r="I187" s="49" t="str">
        <f t="shared" si="30"/>
        <v>I</v>
      </c>
      <c r="J187" s="49"/>
      <c r="K187" s="64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</row>
    <row r="188" spans="1:36" ht="28.5" customHeight="1" x14ac:dyDescent="0.15">
      <c r="A188" s="76"/>
      <c r="B188" s="76"/>
      <c r="C188" s="76"/>
      <c r="D188" s="49">
        <v>3</v>
      </c>
      <c r="E188" s="49" t="s">
        <v>131</v>
      </c>
      <c r="F188" s="49">
        <v>533</v>
      </c>
      <c r="G188" s="49" t="s">
        <v>289</v>
      </c>
      <c r="H188" s="49" t="s">
        <v>179</v>
      </c>
      <c r="I188" s="49" t="str">
        <f>ROMAN(26)</f>
        <v>XXVI</v>
      </c>
      <c r="J188" s="49"/>
      <c r="K188" s="64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</row>
    <row r="189" spans="1:36" ht="28.5" customHeight="1" x14ac:dyDescent="0.15">
      <c r="A189" s="76"/>
      <c r="B189" s="76"/>
      <c r="C189" s="76"/>
      <c r="D189" s="49">
        <v>4</v>
      </c>
      <c r="E189" s="49" t="s">
        <v>131</v>
      </c>
      <c r="F189" s="49" t="s">
        <v>290</v>
      </c>
      <c r="G189" s="49" t="s">
        <v>291</v>
      </c>
      <c r="H189" s="49" t="s">
        <v>179</v>
      </c>
      <c r="I189" s="49" t="str">
        <f>ROMAN(30)</f>
        <v>XXX</v>
      </c>
      <c r="J189" s="49"/>
      <c r="K189" s="64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</row>
    <row r="190" spans="1:36" ht="28.5" customHeight="1" x14ac:dyDescent="0.15">
      <c r="A190" s="76"/>
      <c r="B190" s="76"/>
      <c r="C190" s="76"/>
      <c r="D190" s="49">
        <v>5</v>
      </c>
      <c r="E190" s="49" t="s">
        <v>131</v>
      </c>
      <c r="F190" s="49">
        <v>435</v>
      </c>
      <c r="G190" s="49" t="s">
        <v>292</v>
      </c>
      <c r="H190" s="49" t="s">
        <v>179</v>
      </c>
      <c r="I190" s="49" t="str">
        <f t="shared" ref="I190:I192" si="31">ROMAN(1)</f>
        <v>I</v>
      </c>
      <c r="J190" s="49"/>
      <c r="K190" s="64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</row>
    <row r="191" spans="1:36" ht="28.5" customHeight="1" x14ac:dyDescent="0.15">
      <c r="A191" s="76"/>
      <c r="B191" s="76"/>
      <c r="C191" s="76"/>
      <c r="D191" s="49">
        <v>6</v>
      </c>
      <c r="E191" s="49" t="s">
        <v>131</v>
      </c>
      <c r="F191" s="49">
        <v>209</v>
      </c>
      <c r="G191" s="49" t="s">
        <v>293</v>
      </c>
      <c r="H191" s="49" t="s">
        <v>179</v>
      </c>
      <c r="I191" s="49" t="str">
        <f t="shared" si="31"/>
        <v>I</v>
      </c>
      <c r="J191" s="49"/>
      <c r="K191" s="64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</row>
    <row r="192" spans="1:36" ht="28.5" customHeight="1" x14ac:dyDescent="0.15">
      <c r="A192" s="76"/>
      <c r="B192" s="76"/>
      <c r="C192" s="76"/>
      <c r="D192" s="49">
        <v>7</v>
      </c>
      <c r="E192" s="49" t="s">
        <v>131</v>
      </c>
      <c r="F192" s="49">
        <v>130</v>
      </c>
      <c r="G192" s="49" t="s">
        <v>294</v>
      </c>
      <c r="H192" s="49" t="s">
        <v>179</v>
      </c>
      <c r="I192" s="49" t="str">
        <f t="shared" si="31"/>
        <v>I</v>
      </c>
      <c r="J192" s="49"/>
      <c r="K192" s="64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</row>
    <row r="193" spans="1:36" ht="28.5" customHeight="1" x14ac:dyDescent="0.15">
      <c r="A193" s="76"/>
      <c r="B193" s="76"/>
      <c r="C193" s="76"/>
      <c r="D193" s="49">
        <v>8</v>
      </c>
      <c r="E193" s="49" t="s">
        <v>131</v>
      </c>
      <c r="F193" s="49">
        <v>350</v>
      </c>
      <c r="G193" s="49" t="s">
        <v>295</v>
      </c>
      <c r="H193" s="49" t="s">
        <v>179</v>
      </c>
      <c r="I193" s="49" t="str">
        <f>ROMAN(30)</f>
        <v>XXX</v>
      </c>
      <c r="J193" s="49"/>
      <c r="K193" s="64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</row>
    <row r="194" spans="1:36" ht="28.5" customHeight="1" x14ac:dyDescent="0.15">
      <c r="A194" s="76"/>
      <c r="B194" s="76"/>
      <c r="C194" s="76"/>
      <c r="D194" s="49">
        <v>9</v>
      </c>
      <c r="E194" s="49" t="s">
        <v>121</v>
      </c>
      <c r="F194" s="49">
        <v>106</v>
      </c>
      <c r="G194" s="49" t="s">
        <v>296</v>
      </c>
      <c r="H194" s="49" t="s">
        <v>179</v>
      </c>
      <c r="I194" s="49" t="str">
        <f t="shared" ref="I194:I197" si="32">ROMAN(1)</f>
        <v>I</v>
      </c>
      <c r="J194" s="49"/>
      <c r="K194" s="64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</row>
    <row r="195" spans="1:36" ht="28.5" customHeight="1" x14ac:dyDescent="0.15">
      <c r="A195" s="76"/>
      <c r="B195" s="76"/>
      <c r="C195" s="76"/>
      <c r="D195" s="49">
        <v>10</v>
      </c>
      <c r="E195" s="49" t="s">
        <v>121</v>
      </c>
      <c r="F195" s="49" t="s">
        <v>297</v>
      </c>
      <c r="G195" s="49" t="s">
        <v>298</v>
      </c>
      <c r="H195" s="49" t="s">
        <v>179</v>
      </c>
      <c r="I195" s="49" t="str">
        <f t="shared" si="32"/>
        <v>I</v>
      </c>
      <c r="J195" s="49"/>
      <c r="K195" s="64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</row>
    <row r="196" spans="1:36" ht="28.5" customHeight="1" x14ac:dyDescent="0.15">
      <c r="A196" s="76"/>
      <c r="B196" s="76"/>
      <c r="C196" s="76"/>
      <c r="D196" s="49">
        <v>11</v>
      </c>
      <c r="E196" s="49" t="s">
        <v>121</v>
      </c>
      <c r="F196" s="49">
        <v>116</v>
      </c>
      <c r="G196" s="49" t="s">
        <v>299</v>
      </c>
      <c r="H196" s="49" t="s">
        <v>179</v>
      </c>
      <c r="I196" s="49" t="str">
        <f t="shared" si="32"/>
        <v>I</v>
      </c>
      <c r="J196" s="49"/>
      <c r="K196" s="64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</row>
    <row r="197" spans="1:36" ht="28.5" customHeight="1" x14ac:dyDescent="0.15">
      <c r="A197" s="76"/>
      <c r="B197" s="76"/>
      <c r="C197" s="76"/>
      <c r="D197" s="49">
        <v>12</v>
      </c>
      <c r="E197" s="49" t="s">
        <v>121</v>
      </c>
      <c r="F197" s="49">
        <v>136</v>
      </c>
      <c r="G197" s="49" t="s">
        <v>300</v>
      </c>
      <c r="H197" s="49" t="s">
        <v>179</v>
      </c>
      <c r="I197" s="49" t="str">
        <f t="shared" si="32"/>
        <v>I</v>
      </c>
      <c r="J197" s="49"/>
      <c r="K197" s="64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</row>
    <row r="198" spans="1:36" ht="28.5" customHeight="1" x14ac:dyDescent="0.15">
      <c r="A198" s="76"/>
      <c r="B198" s="76"/>
      <c r="C198" s="76"/>
      <c r="D198" s="49">
        <v>13</v>
      </c>
      <c r="E198" s="49" t="s">
        <v>121</v>
      </c>
      <c r="F198" s="49">
        <v>161</v>
      </c>
      <c r="G198" s="49" t="s">
        <v>301</v>
      </c>
      <c r="H198" s="49" t="s">
        <v>179</v>
      </c>
      <c r="I198" s="49" t="str">
        <f>ROMAN(30)</f>
        <v>XXX</v>
      </c>
      <c r="J198" s="49"/>
      <c r="K198" s="64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</row>
    <row r="199" spans="1:36" ht="28.5" customHeight="1" x14ac:dyDescent="0.15">
      <c r="A199" s="76"/>
      <c r="B199" s="76"/>
      <c r="C199" s="76"/>
      <c r="D199" s="49">
        <v>14</v>
      </c>
      <c r="E199" s="49" t="s">
        <v>121</v>
      </c>
      <c r="F199" s="49">
        <v>122</v>
      </c>
      <c r="G199" s="49" t="s">
        <v>302</v>
      </c>
      <c r="H199" s="49" t="s">
        <v>179</v>
      </c>
      <c r="I199" s="49" t="str">
        <f t="shared" ref="I199:I200" si="33">ROMAN(1)</f>
        <v>I</v>
      </c>
      <c r="J199" s="49"/>
      <c r="K199" s="64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</row>
    <row r="200" spans="1:36" ht="28.5" customHeight="1" x14ac:dyDescent="0.15">
      <c r="A200" s="76"/>
      <c r="B200" s="76"/>
      <c r="C200" s="76"/>
      <c r="D200" s="49">
        <v>15</v>
      </c>
      <c r="E200" s="49" t="s">
        <v>121</v>
      </c>
      <c r="F200" s="49">
        <v>137</v>
      </c>
      <c r="G200" s="49" t="s">
        <v>303</v>
      </c>
      <c r="H200" s="49" t="s">
        <v>179</v>
      </c>
      <c r="I200" s="49" t="str">
        <f t="shared" si="33"/>
        <v>I</v>
      </c>
      <c r="J200" s="49"/>
      <c r="K200" s="64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</row>
    <row r="201" spans="1:36" ht="28.5" customHeight="1" x14ac:dyDescent="0.15">
      <c r="A201" s="76"/>
      <c r="B201" s="76"/>
      <c r="C201" s="76"/>
      <c r="D201" s="49">
        <v>16</v>
      </c>
      <c r="E201" s="49" t="s">
        <v>121</v>
      </c>
      <c r="F201" s="49">
        <v>158</v>
      </c>
      <c r="G201" s="49" t="s">
        <v>304</v>
      </c>
      <c r="H201" s="49" t="s">
        <v>179</v>
      </c>
      <c r="I201" s="49" t="str">
        <f>ROMAN(30)</f>
        <v>XXX</v>
      </c>
      <c r="J201" s="49"/>
      <c r="K201" s="64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</row>
    <row r="202" spans="1:36" ht="28.5" customHeight="1" x14ac:dyDescent="0.15">
      <c r="A202" s="76"/>
      <c r="B202" s="61"/>
      <c r="C202" s="61"/>
      <c r="D202" s="49">
        <v>17</v>
      </c>
      <c r="E202" s="49" t="s">
        <v>121</v>
      </c>
      <c r="F202" s="49">
        <v>102</v>
      </c>
      <c r="G202" s="49" t="s">
        <v>305</v>
      </c>
      <c r="H202" s="49" t="s">
        <v>179</v>
      </c>
      <c r="I202" s="49" t="str">
        <f t="shared" ref="I202:I203" si="34">ROMAN(22)</f>
        <v>XXII</v>
      </c>
      <c r="J202" s="49"/>
      <c r="K202" s="64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</row>
    <row r="203" spans="1:36" ht="28.5" customHeight="1" x14ac:dyDescent="0.15">
      <c r="A203" s="76"/>
      <c r="B203" s="81">
        <v>28</v>
      </c>
      <c r="C203" s="81" t="str">
        <f>ROMAN(B203)</f>
        <v>XXVIII</v>
      </c>
      <c r="D203" s="49">
        <v>1</v>
      </c>
      <c r="E203" s="49" t="s">
        <v>131</v>
      </c>
      <c r="F203" s="49">
        <v>286</v>
      </c>
      <c r="G203" s="49" t="s">
        <v>306</v>
      </c>
      <c r="H203" s="49" t="s">
        <v>179</v>
      </c>
      <c r="I203" s="49" t="str">
        <f t="shared" si="34"/>
        <v>XXII</v>
      </c>
      <c r="J203" s="49"/>
      <c r="K203" s="86">
        <f>D209</f>
        <v>7</v>
      </c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</row>
    <row r="204" spans="1:36" ht="28.5" customHeight="1" x14ac:dyDescent="0.15">
      <c r="A204" s="76"/>
      <c r="B204" s="76"/>
      <c r="C204" s="76"/>
      <c r="D204" s="49">
        <v>2</v>
      </c>
      <c r="E204" s="49" t="s">
        <v>131</v>
      </c>
      <c r="F204" s="49">
        <v>232</v>
      </c>
      <c r="G204" s="49" t="s">
        <v>307</v>
      </c>
      <c r="H204" s="49" t="s">
        <v>179</v>
      </c>
      <c r="I204" s="49" t="str">
        <f>ROMAN(6)</f>
        <v>VI</v>
      </c>
      <c r="J204" s="49"/>
      <c r="K204" s="64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</row>
    <row r="205" spans="1:36" ht="28.5" customHeight="1" x14ac:dyDescent="0.15">
      <c r="A205" s="76"/>
      <c r="B205" s="76"/>
      <c r="C205" s="76"/>
      <c r="D205" s="49">
        <v>3</v>
      </c>
      <c r="E205" s="49" t="s">
        <v>131</v>
      </c>
      <c r="F205" s="49">
        <v>103</v>
      </c>
      <c r="G205" s="49" t="s">
        <v>308</v>
      </c>
      <c r="H205" s="49" t="s">
        <v>179</v>
      </c>
      <c r="I205" s="49" t="str">
        <f>ROMAN(4)</f>
        <v>IV</v>
      </c>
      <c r="J205" s="49"/>
      <c r="K205" s="64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</row>
    <row r="206" spans="1:36" ht="28.5" customHeight="1" x14ac:dyDescent="0.15">
      <c r="A206" s="76"/>
      <c r="B206" s="76"/>
      <c r="C206" s="76"/>
      <c r="D206" s="49">
        <v>4</v>
      </c>
      <c r="E206" s="49" t="s">
        <v>131</v>
      </c>
      <c r="F206" s="49">
        <v>252</v>
      </c>
      <c r="G206" s="49" t="s">
        <v>309</v>
      </c>
      <c r="H206" s="49" t="s">
        <v>179</v>
      </c>
      <c r="I206" s="49" t="str">
        <f>ROMAN(29)</f>
        <v>XXIX</v>
      </c>
      <c r="J206" s="49"/>
      <c r="K206" s="64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</row>
    <row r="207" spans="1:36" ht="28.5" customHeight="1" x14ac:dyDescent="0.15">
      <c r="A207" s="76"/>
      <c r="B207" s="76"/>
      <c r="C207" s="76"/>
      <c r="D207" s="49">
        <v>5</v>
      </c>
      <c r="E207" s="49" t="s">
        <v>131</v>
      </c>
      <c r="F207" s="49">
        <v>109</v>
      </c>
      <c r="G207" s="49" t="s">
        <v>310</v>
      </c>
      <c r="H207" s="49" t="s">
        <v>179</v>
      </c>
      <c r="I207" s="49" t="str">
        <f>ROMAN(4)</f>
        <v>IV</v>
      </c>
      <c r="J207" s="49"/>
      <c r="K207" s="64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</row>
    <row r="208" spans="1:36" ht="28.5" customHeight="1" x14ac:dyDescent="0.15">
      <c r="A208" s="76"/>
      <c r="B208" s="76"/>
      <c r="C208" s="76"/>
      <c r="D208" s="49">
        <v>6</v>
      </c>
      <c r="E208" s="49" t="s">
        <v>131</v>
      </c>
      <c r="F208" s="49">
        <v>104</v>
      </c>
      <c r="G208" s="49" t="s">
        <v>311</v>
      </c>
      <c r="H208" s="49" t="s">
        <v>179</v>
      </c>
      <c r="I208" s="49" t="str">
        <f>ROMAN(22)</f>
        <v>XXII</v>
      </c>
      <c r="J208" s="49"/>
      <c r="K208" s="64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</row>
    <row r="209" spans="1:36" ht="28.5" customHeight="1" x14ac:dyDescent="0.15">
      <c r="A209" s="76"/>
      <c r="B209" s="61"/>
      <c r="C209" s="61"/>
      <c r="D209" s="49">
        <v>7</v>
      </c>
      <c r="E209" s="49" t="s">
        <v>121</v>
      </c>
      <c r="F209" s="49">
        <v>115</v>
      </c>
      <c r="G209" s="49" t="s">
        <v>312</v>
      </c>
      <c r="H209" s="49" t="s">
        <v>179</v>
      </c>
      <c r="I209" s="49" t="str">
        <f t="shared" ref="I209:I211" si="35">ROMAN(4)</f>
        <v>IV</v>
      </c>
      <c r="J209" s="49"/>
      <c r="K209" s="64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</row>
    <row r="210" spans="1:36" ht="28.5" customHeight="1" x14ac:dyDescent="0.15">
      <c r="A210" s="76"/>
      <c r="B210" s="81">
        <v>29</v>
      </c>
      <c r="C210" s="81" t="str">
        <f>ROMAN(B210)</f>
        <v>XXIX</v>
      </c>
      <c r="D210" s="49">
        <v>1</v>
      </c>
      <c r="E210" s="49" t="s">
        <v>131</v>
      </c>
      <c r="F210" s="49">
        <v>24</v>
      </c>
      <c r="G210" s="49" t="s">
        <v>313</v>
      </c>
      <c r="H210" s="49" t="s">
        <v>179</v>
      </c>
      <c r="I210" s="49" t="str">
        <f t="shared" si="35"/>
        <v>IV</v>
      </c>
      <c r="J210" s="49"/>
      <c r="K210" s="86">
        <f>D218</f>
        <v>9</v>
      </c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</row>
    <row r="211" spans="1:36" ht="28.5" customHeight="1" x14ac:dyDescent="0.15">
      <c r="A211" s="76"/>
      <c r="B211" s="76"/>
      <c r="C211" s="76"/>
      <c r="D211" s="49">
        <v>2</v>
      </c>
      <c r="E211" s="49" t="s">
        <v>131</v>
      </c>
      <c r="F211" s="49">
        <v>130</v>
      </c>
      <c r="G211" s="49" t="s">
        <v>314</v>
      </c>
      <c r="H211" s="49" t="s">
        <v>179</v>
      </c>
      <c r="I211" s="49" t="str">
        <f t="shared" si="35"/>
        <v>IV</v>
      </c>
      <c r="J211" s="49"/>
      <c r="K211" s="64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</row>
    <row r="212" spans="1:36" ht="28.5" customHeight="1" x14ac:dyDescent="0.15">
      <c r="A212" s="76"/>
      <c r="B212" s="76"/>
      <c r="C212" s="76"/>
      <c r="D212" s="49">
        <v>3</v>
      </c>
      <c r="E212" s="49" t="s">
        <v>131</v>
      </c>
      <c r="F212" s="49">
        <v>55</v>
      </c>
      <c r="G212" s="49" t="s">
        <v>315</v>
      </c>
      <c r="H212" s="49" t="s">
        <v>179</v>
      </c>
      <c r="I212" s="49" t="str">
        <f>ROMAN(3)</f>
        <v>III</v>
      </c>
      <c r="J212" s="49"/>
      <c r="K212" s="64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</row>
    <row r="213" spans="1:36" ht="28.5" customHeight="1" x14ac:dyDescent="0.15">
      <c r="A213" s="76"/>
      <c r="B213" s="76"/>
      <c r="C213" s="76"/>
      <c r="D213" s="49">
        <v>4</v>
      </c>
      <c r="E213" s="49" t="s">
        <v>131</v>
      </c>
      <c r="F213" s="49">
        <v>25</v>
      </c>
      <c r="G213" s="49" t="s">
        <v>316</v>
      </c>
      <c r="H213" s="49" t="s">
        <v>179</v>
      </c>
      <c r="I213" s="49" t="str">
        <f>ROMAN(4)</f>
        <v>IV</v>
      </c>
      <c r="J213" s="49"/>
      <c r="K213" s="64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</row>
    <row r="214" spans="1:36" ht="28.5" customHeight="1" x14ac:dyDescent="0.15">
      <c r="A214" s="76"/>
      <c r="B214" s="76"/>
      <c r="C214" s="76"/>
      <c r="D214" s="49">
        <v>5</v>
      </c>
      <c r="E214" s="49" t="s">
        <v>131</v>
      </c>
      <c r="F214" s="49">
        <v>125</v>
      </c>
      <c r="G214" s="49" t="s">
        <v>317</v>
      </c>
      <c r="H214" s="49" t="s">
        <v>179</v>
      </c>
      <c r="I214" s="49" t="str">
        <f>ROMAN(30)</f>
        <v>XXX</v>
      </c>
      <c r="J214" s="49"/>
      <c r="K214" s="64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</row>
    <row r="215" spans="1:36" ht="28.5" customHeight="1" x14ac:dyDescent="0.15">
      <c r="A215" s="76"/>
      <c r="B215" s="76"/>
      <c r="C215" s="76"/>
      <c r="D215" s="49">
        <v>6</v>
      </c>
      <c r="E215" s="49" t="s">
        <v>131</v>
      </c>
      <c r="F215" s="49">
        <v>29</v>
      </c>
      <c r="G215" s="49" t="s">
        <v>318</v>
      </c>
      <c r="H215" s="49" t="s">
        <v>179</v>
      </c>
      <c r="I215" s="49" t="str">
        <f>ROMAN(4)</f>
        <v>IV</v>
      </c>
      <c r="J215" s="49"/>
      <c r="K215" s="64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</row>
    <row r="216" spans="1:36" ht="28.5" customHeight="1" x14ac:dyDescent="0.15">
      <c r="A216" s="76"/>
      <c r="B216" s="76"/>
      <c r="C216" s="76"/>
      <c r="D216" s="49">
        <v>7</v>
      </c>
      <c r="E216" s="49" t="s">
        <v>131</v>
      </c>
      <c r="F216" s="49">
        <v>224</v>
      </c>
      <c r="G216" s="49" t="s">
        <v>319</v>
      </c>
      <c r="H216" s="49" t="s">
        <v>179</v>
      </c>
      <c r="I216" s="49" t="str">
        <f>ROMAN(30)</f>
        <v>XXX</v>
      </c>
      <c r="J216" s="49"/>
      <c r="K216" s="64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</row>
    <row r="217" spans="1:36" ht="28.5" customHeight="1" x14ac:dyDescent="0.15">
      <c r="A217" s="76"/>
      <c r="B217" s="76"/>
      <c r="C217" s="76"/>
      <c r="D217" s="49">
        <v>8</v>
      </c>
      <c r="E217" s="49" t="s">
        <v>131</v>
      </c>
      <c r="F217" s="49">
        <v>30</v>
      </c>
      <c r="G217" s="49" t="s">
        <v>320</v>
      </c>
      <c r="H217" s="49" t="s">
        <v>179</v>
      </c>
      <c r="I217" s="49" t="str">
        <f t="shared" ref="I217:I218" si="36">ROMAN(3)</f>
        <v>III</v>
      </c>
      <c r="J217" s="49"/>
      <c r="K217" s="64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</row>
    <row r="218" spans="1:36" ht="28.5" customHeight="1" x14ac:dyDescent="0.15">
      <c r="A218" s="76"/>
      <c r="B218" s="61"/>
      <c r="C218" s="61"/>
      <c r="D218" s="49">
        <v>9</v>
      </c>
      <c r="E218" s="49" t="s">
        <v>121</v>
      </c>
      <c r="F218" s="49">
        <v>27</v>
      </c>
      <c r="G218" s="49" t="s">
        <v>321</v>
      </c>
      <c r="H218" s="49" t="s">
        <v>179</v>
      </c>
      <c r="I218" s="49" t="str">
        <f t="shared" si="36"/>
        <v>III</v>
      </c>
      <c r="J218" s="49"/>
      <c r="K218" s="64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</row>
    <row r="219" spans="1:36" ht="28.5" customHeight="1" x14ac:dyDescent="0.15">
      <c r="A219" s="82" t="s">
        <v>97</v>
      </c>
      <c r="B219" s="81">
        <v>30</v>
      </c>
      <c r="C219" s="81" t="str">
        <f>ROMAN(B219)</f>
        <v>XXX</v>
      </c>
      <c r="D219" s="49">
        <v>1</v>
      </c>
      <c r="E219" s="49" t="s">
        <v>119</v>
      </c>
      <c r="F219" s="49"/>
      <c r="G219" s="49" t="s">
        <v>322</v>
      </c>
      <c r="H219" s="49" t="s">
        <v>171</v>
      </c>
      <c r="I219" s="49" t="str">
        <f>ROMAN(29)</f>
        <v>XXIX</v>
      </c>
      <c r="J219" s="49"/>
      <c r="K219" s="86">
        <f>D221</f>
        <v>3</v>
      </c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</row>
    <row r="220" spans="1:36" ht="28.5" customHeight="1" x14ac:dyDescent="0.15">
      <c r="A220" s="76"/>
      <c r="B220" s="76"/>
      <c r="C220" s="76"/>
      <c r="D220" s="49">
        <v>2</v>
      </c>
      <c r="E220" s="49" t="s">
        <v>131</v>
      </c>
      <c r="F220" s="49">
        <v>532</v>
      </c>
      <c r="G220" s="49" t="s">
        <v>323</v>
      </c>
      <c r="H220" s="49" t="s">
        <v>179</v>
      </c>
      <c r="I220" s="49" t="str">
        <f>ROMAN(26)</f>
        <v>XXVI</v>
      </c>
      <c r="J220" s="49"/>
      <c r="K220" s="64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</row>
    <row r="221" spans="1:36" ht="28.5" customHeight="1" x14ac:dyDescent="0.15">
      <c r="A221" s="61"/>
      <c r="B221" s="61"/>
      <c r="C221" s="61"/>
      <c r="D221" s="49">
        <v>3</v>
      </c>
      <c r="E221" s="49" t="s">
        <v>131</v>
      </c>
      <c r="F221" s="49">
        <v>221</v>
      </c>
      <c r="G221" s="49" t="s">
        <v>324</v>
      </c>
      <c r="H221" s="49" t="s">
        <v>179</v>
      </c>
      <c r="I221" s="49" t="str">
        <f>ROMAN(7)</f>
        <v>VII</v>
      </c>
      <c r="J221" s="49"/>
      <c r="K221" s="64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</row>
    <row r="222" spans="1:36" ht="28.5" customHeight="1" x14ac:dyDescent="0.1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</row>
    <row r="223" spans="1:36" ht="28.5" customHeight="1" x14ac:dyDescent="0.1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</row>
    <row r="224" spans="1:36" ht="28.5" customHeight="1" x14ac:dyDescent="0.1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>
        <f>SUM(K2:K221)</f>
        <v>213</v>
      </c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</row>
    <row r="225" spans="1:36" ht="28.5" customHeight="1" x14ac:dyDescent="0.1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</row>
    <row r="226" spans="1:36" ht="28.5" customHeight="1" x14ac:dyDescent="0.1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</row>
    <row r="227" spans="1:36" ht="28.5" customHeight="1" x14ac:dyDescent="0.1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</row>
    <row r="228" spans="1:36" ht="28.5" customHeight="1" x14ac:dyDescent="0.1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</row>
    <row r="229" spans="1:36" ht="28.5" customHeight="1" x14ac:dyDescent="0.1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</row>
    <row r="230" spans="1:36" ht="28.5" customHeight="1" x14ac:dyDescent="0.1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</row>
    <row r="231" spans="1:36" ht="28.5" customHeight="1" x14ac:dyDescent="0.1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</row>
    <row r="232" spans="1:36" ht="28.5" customHeight="1" x14ac:dyDescent="0.1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</row>
    <row r="233" spans="1:36" ht="28.5" customHeight="1" x14ac:dyDescent="0.1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</row>
    <row r="234" spans="1:36" ht="28.5" customHeight="1" x14ac:dyDescent="0.1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</row>
    <row r="235" spans="1:36" ht="28.5" customHeight="1" x14ac:dyDescent="0.1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</row>
    <row r="236" spans="1:36" ht="28.5" customHeight="1" x14ac:dyDescent="0.1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</row>
    <row r="237" spans="1:36" ht="28.5" customHeight="1" x14ac:dyDescent="0.1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</row>
    <row r="238" spans="1:36" ht="28.5" customHeight="1" x14ac:dyDescent="0.1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</row>
    <row r="239" spans="1:36" ht="28.5" customHeight="1" x14ac:dyDescent="0.1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</row>
    <row r="240" spans="1:36" ht="28.5" customHeight="1" x14ac:dyDescent="0.1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</row>
    <row r="241" spans="1:36" ht="28.5" customHeight="1" x14ac:dyDescent="0.1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</row>
    <row r="242" spans="1:36" ht="28.5" customHeight="1" x14ac:dyDescent="0.1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</row>
    <row r="243" spans="1:36" ht="28.5" customHeight="1" x14ac:dyDescent="0.1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</row>
    <row r="244" spans="1:36" ht="28.5" customHeight="1" x14ac:dyDescent="0.1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</row>
    <row r="245" spans="1:36" ht="28.5" customHeight="1" x14ac:dyDescent="0.1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</row>
    <row r="246" spans="1:36" ht="28.5" customHeight="1" x14ac:dyDescent="0.1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</row>
    <row r="247" spans="1:36" ht="28.5" customHeight="1" x14ac:dyDescent="0.1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</row>
    <row r="248" spans="1:36" ht="28.5" customHeight="1" x14ac:dyDescent="0.1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</row>
    <row r="249" spans="1:36" ht="28.5" customHeight="1" x14ac:dyDescent="0.1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</row>
    <row r="250" spans="1:36" ht="28.5" customHeight="1" x14ac:dyDescent="0.1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</row>
    <row r="251" spans="1:36" ht="28.5" customHeight="1" x14ac:dyDescent="0.1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</row>
    <row r="252" spans="1:36" ht="28.5" customHeight="1" x14ac:dyDescent="0.1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</row>
    <row r="253" spans="1:36" ht="28.5" customHeight="1" x14ac:dyDescent="0.1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</row>
    <row r="254" spans="1:36" ht="28.5" customHeight="1" x14ac:dyDescent="0.1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</row>
    <row r="255" spans="1:36" ht="28.5" customHeight="1" x14ac:dyDescent="0.1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</row>
    <row r="256" spans="1:36" ht="28.5" customHeight="1" x14ac:dyDescent="0.1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</row>
    <row r="257" spans="1:36" ht="28.5" customHeight="1" x14ac:dyDescent="0.1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</row>
    <row r="258" spans="1:36" ht="28.5" customHeight="1" x14ac:dyDescent="0.1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</row>
    <row r="259" spans="1:36" ht="28.5" customHeight="1" x14ac:dyDescent="0.1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</row>
    <row r="260" spans="1:36" ht="28.5" customHeight="1" x14ac:dyDescent="0.1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</row>
    <row r="261" spans="1:36" ht="28.5" customHeight="1" x14ac:dyDescent="0.1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</row>
    <row r="262" spans="1:36" ht="28.5" customHeight="1" x14ac:dyDescent="0.1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</row>
    <row r="263" spans="1:36" ht="28.5" customHeight="1" x14ac:dyDescent="0.1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</row>
    <row r="264" spans="1:36" ht="28.5" customHeight="1" x14ac:dyDescent="0.1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</row>
    <row r="265" spans="1:36" ht="28.5" customHeight="1" x14ac:dyDescent="0.1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</row>
    <row r="266" spans="1:36" ht="28.5" customHeight="1" x14ac:dyDescent="0.1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</row>
    <row r="267" spans="1:36" ht="28.5" customHeight="1" x14ac:dyDescent="0.1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</row>
    <row r="268" spans="1:36" ht="28.5" customHeight="1" x14ac:dyDescent="0.1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</row>
    <row r="269" spans="1:36" ht="28.5" customHeight="1" x14ac:dyDescent="0.1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</row>
    <row r="270" spans="1:36" ht="28.5" customHeight="1" x14ac:dyDescent="0.1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</row>
    <row r="271" spans="1:36" ht="28.5" customHeight="1" x14ac:dyDescent="0.1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</row>
    <row r="272" spans="1:36" ht="28.5" customHeight="1" x14ac:dyDescent="0.1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</row>
    <row r="273" spans="1:36" ht="28.5" customHeight="1" x14ac:dyDescent="0.1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</row>
    <row r="274" spans="1:36" ht="28.5" customHeight="1" x14ac:dyDescent="0.1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</row>
    <row r="275" spans="1:36" ht="28.5" customHeight="1" x14ac:dyDescent="0.1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</row>
    <row r="276" spans="1:36" ht="28.5" customHeight="1" x14ac:dyDescent="0.1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</row>
    <row r="277" spans="1:36" ht="28.5" customHeight="1" x14ac:dyDescent="0.1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</row>
    <row r="278" spans="1:36" ht="28.5" customHeight="1" x14ac:dyDescent="0.1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</row>
    <row r="279" spans="1:36" ht="28.5" customHeight="1" x14ac:dyDescent="0.1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</row>
    <row r="280" spans="1:36" ht="28.5" customHeight="1" x14ac:dyDescent="0.1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</row>
    <row r="281" spans="1:36" ht="28.5" customHeight="1" x14ac:dyDescent="0.1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</row>
    <row r="282" spans="1:36" ht="28.5" customHeight="1" x14ac:dyDescent="0.1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</row>
    <row r="283" spans="1:36" ht="28.5" customHeight="1" x14ac:dyDescent="0.1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</row>
    <row r="284" spans="1:36" ht="28.5" customHeight="1" x14ac:dyDescent="0.1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</row>
    <row r="285" spans="1:36" ht="28.5" customHeight="1" x14ac:dyDescent="0.1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</row>
    <row r="286" spans="1:36" ht="28.5" customHeight="1" x14ac:dyDescent="0.1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</row>
    <row r="287" spans="1:36" ht="28.5" customHeight="1" x14ac:dyDescent="0.1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</row>
    <row r="288" spans="1:36" ht="28.5" customHeight="1" x14ac:dyDescent="0.1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</row>
    <row r="289" spans="1:36" ht="28.5" customHeight="1" x14ac:dyDescent="0.1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</row>
    <row r="290" spans="1:36" ht="28.5" customHeight="1" x14ac:dyDescent="0.1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</row>
    <row r="291" spans="1:36" ht="28.5" customHeight="1" x14ac:dyDescent="0.1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</row>
    <row r="292" spans="1:36" ht="28.5" customHeight="1" x14ac:dyDescent="0.1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</row>
    <row r="293" spans="1:36" ht="28.5" customHeight="1" x14ac:dyDescent="0.1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</row>
    <row r="294" spans="1:36" ht="28.5" customHeight="1" x14ac:dyDescent="0.1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</row>
    <row r="295" spans="1:36" ht="28.5" customHeight="1" x14ac:dyDescent="0.1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</row>
    <row r="296" spans="1:36" ht="28.5" customHeight="1" x14ac:dyDescent="0.1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</row>
    <row r="297" spans="1:36" ht="28.5" customHeight="1" x14ac:dyDescent="0.1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</row>
    <row r="298" spans="1:36" ht="28.5" customHeight="1" x14ac:dyDescent="0.1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</row>
    <row r="299" spans="1:36" ht="28.5" customHeight="1" x14ac:dyDescent="0.1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</row>
    <row r="300" spans="1:36" ht="28.5" customHeight="1" x14ac:dyDescent="0.1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</row>
    <row r="301" spans="1:36" ht="28.5" customHeight="1" x14ac:dyDescent="0.1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</row>
    <row r="302" spans="1:36" ht="28.5" customHeight="1" x14ac:dyDescent="0.1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</row>
    <row r="303" spans="1:36" ht="28.5" customHeight="1" x14ac:dyDescent="0.1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</row>
    <row r="304" spans="1:36" ht="28.5" customHeight="1" x14ac:dyDescent="0.1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</row>
    <row r="305" spans="1:36" ht="28.5" customHeight="1" x14ac:dyDescent="0.1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</row>
    <row r="306" spans="1:36" ht="28.5" customHeight="1" x14ac:dyDescent="0.1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</row>
    <row r="307" spans="1:36" ht="28.5" customHeight="1" x14ac:dyDescent="0.1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</row>
    <row r="308" spans="1:36" ht="28.5" customHeight="1" x14ac:dyDescent="0.1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</row>
    <row r="309" spans="1:36" ht="28.5" customHeight="1" x14ac:dyDescent="0.1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</row>
    <row r="310" spans="1:36" ht="28.5" customHeight="1" x14ac:dyDescent="0.1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</row>
    <row r="311" spans="1:36" ht="28.5" customHeight="1" x14ac:dyDescent="0.1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</row>
    <row r="312" spans="1:36" ht="28.5" customHeight="1" x14ac:dyDescent="0.1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</row>
    <row r="313" spans="1:36" ht="28.5" customHeight="1" x14ac:dyDescent="0.1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</row>
    <row r="314" spans="1:36" ht="28.5" customHeight="1" x14ac:dyDescent="0.1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</row>
    <row r="315" spans="1:36" ht="28.5" customHeight="1" x14ac:dyDescent="0.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</row>
    <row r="316" spans="1:36" ht="28.5" customHeight="1" x14ac:dyDescent="0.1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</row>
    <row r="317" spans="1:36" ht="28.5" customHeight="1" x14ac:dyDescent="0.1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</row>
    <row r="318" spans="1:36" ht="28.5" customHeight="1" x14ac:dyDescent="0.1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</row>
    <row r="319" spans="1:36" ht="28.5" customHeight="1" x14ac:dyDescent="0.1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</row>
    <row r="320" spans="1:36" ht="28.5" customHeight="1" x14ac:dyDescent="0.1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</row>
    <row r="321" spans="1:36" ht="28.5" customHeight="1" x14ac:dyDescent="0.1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</row>
    <row r="322" spans="1:36" ht="28.5" customHeight="1" x14ac:dyDescent="0.1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</row>
    <row r="323" spans="1:36" ht="28.5" customHeight="1" x14ac:dyDescent="0.1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</row>
    <row r="324" spans="1:36" ht="28.5" customHeight="1" x14ac:dyDescent="0.1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</row>
    <row r="325" spans="1:36" ht="28.5" customHeight="1" x14ac:dyDescent="0.1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</row>
    <row r="326" spans="1:36" ht="28.5" customHeight="1" x14ac:dyDescent="0.1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</row>
    <row r="327" spans="1:36" ht="28.5" customHeight="1" x14ac:dyDescent="0.1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</row>
    <row r="328" spans="1:36" ht="28.5" customHeight="1" x14ac:dyDescent="0.1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</row>
    <row r="329" spans="1:36" ht="28.5" customHeight="1" x14ac:dyDescent="0.1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</row>
    <row r="330" spans="1:36" ht="28.5" customHeight="1" x14ac:dyDescent="0.1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</row>
    <row r="331" spans="1:36" ht="28.5" customHeight="1" x14ac:dyDescent="0.1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</row>
    <row r="332" spans="1:36" ht="28.5" customHeight="1" x14ac:dyDescent="0.1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</row>
    <row r="333" spans="1:36" ht="28.5" customHeight="1" x14ac:dyDescent="0.1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</row>
    <row r="334" spans="1:36" ht="28.5" customHeight="1" x14ac:dyDescent="0.1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</row>
    <row r="335" spans="1:36" ht="28.5" customHeight="1" x14ac:dyDescent="0.1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</row>
    <row r="336" spans="1:36" ht="28.5" customHeight="1" x14ac:dyDescent="0.1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</row>
    <row r="337" spans="1:36" ht="28.5" customHeight="1" x14ac:dyDescent="0.1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</row>
    <row r="338" spans="1:36" ht="28.5" customHeight="1" x14ac:dyDescent="0.1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</row>
    <row r="339" spans="1:36" ht="28.5" customHeight="1" x14ac:dyDescent="0.1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</row>
    <row r="340" spans="1:36" ht="28.5" customHeight="1" x14ac:dyDescent="0.1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</row>
    <row r="341" spans="1:36" ht="28.5" customHeight="1" x14ac:dyDescent="0.1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</row>
    <row r="342" spans="1:36" ht="28.5" customHeight="1" x14ac:dyDescent="0.1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</row>
    <row r="343" spans="1:36" ht="28.5" customHeight="1" x14ac:dyDescent="0.1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</row>
    <row r="344" spans="1:36" ht="28.5" customHeight="1" x14ac:dyDescent="0.1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</row>
    <row r="345" spans="1:36" ht="28.5" customHeight="1" x14ac:dyDescent="0.1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</row>
    <row r="346" spans="1:36" ht="28.5" customHeight="1" x14ac:dyDescent="0.1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</row>
    <row r="347" spans="1:36" ht="28.5" customHeight="1" x14ac:dyDescent="0.1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</row>
    <row r="348" spans="1:36" ht="28.5" customHeight="1" x14ac:dyDescent="0.1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</row>
    <row r="349" spans="1:36" ht="28.5" customHeight="1" x14ac:dyDescent="0.1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</row>
    <row r="350" spans="1:36" ht="28.5" customHeight="1" x14ac:dyDescent="0.1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</row>
    <row r="351" spans="1:36" ht="28.5" customHeight="1" x14ac:dyDescent="0.1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</row>
    <row r="352" spans="1:36" ht="28.5" customHeight="1" x14ac:dyDescent="0.1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</row>
    <row r="353" spans="1:36" ht="28.5" customHeight="1" x14ac:dyDescent="0.1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</row>
    <row r="354" spans="1:36" ht="28.5" customHeight="1" x14ac:dyDescent="0.1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</row>
    <row r="355" spans="1:36" ht="28.5" customHeight="1" x14ac:dyDescent="0.1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</row>
    <row r="356" spans="1:36" ht="28.5" customHeight="1" x14ac:dyDescent="0.1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</row>
    <row r="357" spans="1:36" ht="28.5" customHeight="1" x14ac:dyDescent="0.1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</row>
    <row r="358" spans="1:36" ht="28.5" customHeight="1" x14ac:dyDescent="0.1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</row>
    <row r="359" spans="1:36" ht="28.5" customHeight="1" x14ac:dyDescent="0.1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</row>
    <row r="360" spans="1:36" ht="28.5" customHeight="1" x14ac:dyDescent="0.1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</row>
    <row r="361" spans="1:36" ht="28.5" customHeight="1" x14ac:dyDescent="0.1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</row>
    <row r="362" spans="1:36" ht="28.5" customHeight="1" x14ac:dyDescent="0.1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</row>
    <row r="363" spans="1:36" ht="28.5" customHeight="1" x14ac:dyDescent="0.1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</row>
    <row r="364" spans="1:36" ht="28.5" customHeight="1" x14ac:dyDescent="0.1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</row>
    <row r="365" spans="1:36" ht="28.5" customHeight="1" x14ac:dyDescent="0.1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</row>
    <row r="366" spans="1:36" ht="28.5" customHeight="1" x14ac:dyDescent="0.1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</row>
    <row r="367" spans="1:36" ht="28.5" customHeight="1" x14ac:dyDescent="0.1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</row>
    <row r="368" spans="1:36" ht="28.5" customHeight="1" x14ac:dyDescent="0.1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</row>
    <row r="369" spans="1:36" ht="28.5" customHeight="1" x14ac:dyDescent="0.1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</row>
    <row r="370" spans="1:36" ht="28.5" customHeight="1" x14ac:dyDescent="0.1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</row>
    <row r="371" spans="1:36" ht="28.5" customHeight="1" x14ac:dyDescent="0.1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</row>
    <row r="372" spans="1:36" ht="28.5" customHeight="1" x14ac:dyDescent="0.1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</row>
    <row r="373" spans="1:36" ht="28.5" customHeight="1" x14ac:dyDescent="0.1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</row>
    <row r="374" spans="1:36" ht="28.5" customHeight="1" x14ac:dyDescent="0.1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</row>
    <row r="375" spans="1:36" ht="28.5" customHeight="1" x14ac:dyDescent="0.1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</row>
    <row r="376" spans="1:36" ht="28.5" customHeight="1" x14ac:dyDescent="0.1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</row>
    <row r="377" spans="1:36" ht="28.5" customHeight="1" x14ac:dyDescent="0.1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</row>
    <row r="378" spans="1:36" ht="28.5" customHeight="1" x14ac:dyDescent="0.1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</row>
    <row r="379" spans="1:36" ht="28.5" customHeight="1" x14ac:dyDescent="0.1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</row>
    <row r="380" spans="1:36" ht="28.5" customHeight="1" x14ac:dyDescent="0.1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</row>
    <row r="381" spans="1:36" ht="28.5" customHeight="1" x14ac:dyDescent="0.1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</row>
    <row r="382" spans="1:36" ht="28.5" customHeight="1" x14ac:dyDescent="0.1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</row>
    <row r="383" spans="1:36" ht="28.5" customHeight="1" x14ac:dyDescent="0.1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</row>
    <row r="384" spans="1:36" ht="28.5" customHeight="1" x14ac:dyDescent="0.1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</row>
    <row r="385" spans="1:36" ht="28.5" customHeight="1" x14ac:dyDescent="0.1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</row>
    <row r="386" spans="1:36" ht="28.5" customHeight="1" x14ac:dyDescent="0.1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</row>
    <row r="387" spans="1:36" ht="28.5" customHeight="1" x14ac:dyDescent="0.1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</row>
    <row r="388" spans="1:36" ht="28.5" customHeight="1" x14ac:dyDescent="0.1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</row>
    <row r="389" spans="1:36" ht="28.5" customHeight="1" x14ac:dyDescent="0.1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</row>
    <row r="390" spans="1:36" ht="28.5" customHeight="1" x14ac:dyDescent="0.1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</row>
    <row r="391" spans="1:36" ht="28.5" customHeight="1" x14ac:dyDescent="0.1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</row>
    <row r="392" spans="1:36" ht="28.5" customHeight="1" x14ac:dyDescent="0.1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</row>
    <row r="393" spans="1:36" ht="28.5" customHeight="1" x14ac:dyDescent="0.1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</row>
    <row r="394" spans="1:36" ht="28.5" customHeight="1" x14ac:dyDescent="0.1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</row>
    <row r="395" spans="1:36" ht="28.5" customHeight="1" x14ac:dyDescent="0.1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</row>
    <row r="396" spans="1:36" ht="28.5" customHeight="1" x14ac:dyDescent="0.1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</row>
    <row r="397" spans="1:36" ht="28.5" customHeight="1" x14ac:dyDescent="0.1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</row>
    <row r="398" spans="1:36" ht="28.5" customHeight="1" x14ac:dyDescent="0.1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</row>
    <row r="399" spans="1:36" ht="28.5" customHeight="1" x14ac:dyDescent="0.1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</row>
    <row r="400" spans="1:36" ht="28.5" customHeight="1" x14ac:dyDescent="0.1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</row>
    <row r="401" spans="1:36" ht="28.5" customHeight="1" x14ac:dyDescent="0.1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</row>
    <row r="402" spans="1:36" ht="28.5" customHeight="1" x14ac:dyDescent="0.1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</row>
    <row r="403" spans="1:36" ht="28.5" customHeight="1" x14ac:dyDescent="0.1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</row>
    <row r="404" spans="1:36" ht="28.5" customHeight="1" x14ac:dyDescent="0.1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</row>
    <row r="405" spans="1:36" ht="28.5" customHeight="1" x14ac:dyDescent="0.1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</row>
    <row r="406" spans="1:36" ht="28.5" customHeight="1" x14ac:dyDescent="0.1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</row>
    <row r="407" spans="1:36" ht="28.5" customHeight="1" x14ac:dyDescent="0.1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</row>
    <row r="408" spans="1:36" ht="28.5" customHeight="1" x14ac:dyDescent="0.1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</row>
    <row r="409" spans="1:36" ht="28.5" customHeight="1" x14ac:dyDescent="0.1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</row>
    <row r="410" spans="1:36" ht="28.5" customHeight="1" x14ac:dyDescent="0.1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</row>
    <row r="411" spans="1:36" ht="28.5" customHeight="1" x14ac:dyDescent="0.1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</row>
    <row r="412" spans="1:36" ht="28.5" customHeight="1" x14ac:dyDescent="0.1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</row>
    <row r="413" spans="1:36" ht="28.5" customHeight="1" x14ac:dyDescent="0.1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</row>
    <row r="414" spans="1:36" ht="28.5" customHeight="1" x14ac:dyDescent="0.1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</row>
    <row r="415" spans="1:36" ht="28.5" customHeight="1" x14ac:dyDescent="0.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</row>
    <row r="416" spans="1:36" ht="28.5" customHeight="1" x14ac:dyDescent="0.1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</row>
    <row r="417" spans="1:36" ht="28.5" customHeight="1" x14ac:dyDescent="0.1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</row>
    <row r="418" spans="1:36" ht="28.5" customHeight="1" x14ac:dyDescent="0.1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</row>
    <row r="419" spans="1:36" ht="28.5" customHeight="1" x14ac:dyDescent="0.1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</row>
    <row r="420" spans="1:36" ht="28.5" customHeight="1" x14ac:dyDescent="0.1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</row>
    <row r="421" spans="1:36" ht="28.5" customHeight="1" x14ac:dyDescent="0.1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</row>
    <row r="422" spans="1:36" ht="28.5" customHeight="1" x14ac:dyDescent="0.1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</row>
    <row r="423" spans="1:36" ht="28.5" customHeight="1" x14ac:dyDescent="0.1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</row>
    <row r="424" spans="1:36" ht="28.5" customHeight="1" x14ac:dyDescent="0.1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</row>
    <row r="425" spans="1:36" ht="28.5" customHeight="1" x14ac:dyDescent="0.1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</row>
    <row r="426" spans="1:36" ht="28.5" customHeight="1" x14ac:dyDescent="0.1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</row>
    <row r="427" spans="1:36" ht="28.5" customHeight="1" x14ac:dyDescent="0.1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</row>
    <row r="428" spans="1:36" ht="28.5" customHeight="1" x14ac:dyDescent="0.1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</row>
    <row r="429" spans="1:36" ht="28.5" customHeight="1" x14ac:dyDescent="0.1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</row>
    <row r="430" spans="1:36" ht="28.5" customHeight="1" x14ac:dyDescent="0.1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</row>
    <row r="431" spans="1:36" ht="28.5" customHeight="1" x14ac:dyDescent="0.1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</row>
    <row r="432" spans="1:36" ht="28.5" customHeight="1" x14ac:dyDescent="0.1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</row>
    <row r="433" spans="1:36" ht="28.5" customHeight="1" x14ac:dyDescent="0.1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</row>
    <row r="434" spans="1:36" ht="28.5" customHeight="1" x14ac:dyDescent="0.1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</row>
    <row r="435" spans="1:36" ht="28.5" customHeight="1" x14ac:dyDescent="0.1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</row>
    <row r="436" spans="1:36" ht="28.5" customHeight="1" x14ac:dyDescent="0.1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</row>
    <row r="437" spans="1:36" ht="28.5" customHeight="1" x14ac:dyDescent="0.1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</row>
    <row r="438" spans="1:36" ht="28.5" customHeight="1" x14ac:dyDescent="0.1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</row>
    <row r="439" spans="1:36" ht="28.5" customHeight="1" x14ac:dyDescent="0.1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</row>
    <row r="440" spans="1:36" ht="28.5" customHeight="1" x14ac:dyDescent="0.1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</row>
    <row r="441" spans="1:36" ht="28.5" customHeight="1" x14ac:dyDescent="0.1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</row>
    <row r="442" spans="1:36" ht="28.5" customHeight="1" x14ac:dyDescent="0.1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</row>
    <row r="443" spans="1:36" ht="28.5" customHeight="1" x14ac:dyDescent="0.1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</row>
    <row r="444" spans="1:36" ht="28.5" customHeight="1" x14ac:dyDescent="0.1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</row>
    <row r="445" spans="1:36" ht="28.5" customHeight="1" x14ac:dyDescent="0.1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</row>
    <row r="446" spans="1:36" ht="28.5" customHeight="1" x14ac:dyDescent="0.1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</row>
    <row r="447" spans="1:36" ht="28.5" customHeight="1" x14ac:dyDescent="0.1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</row>
    <row r="448" spans="1:36" ht="28.5" customHeight="1" x14ac:dyDescent="0.1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</row>
    <row r="449" spans="1:36" ht="28.5" customHeight="1" x14ac:dyDescent="0.1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</row>
    <row r="450" spans="1:36" ht="28.5" customHeight="1" x14ac:dyDescent="0.1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</row>
    <row r="451" spans="1:36" ht="28.5" customHeight="1" x14ac:dyDescent="0.1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</row>
    <row r="452" spans="1:36" ht="28.5" customHeight="1" x14ac:dyDescent="0.1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</row>
    <row r="453" spans="1:36" ht="28.5" customHeight="1" x14ac:dyDescent="0.1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</row>
    <row r="454" spans="1:36" ht="28.5" customHeight="1" x14ac:dyDescent="0.1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</row>
    <row r="455" spans="1:36" ht="28.5" customHeight="1" x14ac:dyDescent="0.1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</row>
    <row r="456" spans="1:36" ht="28.5" customHeight="1" x14ac:dyDescent="0.1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</row>
    <row r="457" spans="1:36" ht="28.5" customHeight="1" x14ac:dyDescent="0.1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</row>
    <row r="458" spans="1:36" ht="28.5" customHeight="1" x14ac:dyDescent="0.1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</row>
    <row r="459" spans="1:36" ht="28.5" customHeight="1" x14ac:dyDescent="0.1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</row>
    <row r="460" spans="1:36" ht="28.5" customHeight="1" x14ac:dyDescent="0.1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</row>
    <row r="461" spans="1:36" ht="28.5" customHeight="1" x14ac:dyDescent="0.1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</row>
    <row r="462" spans="1:36" ht="28.5" customHeight="1" x14ac:dyDescent="0.1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</row>
    <row r="463" spans="1:36" ht="28.5" customHeight="1" x14ac:dyDescent="0.1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</row>
    <row r="464" spans="1:36" ht="28.5" customHeight="1" x14ac:dyDescent="0.1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</row>
    <row r="465" spans="1:36" ht="28.5" customHeight="1" x14ac:dyDescent="0.1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</row>
    <row r="466" spans="1:36" ht="28.5" customHeight="1" x14ac:dyDescent="0.1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</row>
    <row r="467" spans="1:36" ht="28.5" customHeight="1" x14ac:dyDescent="0.1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</row>
    <row r="468" spans="1:36" ht="28.5" customHeight="1" x14ac:dyDescent="0.1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</row>
    <row r="469" spans="1:36" ht="28.5" customHeight="1" x14ac:dyDescent="0.1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</row>
    <row r="470" spans="1:36" ht="28.5" customHeight="1" x14ac:dyDescent="0.1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</row>
    <row r="471" spans="1:36" ht="28.5" customHeight="1" x14ac:dyDescent="0.1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</row>
    <row r="472" spans="1:36" ht="28.5" customHeight="1" x14ac:dyDescent="0.1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</row>
    <row r="473" spans="1:36" ht="28.5" customHeight="1" x14ac:dyDescent="0.1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</row>
    <row r="474" spans="1:36" ht="28.5" customHeight="1" x14ac:dyDescent="0.1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</row>
    <row r="475" spans="1:36" ht="28.5" customHeight="1" x14ac:dyDescent="0.1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</row>
    <row r="476" spans="1:36" ht="28.5" customHeight="1" x14ac:dyDescent="0.1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</row>
    <row r="477" spans="1:36" ht="28.5" customHeight="1" x14ac:dyDescent="0.1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</row>
    <row r="478" spans="1:36" ht="28.5" customHeight="1" x14ac:dyDescent="0.1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</row>
    <row r="479" spans="1:36" ht="28.5" customHeight="1" x14ac:dyDescent="0.1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</row>
    <row r="480" spans="1:36" ht="28.5" customHeight="1" x14ac:dyDescent="0.1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</row>
    <row r="481" spans="1:36" ht="28.5" customHeight="1" x14ac:dyDescent="0.1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</row>
    <row r="482" spans="1:36" ht="28.5" customHeight="1" x14ac:dyDescent="0.1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</row>
    <row r="483" spans="1:36" ht="28.5" customHeight="1" x14ac:dyDescent="0.1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</row>
    <row r="484" spans="1:36" ht="28.5" customHeight="1" x14ac:dyDescent="0.1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</row>
    <row r="485" spans="1:36" ht="28.5" customHeight="1" x14ac:dyDescent="0.1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</row>
    <row r="486" spans="1:36" ht="28.5" customHeight="1" x14ac:dyDescent="0.1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</row>
    <row r="487" spans="1:36" ht="28.5" customHeight="1" x14ac:dyDescent="0.1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</row>
    <row r="488" spans="1:36" ht="28.5" customHeight="1" x14ac:dyDescent="0.1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</row>
    <row r="489" spans="1:36" ht="28.5" customHeight="1" x14ac:dyDescent="0.1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</row>
    <row r="490" spans="1:36" ht="28.5" customHeight="1" x14ac:dyDescent="0.1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</row>
    <row r="491" spans="1:36" ht="28.5" customHeight="1" x14ac:dyDescent="0.1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</row>
    <row r="492" spans="1:36" ht="28.5" customHeight="1" x14ac:dyDescent="0.1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</row>
    <row r="493" spans="1:36" ht="28.5" customHeight="1" x14ac:dyDescent="0.1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</row>
    <row r="494" spans="1:36" ht="28.5" customHeight="1" x14ac:dyDescent="0.1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</row>
    <row r="495" spans="1:36" ht="28.5" customHeight="1" x14ac:dyDescent="0.1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</row>
    <row r="496" spans="1:36" ht="28.5" customHeight="1" x14ac:dyDescent="0.1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</row>
    <row r="497" spans="1:36" ht="28.5" customHeight="1" x14ac:dyDescent="0.1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</row>
    <row r="498" spans="1:36" ht="28.5" customHeight="1" x14ac:dyDescent="0.1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</row>
    <row r="499" spans="1:36" ht="28.5" customHeight="1" x14ac:dyDescent="0.1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</row>
    <row r="500" spans="1:36" ht="28.5" customHeight="1" x14ac:dyDescent="0.1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</row>
    <row r="501" spans="1:36" ht="28.5" customHeight="1" x14ac:dyDescent="0.1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</row>
    <row r="502" spans="1:36" ht="28.5" customHeight="1" x14ac:dyDescent="0.1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</row>
    <row r="503" spans="1:36" ht="28.5" customHeight="1" x14ac:dyDescent="0.1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</row>
    <row r="504" spans="1:36" ht="28.5" customHeight="1" x14ac:dyDescent="0.1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</row>
    <row r="505" spans="1:36" ht="28.5" customHeight="1" x14ac:dyDescent="0.1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</row>
    <row r="506" spans="1:36" ht="28.5" customHeight="1" x14ac:dyDescent="0.1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</row>
    <row r="507" spans="1:36" ht="28.5" customHeight="1" x14ac:dyDescent="0.1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</row>
    <row r="508" spans="1:36" ht="28.5" customHeight="1" x14ac:dyDescent="0.1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</row>
    <row r="509" spans="1:36" ht="28.5" customHeight="1" x14ac:dyDescent="0.1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</row>
    <row r="510" spans="1:36" ht="28.5" customHeight="1" x14ac:dyDescent="0.1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</row>
    <row r="511" spans="1:36" ht="28.5" customHeight="1" x14ac:dyDescent="0.1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</row>
    <row r="512" spans="1:36" ht="28.5" customHeight="1" x14ac:dyDescent="0.1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</row>
    <row r="513" spans="1:36" ht="28.5" customHeight="1" x14ac:dyDescent="0.1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</row>
    <row r="514" spans="1:36" ht="28.5" customHeight="1" x14ac:dyDescent="0.1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</row>
    <row r="515" spans="1:36" ht="28.5" customHeight="1" x14ac:dyDescent="0.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</row>
    <row r="516" spans="1:36" ht="28.5" customHeight="1" x14ac:dyDescent="0.1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</row>
    <row r="517" spans="1:36" ht="28.5" customHeight="1" x14ac:dyDescent="0.1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</row>
    <row r="518" spans="1:36" ht="28.5" customHeight="1" x14ac:dyDescent="0.1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</row>
    <row r="519" spans="1:36" ht="28.5" customHeight="1" x14ac:dyDescent="0.1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</row>
    <row r="520" spans="1:36" ht="28.5" customHeight="1" x14ac:dyDescent="0.1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</row>
    <row r="521" spans="1:36" ht="28.5" customHeight="1" x14ac:dyDescent="0.1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</row>
    <row r="522" spans="1:36" ht="28.5" customHeight="1" x14ac:dyDescent="0.1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</row>
    <row r="523" spans="1:36" ht="28.5" customHeight="1" x14ac:dyDescent="0.1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</row>
    <row r="524" spans="1:36" ht="28.5" customHeight="1" x14ac:dyDescent="0.1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</row>
    <row r="525" spans="1:36" ht="28.5" customHeight="1" x14ac:dyDescent="0.1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</row>
    <row r="526" spans="1:36" ht="28.5" customHeight="1" x14ac:dyDescent="0.1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</row>
    <row r="527" spans="1:36" ht="28.5" customHeight="1" x14ac:dyDescent="0.1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</row>
    <row r="528" spans="1:36" ht="28.5" customHeight="1" x14ac:dyDescent="0.1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</row>
    <row r="529" spans="1:36" ht="28.5" customHeight="1" x14ac:dyDescent="0.1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</row>
    <row r="530" spans="1:36" ht="28.5" customHeight="1" x14ac:dyDescent="0.1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</row>
    <row r="531" spans="1:36" ht="28.5" customHeight="1" x14ac:dyDescent="0.1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</row>
    <row r="532" spans="1:36" ht="28.5" customHeight="1" x14ac:dyDescent="0.1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</row>
    <row r="533" spans="1:36" ht="28.5" customHeight="1" x14ac:dyDescent="0.1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</row>
    <row r="534" spans="1:36" ht="28.5" customHeight="1" x14ac:dyDescent="0.1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</row>
    <row r="535" spans="1:36" ht="28.5" customHeight="1" x14ac:dyDescent="0.1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</row>
    <row r="536" spans="1:36" ht="28.5" customHeight="1" x14ac:dyDescent="0.1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</row>
    <row r="537" spans="1:36" ht="28.5" customHeight="1" x14ac:dyDescent="0.1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</row>
    <row r="538" spans="1:36" ht="28.5" customHeight="1" x14ac:dyDescent="0.1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</row>
    <row r="539" spans="1:36" ht="28.5" customHeight="1" x14ac:dyDescent="0.1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</row>
    <row r="540" spans="1:36" ht="28.5" customHeight="1" x14ac:dyDescent="0.1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</row>
    <row r="541" spans="1:36" ht="28.5" customHeight="1" x14ac:dyDescent="0.1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</row>
    <row r="542" spans="1:36" ht="28.5" customHeight="1" x14ac:dyDescent="0.1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</row>
    <row r="543" spans="1:36" ht="28.5" customHeight="1" x14ac:dyDescent="0.1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</row>
    <row r="544" spans="1:36" ht="28.5" customHeight="1" x14ac:dyDescent="0.1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</row>
    <row r="545" spans="1:36" ht="28.5" customHeight="1" x14ac:dyDescent="0.1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</row>
    <row r="546" spans="1:36" ht="28.5" customHeight="1" x14ac:dyDescent="0.1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</row>
    <row r="547" spans="1:36" ht="28.5" customHeight="1" x14ac:dyDescent="0.1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</row>
    <row r="548" spans="1:36" ht="28.5" customHeight="1" x14ac:dyDescent="0.1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</row>
    <row r="549" spans="1:36" ht="28.5" customHeight="1" x14ac:dyDescent="0.1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</row>
    <row r="550" spans="1:36" ht="28.5" customHeight="1" x14ac:dyDescent="0.1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</row>
    <row r="551" spans="1:36" ht="28.5" customHeight="1" x14ac:dyDescent="0.1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</row>
    <row r="552" spans="1:36" ht="28.5" customHeight="1" x14ac:dyDescent="0.1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</row>
    <row r="553" spans="1:36" ht="28.5" customHeight="1" x14ac:dyDescent="0.1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</row>
    <row r="554" spans="1:36" ht="28.5" customHeight="1" x14ac:dyDescent="0.1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</row>
    <row r="555" spans="1:36" ht="28.5" customHeight="1" x14ac:dyDescent="0.1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</row>
    <row r="556" spans="1:36" ht="28.5" customHeight="1" x14ac:dyDescent="0.1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</row>
    <row r="557" spans="1:36" ht="28.5" customHeight="1" x14ac:dyDescent="0.1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</row>
    <row r="558" spans="1:36" ht="28.5" customHeight="1" x14ac:dyDescent="0.1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</row>
    <row r="559" spans="1:36" ht="28.5" customHeight="1" x14ac:dyDescent="0.1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</row>
    <row r="560" spans="1:36" ht="28.5" customHeight="1" x14ac:dyDescent="0.1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</row>
    <row r="561" spans="1:36" ht="28.5" customHeight="1" x14ac:dyDescent="0.1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</row>
    <row r="562" spans="1:36" ht="28.5" customHeight="1" x14ac:dyDescent="0.1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</row>
    <row r="563" spans="1:36" ht="28.5" customHeight="1" x14ac:dyDescent="0.1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</row>
    <row r="564" spans="1:36" ht="28.5" customHeight="1" x14ac:dyDescent="0.1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</row>
    <row r="565" spans="1:36" ht="28.5" customHeight="1" x14ac:dyDescent="0.1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</row>
    <row r="566" spans="1:36" ht="28.5" customHeight="1" x14ac:dyDescent="0.1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</row>
    <row r="567" spans="1:36" ht="28.5" customHeight="1" x14ac:dyDescent="0.1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</row>
    <row r="568" spans="1:36" ht="28.5" customHeight="1" x14ac:dyDescent="0.1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</row>
    <row r="569" spans="1:36" ht="28.5" customHeight="1" x14ac:dyDescent="0.1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</row>
    <row r="570" spans="1:36" ht="28.5" customHeight="1" x14ac:dyDescent="0.1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</row>
    <row r="571" spans="1:36" ht="28.5" customHeight="1" x14ac:dyDescent="0.1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</row>
    <row r="572" spans="1:36" ht="28.5" customHeight="1" x14ac:dyDescent="0.1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</row>
    <row r="573" spans="1:36" ht="28.5" customHeight="1" x14ac:dyDescent="0.1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</row>
    <row r="574" spans="1:36" ht="28.5" customHeight="1" x14ac:dyDescent="0.1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</row>
    <row r="575" spans="1:36" ht="28.5" customHeight="1" x14ac:dyDescent="0.1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</row>
    <row r="576" spans="1:36" ht="28.5" customHeight="1" x14ac:dyDescent="0.1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</row>
    <row r="577" spans="1:36" ht="28.5" customHeight="1" x14ac:dyDescent="0.1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</row>
    <row r="578" spans="1:36" ht="28.5" customHeight="1" x14ac:dyDescent="0.1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</row>
    <row r="579" spans="1:36" ht="28.5" customHeight="1" x14ac:dyDescent="0.1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</row>
    <row r="580" spans="1:36" ht="28.5" customHeight="1" x14ac:dyDescent="0.1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</row>
    <row r="581" spans="1:36" ht="28.5" customHeight="1" x14ac:dyDescent="0.1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</row>
    <row r="582" spans="1:36" ht="28.5" customHeight="1" x14ac:dyDescent="0.1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</row>
    <row r="583" spans="1:36" ht="28.5" customHeight="1" x14ac:dyDescent="0.1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</row>
    <row r="584" spans="1:36" ht="28.5" customHeight="1" x14ac:dyDescent="0.1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</row>
    <row r="585" spans="1:36" ht="28.5" customHeight="1" x14ac:dyDescent="0.1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</row>
    <row r="586" spans="1:36" ht="28.5" customHeight="1" x14ac:dyDescent="0.1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</row>
    <row r="587" spans="1:36" ht="28.5" customHeight="1" x14ac:dyDescent="0.1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</row>
    <row r="588" spans="1:36" ht="28.5" customHeight="1" x14ac:dyDescent="0.1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</row>
    <row r="589" spans="1:36" ht="28.5" customHeight="1" x14ac:dyDescent="0.1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</row>
    <row r="590" spans="1:36" ht="28.5" customHeight="1" x14ac:dyDescent="0.1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</row>
    <row r="591" spans="1:36" ht="28.5" customHeight="1" x14ac:dyDescent="0.1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</row>
    <row r="592" spans="1:36" ht="28.5" customHeight="1" x14ac:dyDescent="0.1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</row>
    <row r="593" spans="1:36" ht="28.5" customHeight="1" x14ac:dyDescent="0.1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</row>
    <row r="594" spans="1:36" ht="28.5" customHeight="1" x14ac:dyDescent="0.1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</row>
    <row r="595" spans="1:36" ht="28.5" customHeight="1" x14ac:dyDescent="0.1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</row>
    <row r="596" spans="1:36" ht="28.5" customHeight="1" x14ac:dyDescent="0.1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</row>
    <row r="597" spans="1:36" ht="28.5" customHeight="1" x14ac:dyDescent="0.1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</row>
    <row r="598" spans="1:36" ht="28.5" customHeight="1" x14ac:dyDescent="0.1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</row>
    <row r="599" spans="1:36" ht="28.5" customHeight="1" x14ac:dyDescent="0.1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</row>
    <row r="600" spans="1:36" ht="28.5" customHeight="1" x14ac:dyDescent="0.1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</row>
    <row r="601" spans="1:36" ht="28.5" customHeight="1" x14ac:dyDescent="0.1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</row>
    <row r="602" spans="1:36" ht="28.5" customHeight="1" x14ac:dyDescent="0.1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</row>
    <row r="603" spans="1:36" ht="28.5" customHeight="1" x14ac:dyDescent="0.1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</row>
    <row r="604" spans="1:36" ht="28.5" customHeight="1" x14ac:dyDescent="0.1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</row>
    <row r="605" spans="1:36" ht="28.5" customHeight="1" x14ac:dyDescent="0.1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</row>
    <row r="606" spans="1:36" ht="28.5" customHeight="1" x14ac:dyDescent="0.1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</row>
    <row r="607" spans="1:36" ht="28.5" customHeight="1" x14ac:dyDescent="0.1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</row>
    <row r="608" spans="1:36" ht="28.5" customHeight="1" x14ac:dyDescent="0.1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</row>
    <row r="609" spans="1:36" ht="28.5" customHeight="1" x14ac:dyDescent="0.1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</row>
    <row r="610" spans="1:36" ht="28.5" customHeight="1" x14ac:dyDescent="0.1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</row>
    <row r="611" spans="1:36" ht="28.5" customHeight="1" x14ac:dyDescent="0.1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</row>
    <row r="612" spans="1:36" ht="28.5" customHeight="1" x14ac:dyDescent="0.1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</row>
    <row r="613" spans="1:36" ht="28.5" customHeight="1" x14ac:dyDescent="0.1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</row>
    <row r="614" spans="1:36" ht="28.5" customHeight="1" x14ac:dyDescent="0.1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</row>
    <row r="615" spans="1:36" ht="28.5" customHeight="1" x14ac:dyDescent="0.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</row>
    <row r="616" spans="1:36" ht="28.5" customHeight="1" x14ac:dyDescent="0.1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</row>
    <row r="617" spans="1:36" ht="28.5" customHeight="1" x14ac:dyDescent="0.1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</row>
    <row r="618" spans="1:36" ht="28.5" customHeight="1" x14ac:dyDescent="0.1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</row>
    <row r="619" spans="1:36" ht="28.5" customHeight="1" x14ac:dyDescent="0.1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</row>
    <row r="620" spans="1:36" ht="28.5" customHeight="1" x14ac:dyDescent="0.1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</row>
    <row r="621" spans="1:36" ht="28.5" customHeight="1" x14ac:dyDescent="0.1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</row>
    <row r="622" spans="1:36" ht="28.5" customHeight="1" x14ac:dyDescent="0.1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</row>
    <row r="623" spans="1:36" ht="28.5" customHeight="1" x14ac:dyDescent="0.1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</row>
    <row r="624" spans="1:36" ht="28.5" customHeight="1" x14ac:dyDescent="0.1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</row>
    <row r="625" spans="1:36" ht="28.5" customHeight="1" x14ac:dyDescent="0.1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</row>
    <row r="626" spans="1:36" ht="28.5" customHeight="1" x14ac:dyDescent="0.1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</row>
    <row r="627" spans="1:36" ht="28.5" customHeight="1" x14ac:dyDescent="0.1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</row>
    <row r="628" spans="1:36" ht="28.5" customHeight="1" x14ac:dyDescent="0.1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</row>
    <row r="629" spans="1:36" ht="28.5" customHeight="1" x14ac:dyDescent="0.1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</row>
    <row r="630" spans="1:36" ht="28.5" customHeight="1" x14ac:dyDescent="0.1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</row>
    <row r="631" spans="1:36" ht="28.5" customHeight="1" x14ac:dyDescent="0.1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</row>
    <row r="632" spans="1:36" ht="28.5" customHeight="1" x14ac:dyDescent="0.1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</row>
    <row r="633" spans="1:36" ht="28.5" customHeight="1" x14ac:dyDescent="0.1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</row>
    <row r="634" spans="1:36" ht="28.5" customHeight="1" x14ac:dyDescent="0.1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</row>
    <row r="635" spans="1:36" ht="28.5" customHeight="1" x14ac:dyDescent="0.1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</row>
    <row r="636" spans="1:36" ht="28.5" customHeight="1" x14ac:dyDescent="0.1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</row>
    <row r="637" spans="1:36" ht="28.5" customHeight="1" x14ac:dyDescent="0.1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</row>
    <row r="638" spans="1:36" ht="28.5" customHeight="1" x14ac:dyDescent="0.1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</row>
    <row r="639" spans="1:36" ht="28.5" customHeight="1" x14ac:dyDescent="0.1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</row>
    <row r="640" spans="1:36" ht="28.5" customHeight="1" x14ac:dyDescent="0.1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</row>
    <row r="641" spans="1:36" ht="28.5" customHeight="1" x14ac:dyDescent="0.1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</row>
    <row r="642" spans="1:36" ht="28.5" customHeight="1" x14ac:dyDescent="0.1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</row>
    <row r="643" spans="1:36" ht="28.5" customHeight="1" x14ac:dyDescent="0.1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</row>
    <row r="644" spans="1:36" ht="28.5" customHeight="1" x14ac:dyDescent="0.1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</row>
    <row r="645" spans="1:36" ht="28.5" customHeight="1" x14ac:dyDescent="0.1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</row>
    <row r="646" spans="1:36" ht="28.5" customHeight="1" x14ac:dyDescent="0.1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</row>
    <row r="647" spans="1:36" ht="28.5" customHeight="1" x14ac:dyDescent="0.1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</row>
    <row r="648" spans="1:36" ht="28.5" customHeight="1" x14ac:dyDescent="0.1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</row>
    <row r="649" spans="1:36" ht="28.5" customHeight="1" x14ac:dyDescent="0.1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</row>
    <row r="650" spans="1:36" ht="28.5" customHeight="1" x14ac:dyDescent="0.1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</row>
    <row r="651" spans="1:36" ht="28.5" customHeight="1" x14ac:dyDescent="0.1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</row>
    <row r="652" spans="1:36" ht="28.5" customHeight="1" x14ac:dyDescent="0.1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</row>
    <row r="653" spans="1:36" ht="28.5" customHeight="1" x14ac:dyDescent="0.1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</row>
    <row r="654" spans="1:36" ht="28.5" customHeight="1" x14ac:dyDescent="0.1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</row>
    <row r="655" spans="1:36" ht="28.5" customHeight="1" x14ac:dyDescent="0.1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</row>
    <row r="656" spans="1:36" ht="28.5" customHeight="1" x14ac:dyDescent="0.1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</row>
    <row r="657" spans="1:36" ht="28.5" customHeight="1" x14ac:dyDescent="0.1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</row>
    <row r="658" spans="1:36" ht="28.5" customHeight="1" x14ac:dyDescent="0.1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</row>
    <row r="659" spans="1:36" ht="28.5" customHeight="1" x14ac:dyDescent="0.1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</row>
    <row r="660" spans="1:36" ht="28.5" customHeight="1" x14ac:dyDescent="0.1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</row>
    <row r="661" spans="1:36" ht="28.5" customHeight="1" x14ac:dyDescent="0.1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</row>
    <row r="662" spans="1:36" ht="28.5" customHeight="1" x14ac:dyDescent="0.1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</row>
    <row r="663" spans="1:36" ht="28.5" customHeight="1" x14ac:dyDescent="0.1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</row>
    <row r="664" spans="1:36" ht="28.5" customHeight="1" x14ac:dyDescent="0.1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</row>
    <row r="665" spans="1:36" ht="28.5" customHeight="1" x14ac:dyDescent="0.1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</row>
    <row r="666" spans="1:36" ht="28.5" customHeight="1" x14ac:dyDescent="0.1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</row>
    <row r="667" spans="1:36" ht="28.5" customHeight="1" x14ac:dyDescent="0.1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</row>
    <row r="668" spans="1:36" ht="28.5" customHeight="1" x14ac:dyDescent="0.1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</row>
    <row r="669" spans="1:36" ht="28.5" customHeight="1" x14ac:dyDescent="0.1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</row>
    <row r="670" spans="1:36" ht="28.5" customHeight="1" x14ac:dyDescent="0.1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</row>
    <row r="671" spans="1:36" ht="28.5" customHeight="1" x14ac:dyDescent="0.1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</row>
    <row r="672" spans="1:36" ht="28.5" customHeight="1" x14ac:dyDescent="0.1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</row>
    <row r="673" spans="1:36" ht="28.5" customHeight="1" x14ac:dyDescent="0.1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</row>
    <row r="674" spans="1:36" ht="28.5" customHeight="1" x14ac:dyDescent="0.1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</row>
    <row r="675" spans="1:36" ht="28.5" customHeight="1" x14ac:dyDescent="0.1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</row>
    <row r="676" spans="1:36" ht="28.5" customHeight="1" x14ac:dyDescent="0.1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</row>
    <row r="677" spans="1:36" ht="28.5" customHeight="1" x14ac:dyDescent="0.1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</row>
    <row r="678" spans="1:36" ht="28.5" customHeight="1" x14ac:dyDescent="0.1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</row>
    <row r="679" spans="1:36" ht="28.5" customHeight="1" x14ac:dyDescent="0.1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</row>
    <row r="680" spans="1:36" ht="28.5" customHeight="1" x14ac:dyDescent="0.1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</row>
    <row r="681" spans="1:36" ht="28.5" customHeight="1" x14ac:dyDescent="0.1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</row>
    <row r="682" spans="1:36" ht="28.5" customHeight="1" x14ac:dyDescent="0.1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</row>
    <row r="683" spans="1:36" ht="28.5" customHeight="1" x14ac:dyDescent="0.1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</row>
    <row r="684" spans="1:36" ht="28.5" customHeight="1" x14ac:dyDescent="0.1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</row>
    <row r="685" spans="1:36" ht="28.5" customHeight="1" x14ac:dyDescent="0.1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</row>
    <row r="686" spans="1:36" ht="28.5" customHeight="1" x14ac:dyDescent="0.1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</row>
    <row r="687" spans="1:36" ht="28.5" customHeight="1" x14ac:dyDescent="0.1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</row>
    <row r="688" spans="1:36" ht="28.5" customHeight="1" x14ac:dyDescent="0.1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</row>
    <row r="689" spans="1:36" ht="28.5" customHeight="1" x14ac:dyDescent="0.1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</row>
    <row r="690" spans="1:36" ht="28.5" customHeight="1" x14ac:dyDescent="0.1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</row>
    <row r="691" spans="1:36" ht="28.5" customHeight="1" x14ac:dyDescent="0.1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</row>
    <row r="692" spans="1:36" ht="28.5" customHeight="1" x14ac:dyDescent="0.1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</row>
    <row r="693" spans="1:36" ht="28.5" customHeight="1" x14ac:dyDescent="0.1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</row>
    <row r="694" spans="1:36" ht="28.5" customHeight="1" x14ac:dyDescent="0.1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</row>
    <row r="695" spans="1:36" ht="28.5" customHeight="1" x14ac:dyDescent="0.1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</row>
    <row r="696" spans="1:36" ht="28.5" customHeight="1" x14ac:dyDescent="0.1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</row>
    <row r="697" spans="1:36" ht="28.5" customHeight="1" x14ac:dyDescent="0.1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</row>
    <row r="698" spans="1:36" ht="28.5" customHeight="1" x14ac:dyDescent="0.1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</row>
    <row r="699" spans="1:36" ht="28.5" customHeight="1" x14ac:dyDescent="0.1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</row>
    <row r="700" spans="1:36" ht="28.5" customHeight="1" x14ac:dyDescent="0.1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</row>
    <row r="701" spans="1:36" ht="28.5" customHeight="1" x14ac:dyDescent="0.1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</row>
    <row r="702" spans="1:36" ht="28.5" customHeight="1" x14ac:dyDescent="0.1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</row>
    <row r="703" spans="1:36" ht="28.5" customHeight="1" x14ac:dyDescent="0.1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</row>
    <row r="704" spans="1:36" ht="28.5" customHeight="1" x14ac:dyDescent="0.1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</row>
    <row r="705" spans="1:36" ht="28.5" customHeight="1" x14ac:dyDescent="0.1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</row>
    <row r="706" spans="1:36" ht="28.5" customHeight="1" x14ac:dyDescent="0.1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</row>
    <row r="707" spans="1:36" ht="28.5" customHeight="1" x14ac:dyDescent="0.1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</row>
    <row r="708" spans="1:36" ht="28.5" customHeight="1" x14ac:dyDescent="0.1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</row>
    <row r="709" spans="1:36" ht="28.5" customHeight="1" x14ac:dyDescent="0.1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</row>
    <row r="710" spans="1:36" ht="28.5" customHeight="1" x14ac:dyDescent="0.1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</row>
    <row r="711" spans="1:36" ht="28.5" customHeight="1" x14ac:dyDescent="0.1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</row>
    <row r="712" spans="1:36" ht="28.5" customHeight="1" x14ac:dyDescent="0.1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</row>
    <row r="713" spans="1:36" ht="28.5" customHeight="1" x14ac:dyDescent="0.1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</row>
    <row r="714" spans="1:36" ht="28.5" customHeight="1" x14ac:dyDescent="0.1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</row>
    <row r="715" spans="1:36" ht="28.5" customHeight="1" x14ac:dyDescent="0.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</row>
    <row r="716" spans="1:36" ht="28.5" customHeight="1" x14ac:dyDescent="0.1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</row>
    <row r="717" spans="1:36" ht="28.5" customHeight="1" x14ac:dyDescent="0.1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</row>
    <row r="718" spans="1:36" ht="28.5" customHeight="1" x14ac:dyDescent="0.1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</row>
    <row r="719" spans="1:36" ht="28.5" customHeight="1" x14ac:dyDescent="0.1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</row>
    <row r="720" spans="1:36" ht="28.5" customHeight="1" x14ac:dyDescent="0.1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</row>
    <row r="721" spans="1:36" ht="28.5" customHeight="1" x14ac:dyDescent="0.1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</row>
    <row r="722" spans="1:36" ht="28.5" customHeight="1" x14ac:dyDescent="0.1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</row>
    <row r="723" spans="1:36" ht="28.5" customHeight="1" x14ac:dyDescent="0.1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</row>
    <row r="724" spans="1:36" ht="28.5" customHeight="1" x14ac:dyDescent="0.1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</row>
    <row r="725" spans="1:36" ht="28.5" customHeight="1" x14ac:dyDescent="0.1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</row>
    <row r="726" spans="1:36" ht="28.5" customHeight="1" x14ac:dyDescent="0.1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</row>
    <row r="727" spans="1:36" ht="28.5" customHeight="1" x14ac:dyDescent="0.1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</row>
    <row r="728" spans="1:36" ht="28.5" customHeight="1" x14ac:dyDescent="0.1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</row>
    <row r="729" spans="1:36" ht="28.5" customHeight="1" x14ac:dyDescent="0.1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</row>
    <row r="730" spans="1:36" ht="28.5" customHeight="1" x14ac:dyDescent="0.1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</row>
    <row r="731" spans="1:36" ht="28.5" customHeight="1" x14ac:dyDescent="0.1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</row>
    <row r="732" spans="1:36" ht="28.5" customHeight="1" x14ac:dyDescent="0.1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</row>
    <row r="733" spans="1:36" ht="28.5" customHeight="1" x14ac:dyDescent="0.1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</row>
    <row r="734" spans="1:36" ht="28.5" customHeight="1" x14ac:dyDescent="0.1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</row>
    <row r="735" spans="1:36" ht="28.5" customHeight="1" x14ac:dyDescent="0.1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</row>
    <row r="736" spans="1:36" ht="28.5" customHeight="1" x14ac:dyDescent="0.1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</row>
    <row r="737" spans="1:36" ht="28.5" customHeight="1" x14ac:dyDescent="0.1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</row>
    <row r="738" spans="1:36" ht="28.5" customHeight="1" x14ac:dyDescent="0.1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</row>
    <row r="739" spans="1:36" ht="28.5" customHeight="1" x14ac:dyDescent="0.1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</row>
    <row r="740" spans="1:36" ht="28.5" customHeight="1" x14ac:dyDescent="0.1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</row>
    <row r="741" spans="1:36" ht="28.5" customHeight="1" x14ac:dyDescent="0.1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</row>
    <row r="742" spans="1:36" ht="28.5" customHeight="1" x14ac:dyDescent="0.1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</row>
    <row r="743" spans="1:36" ht="28.5" customHeight="1" x14ac:dyDescent="0.1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</row>
    <row r="744" spans="1:36" ht="28.5" customHeight="1" x14ac:dyDescent="0.1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</row>
    <row r="745" spans="1:36" ht="28.5" customHeight="1" x14ac:dyDescent="0.1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</row>
    <row r="746" spans="1:36" ht="28.5" customHeight="1" x14ac:dyDescent="0.1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</row>
    <row r="747" spans="1:36" ht="28.5" customHeight="1" x14ac:dyDescent="0.1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</row>
    <row r="748" spans="1:36" ht="28.5" customHeight="1" x14ac:dyDescent="0.1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</row>
    <row r="749" spans="1:36" ht="28.5" customHeight="1" x14ac:dyDescent="0.1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</row>
    <row r="750" spans="1:36" ht="28.5" customHeight="1" x14ac:dyDescent="0.1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</row>
    <row r="751" spans="1:36" ht="28.5" customHeight="1" x14ac:dyDescent="0.1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</row>
    <row r="752" spans="1:36" ht="28.5" customHeight="1" x14ac:dyDescent="0.1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</row>
    <row r="753" spans="1:36" ht="28.5" customHeight="1" x14ac:dyDescent="0.1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</row>
    <row r="754" spans="1:36" ht="28.5" customHeight="1" x14ac:dyDescent="0.1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</row>
    <row r="755" spans="1:36" ht="28.5" customHeight="1" x14ac:dyDescent="0.1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</row>
    <row r="756" spans="1:36" ht="28.5" customHeight="1" x14ac:dyDescent="0.1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</row>
    <row r="757" spans="1:36" ht="28.5" customHeight="1" x14ac:dyDescent="0.1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</row>
    <row r="758" spans="1:36" ht="28.5" customHeight="1" x14ac:dyDescent="0.1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</row>
    <row r="759" spans="1:36" ht="28.5" customHeight="1" x14ac:dyDescent="0.1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</row>
    <row r="760" spans="1:36" ht="28.5" customHeight="1" x14ac:dyDescent="0.1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</row>
    <row r="761" spans="1:36" ht="28.5" customHeight="1" x14ac:dyDescent="0.1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</row>
    <row r="762" spans="1:36" ht="28.5" customHeight="1" x14ac:dyDescent="0.1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</row>
    <row r="763" spans="1:36" ht="28.5" customHeight="1" x14ac:dyDescent="0.1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</row>
    <row r="764" spans="1:36" ht="28.5" customHeight="1" x14ac:dyDescent="0.1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</row>
    <row r="765" spans="1:36" ht="28.5" customHeight="1" x14ac:dyDescent="0.1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</row>
    <row r="766" spans="1:36" ht="28.5" customHeight="1" x14ac:dyDescent="0.1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</row>
    <row r="767" spans="1:36" ht="28.5" customHeight="1" x14ac:dyDescent="0.1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</row>
    <row r="768" spans="1:36" ht="28.5" customHeight="1" x14ac:dyDescent="0.1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</row>
    <row r="769" spans="1:36" ht="28.5" customHeight="1" x14ac:dyDescent="0.1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</row>
    <row r="770" spans="1:36" ht="28.5" customHeight="1" x14ac:dyDescent="0.1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</row>
    <row r="771" spans="1:36" ht="28.5" customHeight="1" x14ac:dyDescent="0.1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</row>
    <row r="772" spans="1:36" ht="28.5" customHeight="1" x14ac:dyDescent="0.1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</row>
    <row r="773" spans="1:36" ht="28.5" customHeight="1" x14ac:dyDescent="0.1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</row>
    <row r="774" spans="1:36" ht="28.5" customHeight="1" x14ac:dyDescent="0.1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</row>
    <row r="775" spans="1:36" ht="28.5" customHeight="1" x14ac:dyDescent="0.1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</row>
    <row r="776" spans="1:36" ht="28.5" customHeight="1" x14ac:dyDescent="0.1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</row>
    <row r="777" spans="1:36" ht="28.5" customHeight="1" x14ac:dyDescent="0.1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</row>
    <row r="778" spans="1:36" ht="28.5" customHeight="1" x14ac:dyDescent="0.1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</row>
    <row r="779" spans="1:36" ht="28.5" customHeight="1" x14ac:dyDescent="0.1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</row>
    <row r="780" spans="1:36" ht="28.5" customHeight="1" x14ac:dyDescent="0.1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</row>
    <row r="781" spans="1:36" ht="28.5" customHeight="1" x14ac:dyDescent="0.1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</row>
    <row r="782" spans="1:36" ht="28.5" customHeight="1" x14ac:dyDescent="0.1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</row>
    <row r="783" spans="1:36" ht="28.5" customHeight="1" x14ac:dyDescent="0.1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</row>
    <row r="784" spans="1:36" ht="28.5" customHeight="1" x14ac:dyDescent="0.1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</row>
    <row r="785" spans="1:36" ht="28.5" customHeight="1" x14ac:dyDescent="0.1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</row>
    <row r="786" spans="1:36" ht="28.5" customHeight="1" x14ac:dyDescent="0.1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</row>
    <row r="787" spans="1:36" ht="28.5" customHeight="1" x14ac:dyDescent="0.1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</row>
    <row r="788" spans="1:36" ht="28.5" customHeight="1" x14ac:dyDescent="0.1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</row>
    <row r="789" spans="1:36" ht="28.5" customHeight="1" x14ac:dyDescent="0.1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</row>
    <row r="790" spans="1:36" ht="28.5" customHeight="1" x14ac:dyDescent="0.1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</row>
    <row r="791" spans="1:36" ht="28.5" customHeight="1" x14ac:dyDescent="0.1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</row>
    <row r="792" spans="1:36" ht="28.5" customHeight="1" x14ac:dyDescent="0.1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</row>
    <row r="793" spans="1:36" ht="28.5" customHeight="1" x14ac:dyDescent="0.1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</row>
    <row r="794" spans="1:36" ht="28.5" customHeight="1" x14ac:dyDescent="0.1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</row>
    <row r="795" spans="1:36" ht="28.5" customHeight="1" x14ac:dyDescent="0.1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</row>
    <row r="796" spans="1:36" ht="28.5" customHeight="1" x14ac:dyDescent="0.1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</row>
    <row r="797" spans="1:36" ht="28.5" customHeight="1" x14ac:dyDescent="0.1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</row>
    <row r="798" spans="1:36" ht="28.5" customHeight="1" x14ac:dyDescent="0.1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</row>
    <row r="799" spans="1:36" ht="28.5" customHeight="1" x14ac:dyDescent="0.1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</row>
    <row r="800" spans="1:36" ht="28.5" customHeight="1" x14ac:dyDescent="0.1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</row>
    <row r="801" spans="1:36" ht="28.5" customHeight="1" x14ac:dyDescent="0.1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</row>
    <row r="802" spans="1:36" ht="28.5" customHeight="1" x14ac:dyDescent="0.1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</row>
    <row r="803" spans="1:36" ht="28.5" customHeight="1" x14ac:dyDescent="0.1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</row>
    <row r="804" spans="1:36" ht="28.5" customHeight="1" x14ac:dyDescent="0.1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</row>
    <row r="805" spans="1:36" ht="28.5" customHeight="1" x14ac:dyDescent="0.1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</row>
    <row r="806" spans="1:36" ht="28.5" customHeight="1" x14ac:dyDescent="0.1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</row>
    <row r="807" spans="1:36" ht="28.5" customHeight="1" x14ac:dyDescent="0.1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</row>
    <row r="808" spans="1:36" ht="28.5" customHeight="1" x14ac:dyDescent="0.1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</row>
    <row r="809" spans="1:36" ht="28.5" customHeight="1" x14ac:dyDescent="0.1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</row>
    <row r="810" spans="1:36" ht="28.5" customHeight="1" x14ac:dyDescent="0.1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</row>
    <row r="811" spans="1:36" ht="28.5" customHeight="1" x14ac:dyDescent="0.1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</row>
    <row r="812" spans="1:36" ht="28.5" customHeight="1" x14ac:dyDescent="0.1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</row>
    <row r="813" spans="1:36" ht="28.5" customHeight="1" x14ac:dyDescent="0.1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</row>
    <row r="814" spans="1:36" ht="28.5" customHeight="1" x14ac:dyDescent="0.1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</row>
    <row r="815" spans="1:36" ht="28.5" customHeight="1" x14ac:dyDescent="0.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</row>
    <row r="816" spans="1:36" ht="28.5" customHeight="1" x14ac:dyDescent="0.1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</row>
    <row r="817" spans="1:36" ht="28.5" customHeight="1" x14ac:dyDescent="0.1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</row>
    <row r="818" spans="1:36" ht="28.5" customHeight="1" x14ac:dyDescent="0.1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</row>
    <row r="819" spans="1:36" ht="28.5" customHeight="1" x14ac:dyDescent="0.1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</row>
    <row r="820" spans="1:36" ht="28.5" customHeight="1" x14ac:dyDescent="0.1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</row>
    <row r="821" spans="1:36" ht="28.5" customHeight="1" x14ac:dyDescent="0.1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</row>
    <row r="822" spans="1:36" ht="28.5" customHeight="1" x14ac:dyDescent="0.1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</row>
    <row r="823" spans="1:36" ht="28.5" customHeight="1" x14ac:dyDescent="0.1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</row>
    <row r="824" spans="1:36" ht="28.5" customHeight="1" x14ac:dyDescent="0.1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</row>
    <row r="825" spans="1:36" ht="28.5" customHeight="1" x14ac:dyDescent="0.1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</row>
    <row r="826" spans="1:36" ht="28.5" customHeight="1" x14ac:dyDescent="0.1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</row>
    <row r="827" spans="1:36" ht="28.5" customHeight="1" x14ac:dyDescent="0.1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</row>
    <row r="828" spans="1:36" ht="28.5" customHeight="1" x14ac:dyDescent="0.1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</row>
    <row r="829" spans="1:36" ht="28.5" customHeight="1" x14ac:dyDescent="0.1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</row>
    <row r="830" spans="1:36" ht="28.5" customHeight="1" x14ac:dyDescent="0.1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</row>
    <row r="831" spans="1:36" ht="28.5" customHeight="1" x14ac:dyDescent="0.1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</row>
    <row r="832" spans="1:36" ht="28.5" customHeight="1" x14ac:dyDescent="0.1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</row>
    <row r="833" spans="1:36" ht="28.5" customHeight="1" x14ac:dyDescent="0.1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</row>
    <row r="834" spans="1:36" ht="28.5" customHeight="1" x14ac:dyDescent="0.1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</row>
    <row r="835" spans="1:36" ht="28.5" customHeight="1" x14ac:dyDescent="0.1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</row>
    <row r="836" spans="1:36" ht="28.5" customHeight="1" x14ac:dyDescent="0.1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</row>
    <row r="837" spans="1:36" ht="28.5" customHeight="1" x14ac:dyDescent="0.1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</row>
    <row r="838" spans="1:36" ht="28.5" customHeight="1" x14ac:dyDescent="0.1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</row>
    <row r="839" spans="1:36" ht="28.5" customHeight="1" x14ac:dyDescent="0.1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</row>
    <row r="840" spans="1:36" ht="28.5" customHeight="1" x14ac:dyDescent="0.1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</row>
    <row r="841" spans="1:36" ht="28.5" customHeight="1" x14ac:dyDescent="0.1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</row>
    <row r="842" spans="1:36" ht="28.5" customHeight="1" x14ac:dyDescent="0.1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</row>
    <row r="843" spans="1:36" ht="28.5" customHeight="1" x14ac:dyDescent="0.1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</row>
    <row r="844" spans="1:36" ht="28.5" customHeight="1" x14ac:dyDescent="0.1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</row>
    <row r="845" spans="1:36" ht="28.5" customHeight="1" x14ac:dyDescent="0.1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</row>
    <row r="846" spans="1:36" ht="28.5" customHeight="1" x14ac:dyDescent="0.1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</row>
    <row r="847" spans="1:36" ht="28.5" customHeight="1" x14ac:dyDescent="0.1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</row>
    <row r="848" spans="1:36" ht="28.5" customHeight="1" x14ac:dyDescent="0.1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</row>
    <row r="849" spans="1:36" ht="28.5" customHeight="1" x14ac:dyDescent="0.1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</row>
    <row r="850" spans="1:36" ht="28.5" customHeight="1" x14ac:dyDescent="0.1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</row>
    <row r="851" spans="1:36" ht="28.5" customHeight="1" x14ac:dyDescent="0.1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</row>
    <row r="852" spans="1:36" ht="28.5" customHeight="1" x14ac:dyDescent="0.1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</row>
    <row r="853" spans="1:36" ht="28.5" customHeight="1" x14ac:dyDescent="0.1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</row>
    <row r="854" spans="1:36" ht="28.5" customHeight="1" x14ac:dyDescent="0.1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</row>
    <row r="855" spans="1:36" ht="28.5" customHeight="1" x14ac:dyDescent="0.1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</row>
    <row r="856" spans="1:36" ht="28.5" customHeight="1" x14ac:dyDescent="0.1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</row>
    <row r="857" spans="1:36" ht="28.5" customHeight="1" x14ac:dyDescent="0.1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</row>
    <row r="858" spans="1:36" ht="28.5" customHeight="1" x14ac:dyDescent="0.1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</row>
    <row r="859" spans="1:36" ht="28.5" customHeight="1" x14ac:dyDescent="0.1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</row>
    <row r="860" spans="1:36" ht="28.5" customHeight="1" x14ac:dyDescent="0.1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</row>
    <row r="861" spans="1:36" ht="28.5" customHeight="1" x14ac:dyDescent="0.1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</row>
    <row r="862" spans="1:36" ht="28.5" customHeight="1" x14ac:dyDescent="0.1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</row>
    <row r="863" spans="1:36" ht="28.5" customHeight="1" x14ac:dyDescent="0.1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</row>
    <row r="864" spans="1:36" ht="28.5" customHeight="1" x14ac:dyDescent="0.1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</row>
    <row r="865" spans="1:36" ht="28.5" customHeight="1" x14ac:dyDescent="0.1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</row>
    <row r="866" spans="1:36" ht="28.5" customHeight="1" x14ac:dyDescent="0.1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</row>
    <row r="867" spans="1:36" ht="28.5" customHeight="1" x14ac:dyDescent="0.1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</row>
    <row r="868" spans="1:36" ht="28.5" customHeight="1" x14ac:dyDescent="0.1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</row>
    <row r="869" spans="1:36" ht="28.5" customHeight="1" x14ac:dyDescent="0.1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</row>
    <row r="870" spans="1:36" ht="28.5" customHeight="1" x14ac:dyDescent="0.1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</row>
    <row r="871" spans="1:36" ht="28.5" customHeight="1" x14ac:dyDescent="0.1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</row>
    <row r="872" spans="1:36" ht="28.5" customHeight="1" x14ac:dyDescent="0.1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</row>
    <row r="873" spans="1:36" ht="28.5" customHeight="1" x14ac:dyDescent="0.1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</row>
    <row r="874" spans="1:36" ht="28.5" customHeight="1" x14ac:dyDescent="0.1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</row>
    <row r="875" spans="1:36" ht="28.5" customHeight="1" x14ac:dyDescent="0.1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</row>
    <row r="876" spans="1:36" ht="28.5" customHeight="1" x14ac:dyDescent="0.1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</row>
    <row r="877" spans="1:36" ht="28.5" customHeight="1" x14ac:dyDescent="0.1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</row>
    <row r="878" spans="1:36" ht="28.5" customHeight="1" x14ac:dyDescent="0.1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</row>
    <row r="879" spans="1:36" ht="28.5" customHeight="1" x14ac:dyDescent="0.1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</row>
    <row r="880" spans="1:36" ht="28.5" customHeight="1" x14ac:dyDescent="0.1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</row>
    <row r="881" spans="1:36" ht="28.5" customHeight="1" x14ac:dyDescent="0.1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</row>
    <row r="882" spans="1:36" ht="28.5" customHeight="1" x14ac:dyDescent="0.1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</row>
    <row r="883" spans="1:36" ht="28.5" customHeight="1" x14ac:dyDescent="0.1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</row>
    <row r="884" spans="1:36" ht="28.5" customHeight="1" x14ac:dyDescent="0.1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</row>
    <row r="885" spans="1:36" ht="28.5" customHeight="1" x14ac:dyDescent="0.1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</row>
    <row r="886" spans="1:36" ht="28.5" customHeight="1" x14ac:dyDescent="0.1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</row>
    <row r="887" spans="1:36" ht="28.5" customHeight="1" x14ac:dyDescent="0.1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</row>
    <row r="888" spans="1:36" ht="28.5" customHeight="1" x14ac:dyDescent="0.1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</row>
    <row r="889" spans="1:36" ht="28.5" customHeight="1" x14ac:dyDescent="0.1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</row>
    <row r="890" spans="1:36" ht="28.5" customHeight="1" x14ac:dyDescent="0.1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</row>
    <row r="891" spans="1:36" ht="28.5" customHeight="1" x14ac:dyDescent="0.1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</row>
    <row r="892" spans="1:36" ht="28.5" customHeight="1" x14ac:dyDescent="0.1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</row>
    <row r="893" spans="1:36" ht="28.5" customHeight="1" x14ac:dyDescent="0.1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</row>
    <row r="894" spans="1:36" ht="28.5" customHeight="1" x14ac:dyDescent="0.1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</row>
    <row r="895" spans="1:36" ht="28.5" customHeight="1" x14ac:dyDescent="0.1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</row>
    <row r="896" spans="1:36" ht="28.5" customHeight="1" x14ac:dyDescent="0.1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</row>
    <row r="897" spans="1:36" ht="28.5" customHeight="1" x14ac:dyDescent="0.1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</row>
    <row r="898" spans="1:36" ht="28.5" customHeight="1" x14ac:dyDescent="0.1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</row>
    <row r="899" spans="1:36" ht="28.5" customHeight="1" x14ac:dyDescent="0.1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</row>
    <row r="900" spans="1:36" ht="28.5" customHeight="1" x14ac:dyDescent="0.1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</row>
    <row r="901" spans="1:36" ht="28.5" customHeight="1" x14ac:dyDescent="0.1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</row>
    <row r="902" spans="1:36" ht="28.5" customHeight="1" x14ac:dyDescent="0.1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</row>
    <row r="903" spans="1:36" ht="28.5" customHeight="1" x14ac:dyDescent="0.1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</row>
    <row r="904" spans="1:36" ht="28.5" customHeight="1" x14ac:dyDescent="0.1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</row>
    <row r="905" spans="1:36" ht="28.5" customHeight="1" x14ac:dyDescent="0.1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</row>
    <row r="906" spans="1:36" ht="28.5" customHeight="1" x14ac:dyDescent="0.1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</row>
    <row r="907" spans="1:36" ht="28.5" customHeight="1" x14ac:dyDescent="0.1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</row>
    <row r="908" spans="1:36" ht="28.5" customHeight="1" x14ac:dyDescent="0.1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</row>
    <row r="909" spans="1:36" ht="28.5" customHeight="1" x14ac:dyDescent="0.1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</row>
    <row r="910" spans="1:36" ht="28.5" customHeight="1" x14ac:dyDescent="0.1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</row>
    <row r="911" spans="1:36" ht="28.5" customHeight="1" x14ac:dyDescent="0.1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</row>
    <row r="912" spans="1:36" ht="28.5" customHeight="1" x14ac:dyDescent="0.1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</row>
    <row r="913" spans="1:36" ht="28.5" customHeight="1" x14ac:dyDescent="0.1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</row>
    <row r="914" spans="1:36" ht="28.5" customHeight="1" x14ac:dyDescent="0.1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</row>
    <row r="915" spans="1:36" ht="28.5" customHeight="1" x14ac:dyDescent="0.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</row>
    <row r="916" spans="1:36" ht="28.5" customHeight="1" x14ac:dyDescent="0.1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</row>
    <row r="917" spans="1:36" ht="28.5" customHeight="1" x14ac:dyDescent="0.1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</row>
    <row r="918" spans="1:36" ht="28.5" customHeight="1" x14ac:dyDescent="0.1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</row>
    <row r="919" spans="1:36" ht="28.5" customHeight="1" x14ac:dyDescent="0.1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</row>
    <row r="920" spans="1:36" ht="28.5" customHeight="1" x14ac:dyDescent="0.1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</row>
    <row r="921" spans="1:36" ht="28.5" customHeight="1" x14ac:dyDescent="0.1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</row>
    <row r="922" spans="1:36" ht="28.5" customHeight="1" x14ac:dyDescent="0.1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</row>
    <row r="923" spans="1:36" ht="28.5" customHeight="1" x14ac:dyDescent="0.1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</row>
    <row r="924" spans="1:36" ht="28.5" customHeight="1" x14ac:dyDescent="0.1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</row>
    <row r="925" spans="1:36" ht="28.5" customHeight="1" x14ac:dyDescent="0.1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</row>
    <row r="926" spans="1:36" ht="28.5" customHeight="1" x14ac:dyDescent="0.1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</row>
    <row r="927" spans="1:36" ht="28.5" customHeight="1" x14ac:dyDescent="0.1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</row>
    <row r="928" spans="1:36" ht="28.5" customHeight="1" x14ac:dyDescent="0.1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</row>
    <row r="929" spans="1:36" ht="28.5" customHeight="1" x14ac:dyDescent="0.1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</row>
    <row r="930" spans="1:36" ht="28.5" customHeight="1" x14ac:dyDescent="0.1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</row>
    <row r="931" spans="1:36" ht="28.5" customHeight="1" x14ac:dyDescent="0.1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</row>
    <row r="932" spans="1:36" ht="28.5" customHeight="1" x14ac:dyDescent="0.1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</row>
    <row r="933" spans="1:36" ht="28.5" customHeight="1" x14ac:dyDescent="0.1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</row>
    <row r="934" spans="1:36" ht="28.5" customHeight="1" x14ac:dyDescent="0.1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</row>
    <row r="935" spans="1:36" ht="28.5" customHeight="1" x14ac:dyDescent="0.1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</row>
    <row r="936" spans="1:36" ht="28.5" customHeight="1" x14ac:dyDescent="0.1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</row>
    <row r="937" spans="1:36" ht="28.5" customHeight="1" x14ac:dyDescent="0.1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</row>
    <row r="938" spans="1:36" ht="28.5" customHeight="1" x14ac:dyDescent="0.1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</row>
    <row r="939" spans="1:36" ht="28.5" customHeight="1" x14ac:dyDescent="0.1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</row>
    <row r="940" spans="1:36" ht="28.5" customHeight="1" x14ac:dyDescent="0.1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</row>
    <row r="941" spans="1:36" ht="28.5" customHeight="1" x14ac:dyDescent="0.1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</row>
    <row r="942" spans="1:36" ht="28.5" customHeight="1" x14ac:dyDescent="0.1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</row>
    <row r="943" spans="1:36" ht="28.5" customHeight="1" x14ac:dyDescent="0.1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</row>
    <row r="944" spans="1:36" ht="28.5" customHeight="1" x14ac:dyDescent="0.1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</row>
    <row r="945" spans="1:36" ht="28.5" customHeight="1" x14ac:dyDescent="0.1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</row>
    <row r="946" spans="1:36" ht="28.5" customHeight="1" x14ac:dyDescent="0.1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</row>
    <row r="947" spans="1:36" ht="28.5" customHeight="1" x14ac:dyDescent="0.1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</row>
    <row r="948" spans="1:36" ht="28.5" customHeight="1" x14ac:dyDescent="0.1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</row>
    <row r="949" spans="1:36" ht="28.5" customHeight="1" x14ac:dyDescent="0.1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</row>
    <row r="950" spans="1:36" ht="28.5" customHeight="1" x14ac:dyDescent="0.1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</row>
    <row r="951" spans="1:36" ht="28.5" customHeight="1" x14ac:dyDescent="0.1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</row>
    <row r="952" spans="1:36" ht="28.5" customHeight="1" x14ac:dyDescent="0.1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</row>
    <row r="953" spans="1:36" ht="28.5" customHeight="1" x14ac:dyDescent="0.1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</row>
    <row r="954" spans="1:36" ht="28.5" customHeight="1" x14ac:dyDescent="0.1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</row>
    <row r="955" spans="1:36" ht="28.5" customHeight="1" x14ac:dyDescent="0.1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</row>
    <row r="956" spans="1:36" ht="28.5" customHeight="1" x14ac:dyDescent="0.1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</row>
    <row r="957" spans="1:36" ht="28.5" customHeight="1" x14ac:dyDescent="0.1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</row>
    <row r="958" spans="1:36" ht="28.5" customHeight="1" x14ac:dyDescent="0.1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</row>
    <row r="959" spans="1:36" ht="28.5" customHeight="1" x14ac:dyDescent="0.1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</row>
    <row r="960" spans="1:36" ht="28.5" customHeight="1" x14ac:dyDescent="0.1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</row>
    <row r="961" spans="1:36" ht="28.5" customHeight="1" x14ac:dyDescent="0.1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</row>
    <row r="962" spans="1:36" ht="28.5" customHeight="1" x14ac:dyDescent="0.1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</row>
    <row r="963" spans="1:36" ht="28.5" customHeight="1" x14ac:dyDescent="0.1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</row>
    <row r="964" spans="1:36" ht="28.5" customHeight="1" x14ac:dyDescent="0.1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</row>
    <row r="965" spans="1:36" ht="28.5" customHeight="1" x14ac:dyDescent="0.1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</row>
    <row r="966" spans="1:36" ht="28.5" customHeight="1" x14ac:dyDescent="0.1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</row>
    <row r="967" spans="1:36" ht="28.5" customHeight="1" x14ac:dyDescent="0.1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</row>
    <row r="968" spans="1:36" ht="28.5" customHeight="1" x14ac:dyDescent="0.1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</row>
    <row r="969" spans="1:36" ht="28.5" customHeight="1" x14ac:dyDescent="0.1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</row>
    <row r="970" spans="1:36" ht="28.5" customHeight="1" x14ac:dyDescent="0.1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</row>
    <row r="971" spans="1:36" ht="28.5" customHeight="1" x14ac:dyDescent="0.1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</row>
    <row r="972" spans="1:36" ht="28.5" customHeight="1" x14ac:dyDescent="0.1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</row>
    <row r="973" spans="1:36" ht="28.5" customHeight="1" x14ac:dyDescent="0.1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</row>
    <row r="974" spans="1:36" ht="28.5" customHeight="1" x14ac:dyDescent="0.1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</row>
    <row r="975" spans="1:36" ht="28.5" customHeight="1" x14ac:dyDescent="0.1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</row>
    <row r="976" spans="1:36" ht="28.5" customHeight="1" x14ac:dyDescent="0.1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</row>
    <row r="977" spans="1:36" ht="28.5" customHeight="1" x14ac:dyDescent="0.1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</row>
    <row r="978" spans="1:36" ht="28.5" customHeight="1" x14ac:dyDescent="0.1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</row>
    <row r="979" spans="1:36" ht="28.5" customHeight="1" x14ac:dyDescent="0.1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</row>
    <row r="980" spans="1:36" ht="28.5" customHeight="1" x14ac:dyDescent="0.1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</row>
    <row r="981" spans="1:36" ht="28.5" customHeight="1" x14ac:dyDescent="0.1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</row>
    <row r="982" spans="1:36" ht="28.5" customHeight="1" x14ac:dyDescent="0.1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</row>
    <row r="983" spans="1:36" ht="28.5" customHeight="1" x14ac:dyDescent="0.1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</row>
    <row r="984" spans="1:36" ht="28.5" customHeight="1" x14ac:dyDescent="0.1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</row>
    <row r="985" spans="1:36" ht="28.5" customHeight="1" x14ac:dyDescent="0.1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</row>
    <row r="986" spans="1:36" ht="28.5" customHeight="1" x14ac:dyDescent="0.1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</row>
    <row r="987" spans="1:36" ht="28.5" customHeight="1" x14ac:dyDescent="0.1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</row>
    <row r="988" spans="1:36" ht="28.5" customHeight="1" x14ac:dyDescent="0.1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</row>
    <row r="989" spans="1:36" ht="28.5" customHeight="1" x14ac:dyDescent="0.1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</row>
    <row r="990" spans="1:36" ht="28.5" customHeight="1" x14ac:dyDescent="0.1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</row>
    <row r="991" spans="1:36" ht="28.5" customHeight="1" x14ac:dyDescent="0.1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</row>
    <row r="992" spans="1:36" ht="28.5" customHeight="1" x14ac:dyDescent="0.1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</row>
    <row r="993" spans="1:36" ht="28.5" customHeight="1" x14ac:dyDescent="0.1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</row>
    <row r="994" spans="1:36" ht="28.5" customHeight="1" x14ac:dyDescent="0.1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</row>
    <row r="995" spans="1:36" ht="28.5" customHeight="1" x14ac:dyDescent="0.1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</row>
    <row r="996" spans="1:36" ht="28.5" customHeight="1" x14ac:dyDescent="0.1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</row>
    <row r="997" spans="1:36" ht="28.5" customHeight="1" x14ac:dyDescent="0.1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</row>
    <row r="998" spans="1:36" ht="28.5" customHeight="1" x14ac:dyDescent="0.1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</row>
    <row r="999" spans="1:36" ht="28.5" customHeight="1" x14ac:dyDescent="0.1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</row>
    <row r="1000" spans="1:36" ht="28.5" customHeight="1" x14ac:dyDescent="0.1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</row>
    <row r="1001" spans="1:36" ht="28.5" customHeight="1" x14ac:dyDescent="0.1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</row>
    <row r="1002" spans="1:36" ht="28.5" customHeight="1" x14ac:dyDescent="0.1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</row>
    <row r="1003" spans="1:36" ht="28.5" customHeight="1" x14ac:dyDescent="0.1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</row>
    <row r="1004" spans="1:36" ht="28.5" customHeight="1" x14ac:dyDescent="0.1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</row>
    <row r="1005" spans="1:36" ht="28.5" customHeight="1" x14ac:dyDescent="0.1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</row>
    <row r="1006" spans="1:36" ht="28.5" customHeight="1" x14ac:dyDescent="0.1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</row>
    <row r="1007" spans="1:36" ht="28.5" customHeight="1" x14ac:dyDescent="0.1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</row>
    <row r="1008" spans="1:36" ht="28.5" customHeight="1" x14ac:dyDescent="0.1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  <c r="AI1008" s="49"/>
      <c r="AJ1008" s="49"/>
    </row>
    <row r="1009" spans="1:36" ht="28.5" customHeight="1" x14ac:dyDescent="0.1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  <c r="AI1009" s="49"/>
      <c r="AJ1009" s="49"/>
    </row>
    <row r="1010" spans="1:36" ht="28.5" customHeight="1" x14ac:dyDescent="0.1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  <c r="AI1010" s="49"/>
      <c r="AJ1010" s="49"/>
    </row>
    <row r="1011" spans="1:36" ht="28.5" customHeight="1" x14ac:dyDescent="0.1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  <c r="AI1011" s="49"/>
      <c r="AJ1011" s="49"/>
    </row>
    <row r="1012" spans="1:36" ht="28.5" customHeight="1" x14ac:dyDescent="0.1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  <c r="AI1012" s="49"/>
      <c r="AJ1012" s="49"/>
    </row>
    <row r="1013" spans="1:36" ht="28.5" customHeight="1" x14ac:dyDescent="0.1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  <c r="AI1013" s="49"/>
      <c r="AJ1013" s="49"/>
    </row>
    <row r="1014" spans="1:36" ht="28.5" customHeight="1" x14ac:dyDescent="0.1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  <c r="AI1014" s="49"/>
      <c r="AJ1014" s="49"/>
    </row>
    <row r="1015" spans="1:36" ht="28.5" customHeight="1" x14ac:dyDescent="0.1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  <c r="AI1015" s="49"/>
      <c r="AJ1015" s="49"/>
    </row>
    <row r="1016" spans="1:36" ht="28.5" customHeight="1" x14ac:dyDescent="0.1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  <c r="AI1016" s="49"/>
      <c r="AJ1016" s="49"/>
    </row>
    <row r="1017" spans="1:36" ht="28.5" customHeight="1" x14ac:dyDescent="0.1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  <c r="AI1017" s="49"/>
      <c r="AJ1017" s="49"/>
    </row>
    <row r="1018" spans="1:36" ht="28.5" customHeight="1" x14ac:dyDescent="0.1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</row>
    <row r="1019" spans="1:36" ht="28.5" customHeight="1" x14ac:dyDescent="0.1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</row>
    <row r="1020" spans="1:36" ht="28.5" customHeight="1" x14ac:dyDescent="0.1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</row>
    <row r="1021" spans="1:36" ht="28.5" customHeight="1" x14ac:dyDescent="0.1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  <c r="AI1021" s="49"/>
      <c r="AJ1021" s="49"/>
    </row>
    <row r="1022" spans="1:36" ht="28.5" customHeight="1" x14ac:dyDescent="0.1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  <c r="AI1022" s="49"/>
      <c r="AJ1022" s="49"/>
    </row>
    <row r="1023" spans="1:36" ht="28.5" customHeight="1" x14ac:dyDescent="0.1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9"/>
      <c r="AG1023" s="49"/>
      <c r="AH1023" s="49"/>
      <c r="AI1023" s="49"/>
      <c r="AJ1023" s="49"/>
    </row>
    <row r="1024" spans="1:36" ht="28.5" customHeight="1" x14ac:dyDescent="0.1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  <c r="AI1024" s="49"/>
      <c r="AJ1024" s="49"/>
    </row>
    <row r="1025" spans="1:36" ht="28.5" customHeight="1" x14ac:dyDescent="0.1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  <c r="AI1025" s="49"/>
      <c r="AJ1025" s="49"/>
    </row>
    <row r="1026" spans="1:36" ht="28.5" customHeight="1" x14ac:dyDescent="0.1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  <c r="AI1026" s="49"/>
      <c r="AJ1026" s="49"/>
    </row>
    <row r="1027" spans="1:36" ht="28.5" customHeight="1" x14ac:dyDescent="0.1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/>
      <c r="AJ1027" s="49"/>
    </row>
    <row r="1028" spans="1:36" ht="28.5" customHeight="1" x14ac:dyDescent="0.1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</row>
    <row r="1029" spans="1:36" ht="28.5" customHeight="1" x14ac:dyDescent="0.1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9"/>
      <c r="AG1029" s="49"/>
      <c r="AH1029" s="49"/>
      <c r="AI1029" s="49"/>
      <c r="AJ1029" s="49"/>
    </row>
    <row r="1030" spans="1:36" ht="28.5" customHeight="1" x14ac:dyDescent="0.1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  <c r="AI1030" s="49"/>
      <c r="AJ1030" s="49"/>
    </row>
    <row r="1031" spans="1:36" ht="28.5" customHeight="1" x14ac:dyDescent="0.1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  <c r="AI1031" s="49"/>
      <c r="AJ1031" s="49"/>
    </row>
    <row r="1032" spans="1:36" ht="28.5" customHeight="1" x14ac:dyDescent="0.1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</row>
    <row r="1033" spans="1:36" ht="28.5" customHeight="1" x14ac:dyDescent="0.1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</row>
    <row r="1034" spans="1:36" ht="28.5" customHeight="1" x14ac:dyDescent="0.1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  <c r="AI1034" s="49"/>
      <c r="AJ1034" s="49"/>
    </row>
    <row r="1035" spans="1:36" ht="28.5" customHeight="1" x14ac:dyDescent="0.1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</row>
    <row r="1036" spans="1:36" ht="28.5" customHeight="1" x14ac:dyDescent="0.1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</row>
    <row r="1037" spans="1:36" ht="28.5" customHeight="1" x14ac:dyDescent="0.1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</row>
    <row r="1038" spans="1:36" ht="28.5" customHeight="1" x14ac:dyDescent="0.1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</row>
    <row r="1039" spans="1:36" ht="28.5" customHeight="1" x14ac:dyDescent="0.1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</row>
    <row r="1040" spans="1:36" ht="28.5" customHeight="1" x14ac:dyDescent="0.1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</row>
    <row r="1041" spans="1:36" ht="28.5" customHeight="1" x14ac:dyDescent="0.1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</row>
    <row r="1042" spans="1:36" ht="28.5" customHeight="1" x14ac:dyDescent="0.1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</row>
    <row r="1043" spans="1:36" ht="28.5" customHeight="1" x14ac:dyDescent="0.1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</row>
    <row r="1044" spans="1:36" ht="28.5" customHeight="1" x14ac:dyDescent="0.1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</row>
    <row r="1045" spans="1:36" ht="28.5" customHeight="1" x14ac:dyDescent="0.1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</row>
    <row r="1046" spans="1:36" ht="28.5" customHeight="1" x14ac:dyDescent="0.1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  <c r="AI1046" s="49"/>
      <c r="AJ1046" s="49"/>
    </row>
    <row r="1047" spans="1:36" ht="28.5" customHeight="1" x14ac:dyDescent="0.1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  <c r="AI1047" s="49"/>
      <c r="AJ1047" s="49"/>
    </row>
    <row r="1048" spans="1:36" ht="28.5" customHeight="1" x14ac:dyDescent="0.1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  <c r="AI1048" s="49"/>
      <c r="AJ1048" s="49"/>
    </row>
    <row r="1049" spans="1:36" ht="28.5" customHeight="1" x14ac:dyDescent="0.1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  <c r="AI1049" s="49"/>
      <c r="AJ1049" s="49"/>
    </row>
    <row r="1050" spans="1:36" ht="28.5" customHeight="1" x14ac:dyDescent="0.1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  <c r="AI1050" s="49"/>
      <c r="AJ1050" s="49"/>
    </row>
    <row r="1051" spans="1:36" ht="28.5" customHeight="1" x14ac:dyDescent="0.1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  <c r="AI1051" s="49"/>
      <c r="AJ1051" s="49"/>
    </row>
    <row r="1052" spans="1:36" ht="28.5" customHeight="1" x14ac:dyDescent="0.1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  <c r="AI1052" s="49"/>
      <c r="AJ1052" s="49"/>
    </row>
    <row r="1053" spans="1:36" ht="28.5" customHeight="1" x14ac:dyDescent="0.1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  <c r="AI1053" s="49"/>
      <c r="AJ1053" s="49"/>
    </row>
    <row r="1054" spans="1:36" ht="28.5" customHeight="1" x14ac:dyDescent="0.1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</row>
    <row r="1055" spans="1:36" ht="28.5" customHeight="1" x14ac:dyDescent="0.1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</row>
    <row r="1056" spans="1:36" ht="28.5" customHeight="1" x14ac:dyDescent="0.1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</row>
    <row r="1057" spans="1:36" ht="28.5" customHeight="1" x14ac:dyDescent="0.1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  <c r="AI1057" s="49"/>
      <c r="AJ1057" s="49"/>
    </row>
    <row r="1058" spans="1:36" ht="28.5" customHeight="1" x14ac:dyDescent="0.1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  <c r="AI1058" s="49"/>
      <c r="AJ1058" s="49"/>
    </row>
    <row r="1059" spans="1:36" ht="28.5" customHeight="1" x14ac:dyDescent="0.1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9"/>
      <c r="AG1059" s="49"/>
      <c r="AH1059" s="49"/>
      <c r="AI1059" s="49"/>
      <c r="AJ1059" s="49"/>
    </row>
    <row r="1060" spans="1:36" ht="28.5" customHeight="1" x14ac:dyDescent="0.1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  <c r="AI1060" s="49"/>
      <c r="AJ1060" s="49"/>
    </row>
    <row r="1061" spans="1:36" ht="28.5" customHeight="1" x14ac:dyDescent="0.1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  <c r="AI1061" s="49"/>
      <c r="AJ1061" s="49"/>
    </row>
    <row r="1062" spans="1:36" ht="28.5" customHeight="1" x14ac:dyDescent="0.1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  <c r="AI1062" s="49"/>
      <c r="AJ1062" s="49"/>
    </row>
    <row r="1063" spans="1:36" ht="28.5" customHeight="1" x14ac:dyDescent="0.1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  <c r="AI1063" s="49"/>
      <c r="AJ1063" s="49"/>
    </row>
    <row r="1064" spans="1:36" ht="28.5" customHeight="1" x14ac:dyDescent="0.1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  <c r="AI1064" s="49"/>
      <c r="AJ1064" s="49"/>
    </row>
    <row r="1065" spans="1:36" ht="28.5" customHeight="1" x14ac:dyDescent="0.1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  <c r="AI1065" s="49"/>
      <c r="AJ1065" s="49"/>
    </row>
    <row r="1066" spans="1:36" ht="28.5" customHeight="1" x14ac:dyDescent="0.1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  <c r="AI1066" s="49"/>
      <c r="AJ1066" s="49"/>
    </row>
    <row r="1067" spans="1:36" ht="28.5" customHeight="1" x14ac:dyDescent="0.1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  <c r="AI1067" s="49"/>
      <c r="AJ1067" s="49"/>
    </row>
    <row r="1068" spans="1:36" ht="28.5" customHeight="1" x14ac:dyDescent="0.1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49"/>
      <c r="AI1068" s="49"/>
      <c r="AJ1068" s="49"/>
    </row>
    <row r="1069" spans="1:36" ht="28.5" customHeight="1" x14ac:dyDescent="0.1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  <c r="AI1069" s="49"/>
      <c r="AJ1069" s="49"/>
    </row>
    <row r="1070" spans="1:36" ht="28.5" customHeight="1" x14ac:dyDescent="0.1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9"/>
      <c r="AJ1070" s="49"/>
    </row>
    <row r="1071" spans="1:36" ht="28.5" customHeight="1" x14ac:dyDescent="0.1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</row>
    <row r="1072" spans="1:36" ht="28.5" customHeight="1" x14ac:dyDescent="0.1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</row>
    <row r="1073" spans="1:36" ht="28.5" customHeight="1" x14ac:dyDescent="0.1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</row>
    <row r="1074" spans="1:36" ht="28.5" customHeight="1" x14ac:dyDescent="0.1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</row>
    <row r="1075" spans="1:36" ht="28.5" customHeight="1" x14ac:dyDescent="0.1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9"/>
      <c r="AJ1075" s="49"/>
    </row>
    <row r="1076" spans="1:36" ht="28.5" customHeight="1" x14ac:dyDescent="0.1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9"/>
      <c r="AJ1076" s="49"/>
    </row>
    <row r="1077" spans="1:36" ht="28.5" customHeight="1" x14ac:dyDescent="0.1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9"/>
      <c r="AJ1077" s="49"/>
    </row>
    <row r="1078" spans="1:36" ht="28.5" customHeight="1" x14ac:dyDescent="0.1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9"/>
      <c r="AJ1078" s="49"/>
    </row>
    <row r="1079" spans="1:36" ht="28.5" customHeight="1" x14ac:dyDescent="0.1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9"/>
      <c r="AJ1079" s="49"/>
    </row>
    <row r="1080" spans="1:36" ht="28.5" customHeight="1" x14ac:dyDescent="0.1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  <c r="AI1080" s="49"/>
      <c r="AJ1080" s="49"/>
    </row>
    <row r="1081" spans="1:36" ht="28.5" customHeight="1" x14ac:dyDescent="0.1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9"/>
      <c r="AJ1081" s="49"/>
    </row>
    <row r="1082" spans="1:36" ht="28.5" customHeight="1" x14ac:dyDescent="0.1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</row>
    <row r="1083" spans="1:36" ht="28.5" customHeight="1" x14ac:dyDescent="0.1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9"/>
      <c r="AJ1083" s="49"/>
    </row>
    <row r="1084" spans="1:36" ht="28.5" customHeight="1" x14ac:dyDescent="0.1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  <c r="AI1084" s="49"/>
      <c r="AJ1084" s="49"/>
    </row>
    <row r="1085" spans="1:36" ht="28.5" customHeight="1" x14ac:dyDescent="0.1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  <c r="AI1085" s="49"/>
      <c r="AJ1085" s="49"/>
    </row>
    <row r="1086" spans="1:36" ht="28.5" customHeight="1" x14ac:dyDescent="0.1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9"/>
      <c r="AJ1086" s="49"/>
    </row>
    <row r="1087" spans="1:36" ht="28.5" customHeight="1" x14ac:dyDescent="0.1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9"/>
      <c r="AG1087" s="49"/>
      <c r="AH1087" s="49"/>
      <c r="AI1087" s="49"/>
      <c r="AJ1087" s="49"/>
    </row>
    <row r="1088" spans="1:36" ht="28.5" customHeight="1" x14ac:dyDescent="0.1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9"/>
      <c r="AG1088" s="49"/>
      <c r="AH1088" s="49"/>
      <c r="AI1088" s="49"/>
      <c r="AJ1088" s="49"/>
    </row>
    <row r="1089" spans="1:36" ht="28.5" customHeight="1" x14ac:dyDescent="0.1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9"/>
      <c r="AG1089" s="49"/>
      <c r="AH1089" s="49"/>
      <c r="AI1089" s="49"/>
      <c r="AJ1089" s="49"/>
    </row>
    <row r="1090" spans="1:36" ht="28.5" customHeight="1" x14ac:dyDescent="0.1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</row>
    <row r="1091" spans="1:36" ht="28.5" customHeight="1" x14ac:dyDescent="0.1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</row>
    <row r="1092" spans="1:36" ht="28.5" customHeight="1" x14ac:dyDescent="0.1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</row>
    <row r="1093" spans="1:36" ht="28.5" customHeight="1" x14ac:dyDescent="0.1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  <c r="AI1093" s="49"/>
      <c r="AJ1093" s="49"/>
    </row>
    <row r="1094" spans="1:36" ht="28.5" customHeight="1" x14ac:dyDescent="0.1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9"/>
      <c r="AG1094" s="49"/>
      <c r="AH1094" s="49"/>
      <c r="AI1094" s="49"/>
      <c r="AJ1094" s="49"/>
    </row>
    <row r="1095" spans="1:36" ht="28.5" customHeight="1" x14ac:dyDescent="0.1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9"/>
      <c r="AG1095" s="49"/>
      <c r="AH1095" s="49"/>
      <c r="AI1095" s="49"/>
      <c r="AJ1095" s="49"/>
    </row>
    <row r="1096" spans="1:36" ht="28.5" customHeight="1" x14ac:dyDescent="0.1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9"/>
      <c r="AG1096" s="49"/>
      <c r="AH1096" s="49"/>
      <c r="AI1096" s="49"/>
      <c r="AJ1096" s="49"/>
    </row>
    <row r="1097" spans="1:36" ht="28.5" customHeight="1" x14ac:dyDescent="0.1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9"/>
      <c r="AG1097" s="49"/>
      <c r="AH1097" s="49"/>
      <c r="AI1097" s="49"/>
      <c r="AJ1097" s="49"/>
    </row>
    <row r="1098" spans="1:36" ht="28.5" customHeight="1" x14ac:dyDescent="0.1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9"/>
      <c r="AG1098" s="49"/>
      <c r="AH1098" s="49"/>
      <c r="AI1098" s="49"/>
      <c r="AJ1098" s="49"/>
    </row>
    <row r="1099" spans="1:36" ht="28.5" customHeight="1" x14ac:dyDescent="0.1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9"/>
      <c r="AG1099" s="49"/>
      <c r="AH1099" s="49"/>
      <c r="AI1099" s="49"/>
      <c r="AJ1099" s="49"/>
    </row>
    <row r="1100" spans="1:36" ht="28.5" customHeight="1" x14ac:dyDescent="0.1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  <c r="AI1100" s="49"/>
      <c r="AJ1100" s="49"/>
    </row>
    <row r="1101" spans="1:36" ht="28.5" customHeight="1" x14ac:dyDescent="0.1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9"/>
      <c r="AG1101" s="49"/>
      <c r="AH1101" s="49"/>
      <c r="AI1101" s="49"/>
      <c r="AJ1101" s="49"/>
    </row>
    <row r="1102" spans="1:36" ht="28.5" customHeight="1" x14ac:dyDescent="0.1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49"/>
      <c r="AI1102" s="49"/>
      <c r="AJ1102" s="49"/>
    </row>
    <row r="1103" spans="1:36" ht="28.5" customHeight="1" x14ac:dyDescent="0.1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49"/>
      <c r="AI1103" s="49"/>
      <c r="AJ1103" s="49"/>
    </row>
    <row r="1104" spans="1:36" ht="28.5" customHeight="1" x14ac:dyDescent="0.1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49"/>
      <c r="AI1104" s="49"/>
      <c r="AJ1104" s="49"/>
    </row>
    <row r="1105" spans="1:36" ht="28.5" customHeight="1" x14ac:dyDescent="0.1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9"/>
      <c r="AG1105" s="49"/>
      <c r="AH1105" s="49"/>
      <c r="AI1105" s="49"/>
      <c r="AJ1105" s="49"/>
    </row>
    <row r="1106" spans="1:36" ht="28.5" customHeight="1" x14ac:dyDescent="0.1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9"/>
      <c r="AG1106" s="49"/>
      <c r="AH1106" s="49"/>
      <c r="AI1106" s="49"/>
      <c r="AJ1106" s="49"/>
    </row>
    <row r="1107" spans="1:36" ht="28.5" customHeight="1" x14ac:dyDescent="0.1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9"/>
      <c r="AG1107" s="49"/>
      <c r="AH1107" s="49"/>
      <c r="AI1107" s="49"/>
      <c r="AJ1107" s="49"/>
    </row>
    <row r="1108" spans="1:36" ht="28.5" customHeight="1" x14ac:dyDescent="0.1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</row>
    <row r="1109" spans="1:36" ht="28.5" customHeight="1" x14ac:dyDescent="0.1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</row>
    <row r="1110" spans="1:36" ht="28.5" customHeight="1" x14ac:dyDescent="0.1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</row>
    <row r="1111" spans="1:36" ht="28.5" customHeight="1" x14ac:dyDescent="0.1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  <c r="AB1111" s="49"/>
      <c r="AC1111" s="49"/>
      <c r="AD1111" s="49"/>
      <c r="AE1111" s="49"/>
      <c r="AF1111" s="49"/>
      <c r="AG1111" s="49"/>
      <c r="AH1111" s="49"/>
      <c r="AI1111" s="49"/>
      <c r="AJ1111" s="49"/>
    </row>
    <row r="1112" spans="1:36" ht="28.5" customHeight="1" x14ac:dyDescent="0.1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  <c r="AB1112" s="49"/>
      <c r="AC1112" s="49"/>
      <c r="AD1112" s="49"/>
      <c r="AE1112" s="49"/>
      <c r="AF1112" s="49"/>
      <c r="AG1112" s="49"/>
      <c r="AH1112" s="49"/>
      <c r="AI1112" s="49"/>
      <c r="AJ1112" s="49"/>
    </row>
    <row r="1113" spans="1:36" ht="28.5" customHeight="1" x14ac:dyDescent="0.1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  <c r="AB1113" s="49"/>
      <c r="AC1113" s="49"/>
      <c r="AD1113" s="49"/>
      <c r="AE1113" s="49"/>
      <c r="AF1113" s="49"/>
      <c r="AG1113" s="49"/>
      <c r="AH1113" s="49"/>
      <c r="AI1113" s="49"/>
      <c r="AJ1113" s="49"/>
    </row>
    <row r="1114" spans="1:36" ht="28.5" customHeight="1" x14ac:dyDescent="0.1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  <c r="AB1114" s="49"/>
      <c r="AC1114" s="49"/>
      <c r="AD1114" s="49"/>
      <c r="AE1114" s="49"/>
      <c r="AF1114" s="49"/>
      <c r="AG1114" s="49"/>
      <c r="AH1114" s="49"/>
      <c r="AI1114" s="49"/>
      <c r="AJ1114" s="49"/>
    </row>
    <row r="1115" spans="1:36" ht="28.5" customHeight="1" x14ac:dyDescent="0.1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  <c r="AB1115" s="49"/>
      <c r="AC1115" s="49"/>
      <c r="AD1115" s="49"/>
      <c r="AE1115" s="49"/>
      <c r="AF1115" s="49"/>
      <c r="AG1115" s="49"/>
      <c r="AH1115" s="49"/>
      <c r="AI1115" s="49"/>
      <c r="AJ1115" s="49"/>
    </row>
    <row r="1116" spans="1:36" ht="28.5" customHeight="1" x14ac:dyDescent="0.1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  <c r="AB1116" s="49"/>
      <c r="AC1116" s="49"/>
      <c r="AD1116" s="49"/>
      <c r="AE1116" s="49"/>
      <c r="AF1116" s="49"/>
      <c r="AG1116" s="49"/>
      <c r="AH1116" s="49"/>
      <c r="AI1116" s="49"/>
      <c r="AJ1116" s="49"/>
    </row>
    <row r="1117" spans="1:36" ht="28.5" customHeight="1" x14ac:dyDescent="0.1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  <c r="AB1117" s="49"/>
      <c r="AC1117" s="49"/>
      <c r="AD1117" s="49"/>
      <c r="AE1117" s="49"/>
      <c r="AF1117" s="49"/>
      <c r="AG1117" s="49"/>
      <c r="AH1117" s="49"/>
      <c r="AI1117" s="49"/>
      <c r="AJ1117" s="49"/>
    </row>
    <row r="1118" spans="1:36" ht="28.5" customHeight="1" x14ac:dyDescent="0.1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  <c r="AB1118" s="49"/>
      <c r="AC1118" s="49"/>
      <c r="AD1118" s="49"/>
      <c r="AE1118" s="49"/>
      <c r="AF1118" s="49"/>
      <c r="AG1118" s="49"/>
      <c r="AH1118" s="49"/>
      <c r="AI1118" s="49"/>
      <c r="AJ1118" s="49"/>
    </row>
    <row r="1119" spans="1:36" ht="28.5" customHeight="1" x14ac:dyDescent="0.1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  <c r="AB1119" s="49"/>
      <c r="AC1119" s="49"/>
      <c r="AD1119" s="49"/>
      <c r="AE1119" s="49"/>
      <c r="AF1119" s="49"/>
      <c r="AG1119" s="49"/>
      <c r="AH1119" s="49"/>
      <c r="AI1119" s="49"/>
      <c r="AJ1119" s="49"/>
    </row>
    <row r="1120" spans="1:36" ht="28.5" customHeight="1" x14ac:dyDescent="0.1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49"/>
      <c r="AI1120" s="49"/>
      <c r="AJ1120" s="49"/>
    </row>
    <row r="1121" spans="1:36" ht="28.5" customHeight="1" x14ac:dyDescent="0.1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  <c r="AI1121" s="49"/>
      <c r="AJ1121" s="49"/>
    </row>
    <row r="1122" spans="1:36" ht="28.5" customHeight="1" x14ac:dyDescent="0.1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9"/>
      <c r="AJ1122" s="49"/>
    </row>
    <row r="1123" spans="1:36" ht="28.5" customHeight="1" x14ac:dyDescent="0.1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  <c r="AI1123" s="49"/>
      <c r="AJ1123" s="49"/>
    </row>
    <row r="1124" spans="1:36" ht="28.5" customHeight="1" x14ac:dyDescent="0.1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  <c r="AB1124" s="49"/>
      <c r="AC1124" s="49"/>
      <c r="AD1124" s="49"/>
      <c r="AE1124" s="49"/>
      <c r="AF1124" s="49"/>
      <c r="AG1124" s="49"/>
      <c r="AH1124" s="49"/>
      <c r="AI1124" s="49"/>
      <c r="AJ1124" s="49"/>
    </row>
    <row r="1125" spans="1:36" ht="28.5" customHeight="1" x14ac:dyDescent="0.1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  <c r="AB1125" s="49"/>
      <c r="AC1125" s="49"/>
      <c r="AD1125" s="49"/>
      <c r="AE1125" s="49"/>
      <c r="AF1125" s="49"/>
      <c r="AG1125" s="49"/>
      <c r="AH1125" s="49"/>
      <c r="AI1125" s="49"/>
      <c r="AJ1125" s="49"/>
    </row>
    <row r="1126" spans="1:36" ht="28.5" customHeight="1" x14ac:dyDescent="0.1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</row>
    <row r="1127" spans="1:36" ht="28.5" customHeight="1" x14ac:dyDescent="0.1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</row>
    <row r="1128" spans="1:36" ht="28.5" customHeight="1" x14ac:dyDescent="0.1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</row>
    <row r="1129" spans="1:36" ht="28.5" customHeight="1" x14ac:dyDescent="0.1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  <c r="AI1129" s="49"/>
      <c r="AJ1129" s="49"/>
    </row>
    <row r="1130" spans="1:36" ht="28.5" customHeight="1" x14ac:dyDescent="0.1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  <c r="AI1130" s="49"/>
      <c r="AJ1130" s="49"/>
    </row>
    <row r="1131" spans="1:36" ht="28.5" customHeight="1" x14ac:dyDescent="0.1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  <c r="AI1131" s="49"/>
      <c r="AJ1131" s="49"/>
    </row>
    <row r="1132" spans="1:36" ht="28.5" customHeight="1" x14ac:dyDescent="0.1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9"/>
      <c r="AJ1132" s="49"/>
    </row>
    <row r="1133" spans="1:36" ht="28.5" customHeight="1" x14ac:dyDescent="0.1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  <c r="AI1133" s="49"/>
      <c r="AJ1133" s="49"/>
    </row>
    <row r="1134" spans="1:36" ht="28.5" customHeight="1" x14ac:dyDescent="0.1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  <c r="AI1134" s="49"/>
      <c r="AJ1134" s="49"/>
    </row>
    <row r="1135" spans="1:36" ht="28.5" customHeight="1" x14ac:dyDescent="0.1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  <c r="AI1135" s="49"/>
      <c r="AJ1135" s="49"/>
    </row>
    <row r="1136" spans="1:36" ht="28.5" customHeight="1" x14ac:dyDescent="0.1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  <c r="AI1136" s="49"/>
      <c r="AJ1136" s="49"/>
    </row>
    <row r="1137" spans="1:36" ht="28.5" customHeight="1" x14ac:dyDescent="0.1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9"/>
      <c r="AJ1137" s="49"/>
    </row>
    <row r="1138" spans="1:36" ht="28.5" customHeight="1" x14ac:dyDescent="0.1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  <c r="AI1138" s="49"/>
      <c r="AJ1138" s="49"/>
    </row>
    <row r="1139" spans="1:36" ht="28.5" customHeight="1" x14ac:dyDescent="0.1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  <c r="AI1139" s="49"/>
      <c r="AJ1139" s="49"/>
    </row>
    <row r="1140" spans="1:36" ht="28.5" customHeight="1" x14ac:dyDescent="0.1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  <c r="AI1140" s="49"/>
      <c r="AJ1140" s="49"/>
    </row>
    <row r="1141" spans="1:36" ht="28.5" customHeight="1" x14ac:dyDescent="0.1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  <c r="AI1141" s="49"/>
      <c r="AJ1141" s="49"/>
    </row>
    <row r="1142" spans="1:36" ht="28.5" customHeight="1" x14ac:dyDescent="0.1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  <c r="AI1142" s="49"/>
      <c r="AJ1142" s="49"/>
    </row>
    <row r="1143" spans="1:36" ht="28.5" customHeight="1" x14ac:dyDescent="0.1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  <c r="AI1143" s="49"/>
      <c r="AJ1143" s="49"/>
    </row>
    <row r="1144" spans="1:36" ht="28.5" customHeight="1" x14ac:dyDescent="0.1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</row>
    <row r="1145" spans="1:36" ht="28.5" customHeight="1" x14ac:dyDescent="0.1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</row>
    <row r="1146" spans="1:36" ht="28.5" customHeight="1" x14ac:dyDescent="0.1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</row>
    <row r="1147" spans="1:36" ht="28.5" customHeight="1" x14ac:dyDescent="0.1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  <c r="AI1147" s="49"/>
      <c r="AJ1147" s="49"/>
    </row>
    <row r="1148" spans="1:36" ht="28.5" customHeight="1" x14ac:dyDescent="0.1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  <c r="AI1148" s="49"/>
      <c r="AJ1148" s="49"/>
    </row>
    <row r="1149" spans="1:36" ht="28.5" customHeight="1" x14ac:dyDescent="0.1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  <c r="AI1149" s="49"/>
      <c r="AJ1149" s="49"/>
    </row>
    <row r="1150" spans="1:36" ht="28.5" customHeight="1" x14ac:dyDescent="0.1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  <c r="AI1150" s="49"/>
      <c r="AJ1150" s="49"/>
    </row>
    <row r="1151" spans="1:36" ht="28.5" customHeight="1" x14ac:dyDescent="0.1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  <c r="AI1151" s="49"/>
      <c r="AJ1151" s="49"/>
    </row>
    <row r="1152" spans="1:36" ht="28.5" customHeight="1" x14ac:dyDescent="0.1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  <c r="AI1152" s="49"/>
      <c r="AJ1152" s="49"/>
    </row>
    <row r="1153" spans="1:36" ht="28.5" customHeight="1" x14ac:dyDescent="0.1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  <c r="AI1153" s="49"/>
      <c r="AJ1153" s="49"/>
    </row>
    <row r="1154" spans="1:36" ht="28.5" customHeight="1" x14ac:dyDescent="0.1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  <c r="AB1154" s="49"/>
      <c r="AC1154" s="49"/>
      <c r="AD1154" s="49"/>
      <c r="AE1154" s="49"/>
      <c r="AF1154" s="49"/>
      <c r="AG1154" s="49"/>
      <c r="AH1154" s="49"/>
      <c r="AI1154" s="49"/>
      <c r="AJ1154" s="49"/>
    </row>
    <row r="1155" spans="1:36" ht="28.5" customHeight="1" x14ac:dyDescent="0.1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  <c r="AB1155" s="49"/>
      <c r="AC1155" s="49"/>
      <c r="AD1155" s="49"/>
      <c r="AE1155" s="49"/>
      <c r="AF1155" s="49"/>
      <c r="AG1155" s="49"/>
      <c r="AH1155" s="49"/>
      <c r="AI1155" s="49"/>
      <c r="AJ1155" s="49"/>
    </row>
    <row r="1156" spans="1:36" ht="28.5" customHeight="1" x14ac:dyDescent="0.1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  <c r="AI1156" s="49"/>
      <c r="AJ1156" s="49"/>
    </row>
    <row r="1157" spans="1:36" ht="28.5" customHeight="1" x14ac:dyDescent="0.1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  <c r="AI1157" s="49"/>
      <c r="AJ1157" s="49"/>
    </row>
    <row r="1158" spans="1:36" ht="28.5" customHeight="1" x14ac:dyDescent="0.1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  <c r="AI1158" s="49"/>
      <c r="AJ1158" s="49"/>
    </row>
    <row r="1159" spans="1:36" ht="28.5" customHeight="1" x14ac:dyDescent="0.1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  <c r="AB1159" s="49"/>
      <c r="AC1159" s="49"/>
      <c r="AD1159" s="49"/>
      <c r="AE1159" s="49"/>
      <c r="AF1159" s="49"/>
      <c r="AG1159" s="49"/>
      <c r="AH1159" s="49"/>
      <c r="AI1159" s="49"/>
      <c r="AJ1159" s="49"/>
    </row>
    <row r="1160" spans="1:36" ht="28.5" customHeight="1" x14ac:dyDescent="0.1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  <c r="AB1160" s="49"/>
      <c r="AC1160" s="49"/>
      <c r="AD1160" s="49"/>
      <c r="AE1160" s="49"/>
      <c r="AF1160" s="49"/>
      <c r="AG1160" s="49"/>
      <c r="AH1160" s="49"/>
      <c r="AI1160" s="49"/>
      <c r="AJ1160" s="49"/>
    </row>
    <row r="1161" spans="1:36" ht="28.5" customHeight="1" x14ac:dyDescent="0.1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  <c r="AI1161" s="49"/>
      <c r="AJ1161" s="49"/>
    </row>
    <row r="1162" spans="1:36" ht="28.5" customHeight="1" x14ac:dyDescent="0.1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</row>
    <row r="1163" spans="1:36" ht="28.5" customHeight="1" x14ac:dyDescent="0.1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</row>
    <row r="1164" spans="1:36" ht="28.5" customHeight="1" x14ac:dyDescent="0.1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</row>
    <row r="1165" spans="1:36" ht="28.5" customHeight="1" x14ac:dyDescent="0.1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  <c r="AI1165" s="49"/>
      <c r="AJ1165" s="49"/>
    </row>
    <row r="1166" spans="1:36" ht="28.5" customHeight="1" x14ac:dyDescent="0.1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  <c r="AB1166" s="49"/>
      <c r="AC1166" s="49"/>
      <c r="AD1166" s="49"/>
      <c r="AE1166" s="49"/>
      <c r="AF1166" s="49"/>
      <c r="AG1166" s="49"/>
      <c r="AH1166" s="49"/>
      <c r="AI1166" s="49"/>
      <c r="AJ1166" s="49"/>
    </row>
    <row r="1167" spans="1:36" ht="28.5" customHeight="1" x14ac:dyDescent="0.1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  <c r="AB1167" s="49"/>
      <c r="AC1167" s="49"/>
      <c r="AD1167" s="49"/>
      <c r="AE1167" s="49"/>
      <c r="AF1167" s="49"/>
      <c r="AG1167" s="49"/>
      <c r="AH1167" s="49"/>
      <c r="AI1167" s="49"/>
      <c r="AJ1167" s="49"/>
    </row>
    <row r="1168" spans="1:36" ht="28.5" customHeight="1" x14ac:dyDescent="0.1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/>
      <c r="AI1168" s="49"/>
      <c r="AJ1168" s="49"/>
    </row>
    <row r="1169" spans="1:36" ht="28.5" customHeight="1" x14ac:dyDescent="0.1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  <c r="AB1169" s="49"/>
      <c r="AC1169" s="49"/>
      <c r="AD1169" s="49"/>
      <c r="AE1169" s="49"/>
      <c r="AF1169" s="49"/>
      <c r="AG1169" s="49"/>
      <c r="AH1169" s="49"/>
      <c r="AI1169" s="49"/>
      <c r="AJ1169" s="49"/>
    </row>
    <row r="1170" spans="1:36" ht="28.5" customHeight="1" x14ac:dyDescent="0.1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/>
      <c r="AI1170" s="49"/>
      <c r="AJ1170" s="49"/>
    </row>
    <row r="1171" spans="1:36" ht="28.5" customHeight="1" x14ac:dyDescent="0.1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  <c r="AB1171" s="49"/>
      <c r="AC1171" s="49"/>
      <c r="AD1171" s="49"/>
      <c r="AE1171" s="49"/>
      <c r="AF1171" s="49"/>
      <c r="AG1171" s="49"/>
      <c r="AH1171" s="49"/>
      <c r="AI1171" s="49"/>
      <c r="AJ1171" s="49"/>
    </row>
    <row r="1172" spans="1:36" ht="28.5" customHeight="1" x14ac:dyDescent="0.1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/>
      <c r="AI1172" s="49"/>
      <c r="AJ1172" s="49"/>
    </row>
    <row r="1173" spans="1:36" ht="28.5" customHeight="1" x14ac:dyDescent="0.1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  <c r="AB1173" s="49"/>
      <c r="AC1173" s="49"/>
      <c r="AD1173" s="49"/>
      <c r="AE1173" s="49"/>
      <c r="AF1173" s="49"/>
      <c r="AG1173" s="49"/>
      <c r="AH1173" s="49"/>
      <c r="AI1173" s="49"/>
      <c r="AJ1173" s="49"/>
    </row>
    <row r="1174" spans="1:36" ht="28.5" customHeight="1" x14ac:dyDescent="0.1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  <c r="AI1174" s="49"/>
      <c r="AJ1174" s="49"/>
    </row>
    <row r="1175" spans="1:36" ht="28.5" customHeight="1" x14ac:dyDescent="0.1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  <c r="AI1175" s="49"/>
      <c r="AJ1175" s="49"/>
    </row>
    <row r="1176" spans="1:36" ht="28.5" customHeight="1" x14ac:dyDescent="0.1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/>
      <c r="AI1176" s="49"/>
      <c r="AJ1176" s="49"/>
    </row>
    <row r="1177" spans="1:36" ht="28.5" customHeight="1" x14ac:dyDescent="0.1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  <c r="AB1177" s="49"/>
      <c r="AC1177" s="49"/>
      <c r="AD1177" s="49"/>
      <c r="AE1177" s="49"/>
      <c r="AF1177" s="49"/>
      <c r="AG1177" s="49"/>
      <c r="AH1177" s="49"/>
      <c r="AI1177" s="49"/>
      <c r="AJ1177" s="49"/>
    </row>
    <row r="1178" spans="1:36" ht="28.5" customHeight="1" x14ac:dyDescent="0.1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/>
      <c r="AI1178" s="49"/>
      <c r="AJ1178" s="49"/>
    </row>
    <row r="1179" spans="1:36" ht="28.5" customHeight="1" x14ac:dyDescent="0.1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  <c r="AB1179" s="49"/>
      <c r="AC1179" s="49"/>
      <c r="AD1179" s="49"/>
      <c r="AE1179" s="49"/>
      <c r="AF1179" s="49"/>
      <c r="AG1179" s="49"/>
      <c r="AH1179" s="49"/>
      <c r="AI1179" s="49"/>
      <c r="AJ1179" s="49"/>
    </row>
    <row r="1180" spans="1:36" ht="28.5" customHeight="1" x14ac:dyDescent="0.1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</row>
    <row r="1181" spans="1:36" ht="28.5" customHeight="1" x14ac:dyDescent="0.1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</row>
    <row r="1182" spans="1:36" ht="28.5" customHeight="1" x14ac:dyDescent="0.1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</row>
    <row r="1183" spans="1:36" ht="28.5" customHeight="1" x14ac:dyDescent="0.1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  <c r="AB1183" s="49"/>
      <c r="AC1183" s="49"/>
      <c r="AD1183" s="49"/>
      <c r="AE1183" s="49"/>
      <c r="AF1183" s="49"/>
      <c r="AG1183" s="49"/>
      <c r="AH1183" s="49"/>
      <c r="AI1183" s="49"/>
      <c r="AJ1183" s="49"/>
    </row>
    <row r="1184" spans="1:36" ht="28.5" customHeight="1" x14ac:dyDescent="0.1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/>
      <c r="AI1184" s="49"/>
      <c r="AJ1184" s="49"/>
    </row>
    <row r="1185" spans="1:36" ht="28.5" customHeight="1" x14ac:dyDescent="0.1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  <c r="AB1185" s="49"/>
      <c r="AC1185" s="49"/>
      <c r="AD1185" s="49"/>
      <c r="AE1185" s="49"/>
      <c r="AF1185" s="49"/>
      <c r="AG1185" s="49"/>
      <c r="AH1185" s="49"/>
      <c r="AI1185" s="49"/>
      <c r="AJ1185" s="49"/>
    </row>
    <row r="1186" spans="1:36" ht="28.5" customHeight="1" x14ac:dyDescent="0.1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/>
      <c r="AI1186" s="49"/>
      <c r="AJ1186" s="49"/>
    </row>
    <row r="1187" spans="1:36" ht="28.5" customHeight="1" x14ac:dyDescent="0.1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  <c r="AB1187" s="49"/>
      <c r="AC1187" s="49"/>
      <c r="AD1187" s="49"/>
      <c r="AE1187" s="49"/>
      <c r="AF1187" s="49"/>
      <c r="AG1187" s="49"/>
      <c r="AH1187" s="49"/>
      <c r="AI1187" s="49"/>
      <c r="AJ1187" s="49"/>
    </row>
    <row r="1188" spans="1:36" ht="28.5" customHeight="1" x14ac:dyDescent="0.1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/>
      <c r="AI1188" s="49"/>
      <c r="AJ1188" s="49"/>
    </row>
    <row r="1189" spans="1:36" ht="28.5" customHeight="1" x14ac:dyDescent="0.1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  <c r="AB1189" s="49"/>
      <c r="AC1189" s="49"/>
      <c r="AD1189" s="49"/>
      <c r="AE1189" s="49"/>
      <c r="AF1189" s="49"/>
      <c r="AG1189" s="49"/>
      <c r="AH1189" s="49"/>
      <c r="AI1189" s="49"/>
      <c r="AJ1189" s="49"/>
    </row>
  </sheetData>
  <mergeCells count="53">
    <mergeCell ref="K62:K66"/>
    <mergeCell ref="K68:K72"/>
    <mergeCell ref="K73:K151"/>
    <mergeCell ref="A2:A32"/>
    <mergeCell ref="C3:C10"/>
    <mergeCell ref="K3:K10"/>
    <mergeCell ref="C11:C12"/>
    <mergeCell ref="K11:K12"/>
    <mergeCell ref="K13:K32"/>
    <mergeCell ref="K36:K37"/>
    <mergeCell ref="K39:K48"/>
    <mergeCell ref="K52:K54"/>
    <mergeCell ref="K55:K56"/>
    <mergeCell ref="K57:K58"/>
    <mergeCell ref="K59:K61"/>
    <mergeCell ref="C203:C209"/>
    <mergeCell ref="B203:B209"/>
    <mergeCell ref="C210:C218"/>
    <mergeCell ref="K219:K221"/>
    <mergeCell ref="K210:K218"/>
    <mergeCell ref="K203:K209"/>
    <mergeCell ref="K178:K185"/>
    <mergeCell ref="K174:K176"/>
    <mergeCell ref="K186:K202"/>
    <mergeCell ref="K168:K173"/>
    <mergeCell ref="K152:K167"/>
    <mergeCell ref="C13:C32"/>
    <mergeCell ref="C36:C37"/>
    <mergeCell ref="C62:C66"/>
    <mergeCell ref="C68:C72"/>
    <mergeCell ref="C59:C61"/>
    <mergeCell ref="A73:A177"/>
    <mergeCell ref="B210:B218"/>
    <mergeCell ref="B219:B221"/>
    <mergeCell ref="A219:A221"/>
    <mergeCell ref="C219:C221"/>
    <mergeCell ref="C152:C167"/>
    <mergeCell ref="C168:C173"/>
    <mergeCell ref="C174:C176"/>
    <mergeCell ref="B168:B173"/>
    <mergeCell ref="B174:B176"/>
    <mergeCell ref="C178:C185"/>
    <mergeCell ref="A178:A218"/>
    <mergeCell ref="C73:C151"/>
    <mergeCell ref="B178:B185"/>
    <mergeCell ref="B186:B202"/>
    <mergeCell ref="C186:C202"/>
    <mergeCell ref="A33:A48"/>
    <mergeCell ref="C39:C48"/>
    <mergeCell ref="A49:A72"/>
    <mergeCell ref="C52:C54"/>
    <mergeCell ref="C55:C56"/>
    <mergeCell ref="C57:C58"/>
  </mergeCells>
  <conditionalFormatting sqref="K1:K1189">
    <cfRule type="notContainsBlanks" dxfId="0" priority="1">
      <formula>LEN(TRIM(K1))&gt;0</formula>
    </cfRule>
  </conditionalFormatting>
  <hyperlinks>
    <hyperlink ref="G43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 x14ac:dyDescent="0.15"/>
  <cols>
    <col min="1" max="1" width="23.33203125" customWidth="1"/>
    <col min="2" max="2" width="10" customWidth="1"/>
    <col min="3" max="3" width="23.33203125" customWidth="1"/>
    <col min="4" max="4" width="39.33203125" customWidth="1"/>
    <col min="5" max="24" width="23.33203125" customWidth="1"/>
  </cols>
  <sheetData>
    <row r="1" spans="1:24" ht="32.25" customHeight="1" x14ac:dyDescent="0.15">
      <c r="A1" s="55"/>
      <c r="B1" s="55"/>
      <c r="C1" s="55" t="s">
        <v>325</v>
      </c>
      <c r="D1" s="40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4" ht="32.25" customHeight="1" x14ac:dyDescent="0.15">
      <c r="A2" s="56" t="s">
        <v>326</v>
      </c>
      <c r="B2" s="56" t="s">
        <v>327</v>
      </c>
      <c r="C2" s="56" t="s">
        <v>328</v>
      </c>
      <c r="D2" s="57" t="s">
        <v>329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24" ht="32.25" customHeight="1" x14ac:dyDescent="0.15">
      <c r="A3" s="88" t="s">
        <v>330</v>
      </c>
      <c r="B3" s="64"/>
      <c r="C3" s="64"/>
      <c r="D3" s="64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 ht="32.25" customHeight="1" x14ac:dyDescent="0.15">
      <c r="A4" s="55" t="s">
        <v>331</v>
      </c>
      <c r="B4" s="55">
        <v>1</v>
      </c>
      <c r="C4" s="55" t="s">
        <v>332</v>
      </c>
      <c r="D4" s="40" t="s">
        <v>333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spans="1:24" ht="32.25" customHeight="1" x14ac:dyDescent="0.15">
      <c r="A5" s="55" t="s">
        <v>334</v>
      </c>
      <c r="B5" s="55">
        <v>1720</v>
      </c>
      <c r="C5" s="55" t="s">
        <v>335</v>
      </c>
      <c r="D5" s="40" t="s">
        <v>336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1:24" ht="32.25" customHeight="1" x14ac:dyDescent="0.15">
      <c r="A6" s="55" t="s">
        <v>331</v>
      </c>
      <c r="B6" s="55">
        <v>98</v>
      </c>
      <c r="C6" s="55" t="s">
        <v>337</v>
      </c>
      <c r="D6" s="40" t="s">
        <v>338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 spans="1:24" ht="32.25" customHeight="1" x14ac:dyDescent="0.15">
      <c r="A7" s="55" t="s">
        <v>334</v>
      </c>
      <c r="B7" s="55">
        <v>1619</v>
      </c>
      <c r="C7" s="55" t="s">
        <v>339</v>
      </c>
      <c r="D7" s="40" t="s">
        <v>340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spans="1:24" ht="32.25" customHeight="1" x14ac:dyDescent="0.15">
      <c r="A8" s="55" t="s">
        <v>341</v>
      </c>
      <c r="B8" s="55">
        <v>112</v>
      </c>
      <c r="C8" s="55" t="s">
        <v>342</v>
      </c>
      <c r="D8" s="40" t="s">
        <v>343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4" ht="32.25" customHeight="1" x14ac:dyDescent="0.15">
      <c r="A9" s="55"/>
      <c r="B9" s="55">
        <v>97</v>
      </c>
      <c r="C9" s="55" t="s">
        <v>344</v>
      </c>
      <c r="D9" s="40" t="s">
        <v>345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 spans="1:24" ht="32.25" customHeight="1" x14ac:dyDescent="0.15">
      <c r="A10" s="55" t="s">
        <v>346</v>
      </c>
      <c r="B10" s="55">
        <v>376</v>
      </c>
      <c r="C10" s="55" t="s">
        <v>347</v>
      </c>
      <c r="D10" s="40" t="s">
        <v>348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 spans="1:24" ht="32.25" customHeight="1" x14ac:dyDescent="0.15">
      <c r="A11" s="55" t="s">
        <v>349</v>
      </c>
      <c r="B11" s="55">
        <v>304</v>
      </c>
      <c r="C11" s="55" t="s">
        <v>350</v>
      </c>
      <c r="D11" s="40" t="s">
        <v>351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4" ht="32.25" customHeight="1" x14ac:dyDescent="0.15">
      <c r="A12" s="55"/>
      <c r="B12" s="55">
        <v>331</v>
      </c>
      <c r="C12" s="55" t="s">
        <v>352</v>
      </c>
      <c r="D12" s="40" t="s">
        <v>353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1:24" ht="32.25" customHeight="1" x14ac:dyDescent="0.15">
      <c r="A13" s="55" t="s">
        <v>354</v>
      </c>
      <c r="B13" s="55">
        <v>117</v>
      </c>
      <c r="C13" s="55" t="s">
        <v>355</v>
      </c>
      <c r="D13" s="40" t="s">
        <v>356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spans="1:24" ht="32.25" customHeight="1" x14ac:dyDescent="0.15">
      <c r="A14" s="55" t="s">
        <v>349</v>
      </c>
      <c r="B14" s="55">
        <v>1465</v>
      </c>
      <c r="C14" s="55" t="s">
        <v>357</v>
      </c>
      <c r="D14" s="40" t="s">
        <v>358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spans="1:24" ht="32.25" customHeight="1" x14ac:dyDescent="0.15">
      <c r="A15" s="55" t="s">
        <v>73</v>
      </c>
      <c r="B15" s="55">
        <v>366</v>
      </c>
      <c r="C15" s="55" t="s">
        <v>359</v>
      </c>
      <c r="D15" s="40" t="s">
        <v>360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  <row r="16" spans="1:24" ht="32.25" customHeight="1" x14ac:dyDescent="0.15">
      <c r="A16" s="55" t="s">
        <v>349</v>
      </c>
      <c r="B16" s="55">
        <v>1530</v>
      </c>
      <c r="C16" s="55" t="s">
        <v>361</v>
      </c>
      <c r="D16" s="40" t="s">
        <v>362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4" ht="32.25" customHeight="1" x14ac:dyDescent="0.15">
      <c r="A17" s="55" t="s">
        <v>363</v>
      </c>
      <c r="B17" s="55">
        <v>840</v>
      </c>
      <c r="C17" s="55" t="s">
        <v>364</v>
      </c>
      <c r="D17" s="40" t="s">
        <v>365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</row>
    <row r="18" spans="1:24" ht="32.25" customHeight="1" x14ac:dyDescent="0.15">
      <c r="A18" s="55" t="s">
        <v>341</v>
      </c>
      <c r="B18" s="55" t="s">
        <v>366</v>
      </c>
      <c r="C18" s="55" t="s">
        <v>367</v>
      </c>
      <c r="D18" s="40" t="s">
        <v>368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</row>
    <row r="19" spans="1:24" ht="32.25" customHeight="1" x14ac:dyDescent="0.15">
      <c r="A19" s="55" t="s">
        <v>369</v>
      </c>
      <c r="B19" s="55">
        <v>1383</v>
      </c>
      <c r="C19" s="55" t="s">
        <v>370</v>
      </c>
      <c r="D19" s="40" t="s">
        <v>371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 spans="1:24" ht="32.25" customHeight="1" x14ac:dyDescent="0.15">
      <c r="A20" s="88" t="s">
        <v>372</v>
      </c>
      <c r="B20" s="64"/>
      <c r="C20" s="64"/>
      <c r="D20" s="64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</row>
    <row r="21" spans="1:24" ht="32.25" customHeight="1" x14ac:dyDescent="0.15">
      <c r="A21" s="55" t="s">
        <v>341</v>
      </c>
      <c r="B21" s="55">
        <v>111</v>
      </c>
      <c r="C21" s="55" t="s">
        <v>373</v>
      </c>
      <c r="D21" s="40" t="s">
        <v>374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</row>
    <row r="22" spans="1:24" ht="32.25" customHeight="1" x14ac:dyDescent="0.15">
      <c r="A22" s="55" t="s">
        <v>349</v>
      </c>
      <c r="B22" s="55">
        <v>1055</v>
      </c>
      <c r="C22" s="55" t="s">
        <v>375</v>
      </c>
      <c r="D22" s="40" t="s">
        <v>376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spans="1:24" ht="32.25" customHeight="1" x14ac:dyDescent="0.15">
      <c r="A23" s="55" t="s">
        <v>349</v>
      </c>
      <c r="B23" s="55">
        <v>1052</v>
      </c>
      <c r="C23" s="55" t="s">
        <v>377</v>
      </c>
      <c r="D23" s="40" t="s">
        <v>378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spans="1:24" ht="32.25" customHeight="1" x14ac:dyDescent="0.15">
      <c r="A24" s="55" t="s">
        <v>349</v>
      </c>
      <c r="B24" s="55">
        <v>11</v>
      </c>
      <c r="C24" s="55" t="s">
        <v>379</v>
      </c>
      <c r="D24" s="40" t="s">
        <v>378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</row>
    <row r="25" spans="1:24" ht="32.25" customHeight="1" x14ac:dyDescent="0.15">
      <c r="A25" s="55" t="s">
        <v>380</v>
      </c>
      <c r="B25" s="55">
        <v>59</v>
      </c>
      <c r="C25" s="55" t="s">
        <v>381</v>
      </c>
      <c r="D25" s="40" t="s">
        <v>382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</row>
    <row r="26" spans="1:24" ht="32.25" customHeight="1" x14ac:dyDescent="0.15">
      <c r="A26" s="55" t="s">
        <v>66</v>
      </c>
      <c r="B26" s="55">
        <v>1525</v>
      </c>
      <c r="C26" s="55" t="s">
        <v>383</v>
      </c>
      <c r="D26" s="40" t="s">
        <v>384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</row>
    <row r="27" spans="1:24" ht="32.25" customHeight="1" x14ac:dyDescent="0.15">
      <c r="A27" s="55" t="s">
        <v>66</v>
      </c>
      <c r="B27" s="55">
        <v>1107</v>
      </c>
      <c r="C27" s="55" t="s">
        <v>385</v>
      </c>
      <c r="D27" s="40" t="s">
        <v>386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</row>
    <row r="28" spans="1:24" ht="32.25" customHeight="1" x14ac:dyDescent="0.15">
      <c r="A28" s="55" t="s">
        <v>387</v>
      </c>
      <c r="B28" s="55">
        <v>54</v>
      </c>
      <c r="C28" s="55" t="s">
        <v>388</v>
      </c>
      <c r="D28" s="40" t="s">
        <v>389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</row>
    <row r="29" spans="1:24" ht="32.25" customHeight="1" x14ac:dyDescent="0.15">
      <c r="A29" s="40" t="s">
        <v>349</v>
      </c>
      <c r="B29" s="55">
        <v>1119</v>
      </c>
      <c r="C29" s="55" t="s">
        <v>390</v>
      </c>
      <c r="D29" s="40" t="s">
        <v>391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</row>
    <row r="30" spans="1:24" ht="32.25" customHeight="1" x14ac:dyDescent="0.15">
      <c r="A30" s="55"/>
      <c r="B30" s="55">
        <v>1133</v>
      </c>
      <c r="C30" s="55" t="s">
        <v>392</v>
      </c>
      <c r="D30" s="40" t="s">
        <v>393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 spans="1:24" ht="32.25" customHeight="1" x14ac:dyDescent="0.15">
      <c r="A31" s="55"/>
      <c r="B31" s="55">
        <v>1562</v>
      </c>
      <c r="C31" s="55" t="s">
        <v>394</v>
      </c>
      <c r="D31" s="40" t="s">
        <v>395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 spans="1:24" ht="32.25" customHeight="1" x14ac:dyDescent="0.15">
      <c r="A32" s="55" t="s">
        <v>387</v>
      </c>
      <c r="B32" s="55">
        <v>54</v>
      </c>
      <c r="C32" s="55" t="s">
        <v>388</v>
      </c>
      <c r="D32" s="40" t="s">
        <v>389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 spans="1:24" ht="32.25" customHeight="1" x14ac:dyDescent="0.15">
      <c r="A33" s="55" t="s">
        <v>349</v>
      </c>
      <c r="B33" s="55">
        <v>1119</v>
      </c>
      <c r="C33" s="55" t="s">
        <v>390</v>
      </c>
      <c r="D33" s="40" t="s">
        <v>391</v>
      </c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</row>
    <row r="34" spans="1:24" ht="32.25" customHeight="1" x14ac:dyDescent="0.15">
      <c r="A34" s="55"/>
      <c r="B34" s="55">
        <v>1133</v>
      </c>
      <c r="C34" s="55" t="s">
        <v>392</v>
      </c>
      <c r="D34" s="40" t="s">
        <v>393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</row>
    <row r="35" spans="1:24" ht="32.25" customHeight="1" x14ac:dyDescent="0.15">
      <c r="A35" s="55"/>
      <c r="B35" s="55">
        <v>1562</v>
      </c>
      <c r="C35" s="55" t="s">
        <v>394</v>
      </c>
      <c r="D35" s="40" t="s">
        <v>395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</row>
    <row r="36" spans="1:24" ht="32.25" customHeight="1" x14ac:dyDescent="0.15">
      <c r="A36" s="55" t="s">
        <v>331</v>
      </c>
      <c r="B36" s="55">
        <v>45</v>
      </c>
      <c r="C36" s="55" t="s">
        <v>396</v>
      </c>
      <c r="D36" s="40" t="s">
        <v>397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</row>
    <row r="37" spans="1:24" ht="32.25" customHeight="1" x14ac:dyDescent="0.15">
      <c r="A37" s="55" t="s">
        <v>66</v>
      </c>
      <c r="B37" s="55">
        <v>1575</v>
      </c>
      <c r="C37" s="55" t="s">
        <v>398</v>
      </c>
      <c r="D37" s="40" t="s">
        <v>399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24" ht="32.25" customHeight="1" x14ac:dyDescent="0.15">
      <c r="A38" s="55"/>
      <c r="B38" s="55">
        <v>1186</v>
      </c>
      <c r="C38" s="55" t="s">
        <v>400</v>
      </c>
      <c r="D38" s="40" t="s">
        <v>401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4" ht="32.25" customHeight="1" x14ac:dyDescent="0.15">
      <c r="A39" s="55" t="s">
        <v>402</v>
      </c>
      <c r="B39" s="55">
        <v>38</v>
      </c>
      <c r="C39" s="55" t="s">
        <v>403</v>
      </c>
      <c r="D39" s="40" t="s">
        <v>404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</row>
    <row r="40" spans="1:24" ht="32.25" customHeight="1" x14ac:dyDescent="0.15">
      <c r="A40" s="55" t="s">
        <v>405</v>
      </c>
      <c r="B40" s="55">
        <v>43</v>
      </c>
      <c r="C40" s="55" t="s">
        <v>406</v>
      </c>
      <c r="D40" s="40" t="s">
        <v>407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spans="1:24" ht="32.25" customHeight="1" x14ac:dyDescent="0.15">
      <c r="A41" s="55" t="s">
        <v>66</v>
      </c>
      <c r="B41" s="55">
        <v>1575</v>
      </c>
      <c r="C41" s="55" t="s">
        <v>408</v>
      </c>
      <c r="D41" s="40" t="s">
        <v>409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</row>
    <row r="42" spans="1:24" ht="32.25" customHeight="1" x14ac:dyDescent="0.15">
      <c r="A42" s="55" t="s">
        <v>331</v>
      </c>
      <c r="B42" s="55">
        <v>46</v>
      </c>
      <c r="C42" s="55" t="s">
        <v>410</v>
      </c>
      <c r="D42" s="40" t="s">
        <v>411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</row>
    <row r="43" spans="1:24" ht="32.25" customHeight="1" x14ac:dyDescent="0.15">
      <c r="A43" s="55" t="s">
        <v>405</v>
      </c>
      <c r="B43" s="55">
        <v>219</v>
      </c>
      <c r="C43" s="55" t="s">
        <v>412</v>
      </c>
      <c r="D43" s="40" t="s">
        <v>413</v>
      </c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 spans="1:24" ht="32.25" customHeight="1" x14ac:dyDescent="0.15">
      <c r="A44" s="55" t="s">
        <v>414</v>
      </c>
      <c r="B44" s="55">
        <v>384</v>
      </c>
      <c r="C44" s="55" t="s">
        <v>415</v>
      </c>
      <c r="D44" s="40" t="s">
        <v>416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spans="1:24" ht="32.25" customHeight="1" x14ac:dyDescent="0.15">
      <c r="A45" s="55" t="s">
        <v>331</v>
      </c>
      <c r="B45" s="55">
        <v>83</v>
      </c>
      <c r="C45" s="55" t="s">
        <v>417</v>
      </c>
      <c r="D45" s="40" t="s">
        <v>418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spans="1:24" ht="32.25" customHeight="1" x14ac:dyDescent="0.15">
      <c r="A46" s="55" t="s">
        <v>405</v>
      </c>
      <c r="B46" s="55">
        <v>92</v>
      </c>
      <c r="C46" s="55" t="s">
        <v>419</v>
      </c>
      <c r="D46" s="40" t="s">
        <v>413</v>
      </c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 spans="1:24" ht="32.25" customHeight="1" x14ac:dyDescent="0.15">
      <c r="A47" s="55"/>
      <c r="B47" s="55">
        <v>46</v>
      </c>
      <c r="C47" s="55" t="s">
        <v>420</v>
      </c>
      <c r="D47" s="40" t="s">
        <v>421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spans="1:24" ht="32.25" customHeight="1" x14ac:dyDescent="0.15">
      <c r="A48" s="55" t="s">
        <v>422</v>
      </c>
      <c r="B48" s="55">
        <v>413</v>
      </c>
      <c r="C48" s="55" t="s">
        <v>423</v>
      </c>
      <c r="D48" s="40" t="s">
        <v>424</v>
      </c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 spans="1:24" ht="32.25" customHeight="1" x14ac:dyDescent="0.15">
      <c r="A49" s="55" t="s">
        <v>331</v>
      </c>
      <c r="B49" s="55">
        <v>305</v>
      </c>
      <c r="C49" s="55" t="s">
        <v>425</v>
      </c>
      <c r="D49" s="40" t="s">
        <v>411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spans="1:24" ht="32.25" customHeight="1" x14ac:dyDescent="0.15">
      <c r="A50" s="55"/>
      <c r="B50" s="55">
        <v>323</v>
      </c>
      <c r="C50" s="55" t="s">
        <v>426</v>
      </c>
      <c r="D50" s="40" t="s">
        <v>427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 spans="1:24" ht="32.25" customHeight="1" x14ac:dyDescent="0.15">
      <c r="A51" s="55" t="s">
        <v>428</v>
      </c>
      <c r="B51" s="55">
        <v>322</v>
      </c>
      <c r="C51" s="55" t="s">
        <v>429</v>
      </c>
      <c r="D51" s="40" t="s">
        <v>430</v>
      </c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</row>
    <row r="52" spans="1:24" ht="32.25" customHeight="1" x14ac:dyDescent="0.15">
      <c r="A52" s="55" t="s">
        <v>331</v>
      </c>
      <c r="B52" s="55">
        <v>121</v>
      </c>
      <c r="C52" s="55" t="s">
        <v>431</v>
      </c>
      <c r="D52" s="40" t="s">
        <v>432</v>
      </c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 spans="1:24" ht="32.25" customHeight="1" x14ac:dyDescent="0.15">
      <c r="A53" s="55" t="s">
        <v>433</v>
      </c>
      <c r="B53" s="55">
        <v>888</v>
      </c>
      <c r="C53" s="55" t="s">
        <v>434</v>
      </c>
      <c r="D53" s="40" t="s">
        <v>435</v>
      </c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spans="1:24" ht="32.25" customHeight="1" x14ac:dyDescent="0.15">
      <c r="A54" s="55" t="s">
        <v>66</v>
      </c>
      <c r="B54" s="55">
        <v>1284</v>
      </c>
      <c r="C54" s="55" t="s">
        <v>436</v>
      </c>
      <c r="D54" s="40" t="s">
        <v>437</v>
      </c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1:24" ht="32.25" customHeight="1" x14ac:dyDescent="0.15">
      <c r="A55" s="55"/>
      <c r="B55" s="55">
        <v>1308</v>
      </c>
      <c r="C55" s="55" t="s">
        <v>438</v>
      </c>
      <c r="D55" s="40" t="s">
        <v>439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 spans="1:24" ht="32.25" customHeight="1" x14ac:dyDescent="0.15">
      <c r="A56" s="55"/>
      <c r="B56" s="55">
        <v>1287</v>
      </c>
      <c r="C56" s="55" t="s">
        <v>440</v>
      </c>
      <c r="D56" s="40" t="s">
        <v>441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spans="1:24" ht="32.25" customHeight="1" x14ac:dyDescent="0.15">
      <c r="A57" s="55" t="s">
        <v>402</v>
      </c>
      <c r="B57" s="55">
        <v>102</v>
      </c>
      <c r="C57" s="55" t="s">
        <v>442</v>
      </c>
      <c r="D57" s="40" t="s">
        <v>443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 spans="1:24" ht="32.25" customHeight="1" x14ac:dyDescent="0.15">
      <c r="A58" s="55" t="s">
        <v>66</v>
      </c>
      <c r="B58" s="55" t="s">
        <v>444</v>
      </c>
      <c r="C58" s="55" t="s">
        <v>445</v>
      </c>
      <c r="D58" s="40" t="s">
        <v>446</v>
      </c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 spans="1:24" ht="32.25" customHeight="1" x14ac:dyDescent="0.15">
      <c r="A59" s="55"/>
      <c r="B59" s="55"/>
      <c r="C59" s="55"/>
      <c r="D59" s="40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spans="1:24" ht="32.25" customHeight="1" x14ac:dyDescent="0.15">
      <c r="A60" s="55" t="s">
        <v>331</v>
      </c>
      <c r="B60" s="55">
        <v>44</v>
      </c>
      <c r="C60" s="55" t="s">
        <v>447</v>
      </c>
      <c r="D60" s="40" t="s">
        <v>378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 spans="1:24" ht="32.25" customHeight="1" x14ac:dyDescent="0.15">
      <c r="A61" s="55" t="s">
        <v>66</v>
      </c>
      <c r="B61" s="55">
        <v>595</v>
      </c>
      <c r="C61" s="55" t="s">
        <v>448</v>
      </c>
      <c r="D61" s="40" t="s">
        <v>449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 spans="1:24" ht="32.25" customHeight="1" x14ac:dyDescent="0.15">
      <c r="A62" s="55" t="s">
        <v>450</v>
      </c>
      <c r="B62" s="55">
        <v>58</v>
      </c>
      <c r="C62" s="55" t="s">
        <v>451</v>
      </c>
      <c r="D62" s="40" t="s">
        <v>382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</row>
    <row r="63" spans="1:24" ht="32.25" customHeight="1" x14ac:dyDescent="0.15">
      <c r="A63" s="55" t="s">
        <v>402</v>
      </c>
      <c r="B63" s="55">
        <v>104</v>
      </c>
      <c r="C63" s="55" t="s">
        <v>452</v>
      </c>
      <c r="D63" s="40" t="s">
        <v>453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</row>
    <row r="64" spans="1:24" ht="32.25" customHeight="1" x14ac:dyDescent="0.15">
      <c r="A64" s="55" t="s">
        <v>66</v>
      </c>
      <c r="B64" s="55">
        <v>923</v>
      </c>
      <c r="C64" s="55" t="s">
        <v>454</v>
      </c>
      <c r="D64" s="40" t="s">
        <v>455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 spans="1:24" ht="32.25" customHeight="1" x14ac:dyDescent="0.15">
      <c r="A65" s="55"/>
      <c r="B65" s="55">
        <v>646</v>
      </c>
      <c r="C65" s="55" t="s">
        <v>456</v>
      </c>
      <c r="D65" s="40" t="s">
        <v>457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 spans="1:24" ht="32.25" customHeight="1" x14ac:dyDescent="0.15">
      <c r="A66" s="55" t="s">
        <v>77</v>
      </c>
      <c r="B66" s="55">
        <v>261</v>
      </c>
      <c r="C66" s="55" t="s">
        <v>458</v>
      </c>
      <c r="D66" s="40" t="s">
        <v>459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</row>
    <row r="67" spans="1:24" ht="32.25" customHeight="1" x14ac:dyDescent="0.15">
      <c r="A67" s="55" t="s">
        <v>349</v>
      </c>
      <c r="B67" s="55">
        <v>1364</v>
      </c>
      <c r="C67" s="55" t="s">
        <v>460</v>
      </c>
      <c r="D67" s="40" t="s">
        <v>461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</row>
    <row r="68" spans="1:24" ht="32.25" customHeight="1" x14ac:dyDescent="0.15">
      <c r="A68" s="55"/>
      <c r="B68" s="55">
        <v>1671</v>
      </c>
      <c r="C68" s="55" t="s">
        <v>462</v>
      </c>
      <c r="D68" s="40" t="s">
        <v>463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</row>
    <row r="69" spans="1:24" ht="32.25" customHeight="1" x14ac:dyDescent="0.15">
      <c r="A69" s="55"/>
      <c r="B69" s="55">
        <v>1713</v>
      </c>
      <c r="C69" s="55" t="s">
        <v>464</v>
      </c>
      <c r="D69" s="40" t="s">
        <v>362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</row>
    <row r="70" spans="1:24" ht="32.25" customHeight="1" x14ac:dyDescent="0.15">
      <c r="A70" s="55"/>
      <c r="B70" s="55">
        <v>1674</v>
      </c>
      <c r="C70" s="55" t="s">
        <v>465</v>
      </c>
      <c r="D70" s="40" t="s">
        <v>466</v>
      </c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</row>
    <row r="71" spans="1:24" ht="32.25" customHeight="1" x14ac:dyDescent="0.15">
      <c r="A71" s="55"/>
      <c r="B71" s="55">
        <v>1405</v>
      </c>
      <c r="C71" s="55" t="s">
        <v>467</v>
      </c>
      <c r="D71" s="40" t="s">
        <v>468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</row>
    <row r="72" spans="1:24" ht="32.25" customHeight="1" x14ac:dyDescent="0.15">
      <c r="A72" s="55"/>
      <c r="B72" s="55">
        <v>1681</v>
      </c>
      <c r="C72" s="55" t="s">
        <v>469</v>
      </c>
      <c r="D72" s="40" t="s">
        <v>470</v>
      </c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</row>
    <row r="73" spans="1:24" ht="32.25" customHeight="1" x14ac:dyDescent="0.15">
      <c r="A73" s="55" t="s">
        <v>471</v>
      </c>
      <c r="B73" s="55">
        <v>271</v>
      </c>
      <c r="C73" s="55" t="s">
        <v>472</v>
      </c>
      <c r="D73" s="40" t="s">
        <v>473</v>
      </c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</row>
    <row r="74" spans="1:24" ht="32.25" customHeight="1" x14ac:dyDescent="0.15">
      <c r="A74" s="55" t="s">
        <v>474</v>
      </c>
      <c r="B74" s="55" t="s">
        <v>475</v>
      </c>
      <c r="C74" s="55" t="s">
        <v>476</v>
      </c>
      <c r="D74" s="40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</row>
    <row r="75" spans="1:24" ht="32.25" customHeight="1" x14ac:dyDescent="0.15">
      <c r="A75" s="55" t="s">
        <v>477</v>
      </c>
      <c r="B75" s="55">
        <v>104</v>
      </c>
      <c r="C75" s="55" t="s">
        <v>478</v>
      </c>
      <c r="D75" s="40" t="s">
        <v>479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</row>
    <row r="76" spans="1:24" ht="32.25" customHeight="1" x14ac:dyDescent="0.15">
      <c r="A76" s="55" t="s">
        <v>331</v>
      </c>
      <c r="B76" s="55" t="s">
        <v>480</v>
      </c>
      <c r="C76" s="55" t="s">
        <v>481</v>
      </c>
      <c r="D76" s="40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</row>
    <row r="77" spans="1:24" ht="32.25" customHeight="1" x14ac:dyDescent="0.15">
      <c r="A77" s="55" t="s">
        <v>66</v>
      </c>
      <c r="B77" s="55">
        <v>1476</v>
      </c>
      <c r="C77" s="55" t="s">
        <v>482</v>
      </c>
      <c r="D77" s="40" t="s">
        <v>483</v>
      </c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</row>
    <row r="78" spans="1:24" ht="32.25" customHeight="1" x14ac:dyDescent="0.15">
      <c r="A78" s="55"/>
      <c r="B78" s="55">
        <v>368</v>
      </c>
      <c r="C78" s="55" t="s">
        <v>484</v>
      </c>
      <c r="D78" s="40" t="s">
        <v>485</v>
      </c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</row>
    <row r="79" spans="1:24" ht="32.25" customHeight="1" x14ac:dyDescent="0.15">
      <c r="A79" s="55" t="s">
        <v>486</v>
      </c>
      <c r="B79" s="55">
        <v>33</v>
      </c>
      <c r="C79" s="55" t="s">
        <v>487</v>
      </c>
      <c r="D79" s="40" t="s">
        <v>443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</row>
    <row r="80" spans="1:24" ht="32.25" customHeight="1" x14ac:dyDescent="0.15">
      <c r="A80" s="55" t="s">
        <v>66</v>
      </c>
      <c r="B80" s="55">
        <v>696</v>
      </c>
      <c r="C80" s="55" t="s">
        <v>488</v>
      </c>
      <c r="D80" s="40" t="s">
        <v>489</v>
      </c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</row>
    <row r="81" spans="1:24" ht="32.25" customHeight="1" x14ac:dyDescent="0.15">
      <c r="A81" s="55"/>
      <c r="B81" s="55">
        <v>1702</v>
      </c>
      <c r="C81" s="55" t="s">
        <v>490</v>
      </c>
      <c r="D81" s="40" t="s">
        <v>427</v>
      </c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</row>
    <row r="82" spans="1:24" ht="32.25" customHeight="1" x14ac:dyDescent="0.15">
      <c r="A82" s="55"/>
      <c r="B82" s="55"/>
      <c r="C82" s="55"/>
      <c r="D82" s="40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</row>
    <row r="83" spans="1:24" ht="32.25" customHeight="1" x14ac:dyDescent="0.15">
      <c r="A83" s="55"/>
      <c r="B83" s="55"/>
      <c r="C83" s="55"/>
      <c r="D83" s="40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</row>
    <row r="84" spans="1:24" ht="32.25" customHeight="1" x14ac:dyDescent="0.15">
      <c r="A84" s="55"/>
      <c r="B84" s="55"/>
      <c r="C84" s="55"/>
      <c r="D84" s="40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</row>
    <row r="85" spans="1:24" ht="32.25" customHeight="1" x14ac:dyDescent="0.15">
      <c r="A85" s="55"/>
      <c r="B85" s="55"/>
      <c r="C85" s="55"/>
      <c r="D85" s="40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</row>
    <row r="86" spans="1:24" ht="32.25" customHeight="1" x14ac:dyDescent="0.15">
      <c r="A86" s="55"/>
      <c r="B86" s="55"/>
      <c r="C86" s="55"/>
      <c r="D86" s="40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</row>
    <row r="87" spans="1:24" ht="32.25" customHeight="1" x14ac:dyDescent="0.15">
      <c r="A87" s="55"/>
      <c r="B87" s="55"/>
      <c r="C87" s="55"/>
      <c r="D87" s="40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  <row r="88" spans="1:24" ht="32.25" customHeight="1" x14ac:dyDescent="0.15">
      <c r="A88" s="55"/>
      <c r="B88" s="55"/>
      <c r="C88" s="55"/>
      <c r="D88" s="40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</row>
    <row r="89" spans="1:24" ht="32.25" customHeight="1" x14ac:dyDescent="0.15">
      <c r="A89" s="55"/>
      <c r="B89" s="55"/>
      <c r="C89" s="55"/>
      <c r="D89" s="40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</row>
    <row r="90" spans="1:24" ht="32.25" customHeight="1" x14ac:dyDescent="0.15">
      <c r="A90" s="55"/>
      <c r="B90" s="55"/>
      <c r="C90" s="55"/>
      <c r="D90" s="40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</row>
    <row r="91" spans="1:24" ht="32.25" customHeight="1" x14ac:dyDescent="0.15">
      <c r="A91" s="55"/>
      <c r="B91" s="55"/>
      <c r="C91" s="55"/>
      <c r="D91" s="40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</row>
    <row r="92" spans="1:24" ht="32.25" customHeight="1" x14ac:dyDescent="0.15">
      <c r="A92" s="55"/>
      <c r="B92" s="55"/>
      <c r="C92" s="55"/>
      <c r="D92" s="40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</row>
    <row r="93" spans="1:24" ht="32.25" customHeight="1" x14ac:dyDescent="0.15">
      <c r="A93" s="55"/>
      <c r="B93" s="55"/>
      <c r="C93" s="55"/>
      <c r="D93" s="40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</row>
    <row r="94" spans="1:24" ht="32.25" customHeight="1" x14ac:dyDescent="0.15">
      <c r="A94" s="55"/>
      <c r="B94" s="55"/>
      <c r="C94" s="55"/>
      <c r="D94" s="40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</row>
    <row r="95" spans="1:24" ht="32.25" customHeight="1" x14ac:dyDescent="0.15">
      <c r="A95" s="55"/>
      <c r="B95" s="55"/>
      <c r="C95" s="55"/>
      <c r="D95" s="40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</row>
    <row r="96" spans="1:24" ht="32.25" customHeight="1" x14ac:dyDescent="0.15">
      <c r="A96" s="55"/>
      <c r="B96" s="55"/>
      <c r="C96" s="55"/>
      <c r="D96" s="40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</row>
    <row r="97" spans="1:24" ht="32.25" customHeight="1" x14ac:dyDescent="0.15">
      <c r="A97" s="55"/>
      <c r="B97" s="55"/>
      <c r="C97" s="55"/>
      <c r="D97" s="40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</row>
    <row r="98" spans="1:24" ht="32.25" customHeight="1" x14ac:dyDescent="0.15">
      <c r="A98" s="55"/>
      <c r="B98" s="55"/>
      <c r="C98" s="55"/>
      <c r="D98" s="40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</row>
    <row r="99" spans="1:24" ht="32.25" customHeight="1" x14ac:dyDescent="0.15">
      <c r="A99" s="55"/>
      <c r="B99" s="55"/>
      <c r="C99" s="55"/>
      <c r="D99" s="40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</row>
    <row r="100" spans="1:24" ht="32.25" customHeight="1" x14ac:dyDescent="0.15">
      <c r="A100" s="55"/>
      <c r="B100" s="55"/>
      <c r="C100" s="55"/>
      <c r="D100" s="40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</row>
    <row r="101" spans="1:24" ht="32.25" customHeight="1" x14ac:dyDescent="0.15">
      <c r="A101" s="55"/>
      <c r="B101" s="55"/>
      <c r="C101" s="55"/>
      <c r="D101" s="40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</row>
    <row r="102" spans="1:24" ht="32.25" customHeight="1" x14ac:dyDescent="0.15">
      <c r="A102" s="55"/>
      <c r="B102" s="55"/>
      <c r="C102" s="55"/>
      <c r="D102" s="40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</row>
    <row r="103" spans="1:24" ht="32.25" customHeight="1" x14ac:dyDescent="0.15">
      <c r="A103" s="55"/>
      <c r="B103" s="55"/>
      <c r="C103" s="55"/>
      <c r="D103" s="40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</row>
    <row r="104" spans="1:24" ht="32.25" customHeight="1" x14ac:dyDescent="0.15">
      <c r="A104" s="55"/>
      <c r="B104" s="55"/>
      <c r="C104" s="55"/>
      <c r="D104" s="40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</row>
    <row r="105" spans="1:24" ht="32.25" customHeight="1" x14ac:dyDescent="0.15">
      <c r="A105" s="55"/>
      <c r="B105" s="55"/>
      <c r="C105" s="55"/>
      <c r="D105" s="40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</row>
    <row r="106" spans="1:24" ht="32.25" customHeight="1" x14ac:dyDescent="0.15">
      <c r="A106" s="55"/>
      <c r="B106" s="55"/>
      <c r="C106" s="55"/>
      <c r="D106" s="40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</row>
    <row r="107" spans="1:24" ht="32.25" customHeight="1" x14ac:dyDescent="0.15">
      <c r="A107" s="55"/>
      <c r="B107" s="55"/>
      <c r="C107" s="55"/>
      <c r="D107" s="40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</row>
    <row r="108" spans="1:24" ht="32.25" customHeight="1" x14ac:dyDescent="0.15">
      <c r="A108" s="55"/>
      <c r="B108" s="55"/>
      <c r="C108" s="55"/>
      <c r="D108" s="40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</row>
    <row r="109" spans="1:24" ht="32.25" customHeight="1" x14ac:dyDescent="0.15">
      <c r="A109" s="55"/>
      <c r="B109" s="55"/>
      <c r="C109" s="55"/>
      <c r="D109" s="40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</row>
    <row r="110" spans="1:24" ht="32.25" customHeight="1" x14ac:dyDescent="0.15">
      <c r="A110" s="55"/>
      <c r="B110" s="55"/>
      <c r="C110" s="55"/>
      <c r="D110" s="40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</row>
    <row r="111" spans="1:24" ht="32.25" customHeight="1" x14ac:dyDescent="0.15">
      <c r="A111" s="55"/>
      <c r="B111" s="55"/>
      <c r="C111" s="55"/>
      <c r="D111" s="40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</row>
    <row r="112" spans="1:24" ht="32.25" customHeight="1" x14ac:dyDescent="0.15">
      <c r="A112" s="55"/>
      <c r="B112" s="55"/>
      <c r="C112" s="55"/>
      <c r="D112" s="40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</row>
    <row r="113" spans="1:24" ht="32.25" customHeight="1" x14ac:dyDescent="0.15">
      <c r="A113" s="55"/>
      <c r="B113" s="55"/>
      <c r="C113" s="55"/>
      <c r="D113" s="40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</row>
    <row r="114" spans="1:24" ht="32.25" customHeight="1" x14ac:dyDescent="0.15">
      <c r="A114" s="55"/>
      <c r="B114" s="55"/>
      <c r="C114" s="55"/>
      <c r="D114" s="40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</row>
    <row r="115" spans="1:24" ht="32.25" customHeight="1" x14ac:dyDescent="0.15">
      <c r="A115" s="55"/>
      <c r="B115" s="55"/>
      <c r="C115" s="55"/>
      <c r="D115" s="40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</row>
    <row r="116" spans="1:24" ht="32.25" customHeight="1" x14ac:dyDescent="0.15">
      <c r="A116" s="55"/>
      <c r="B116" s="55"/>
      <c r="C116" s="55"/>
      <c r="D116" s="40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</row>
    <row r="117" spans="1:24" ht="32.25" customHeight="1" x14ac:dyDescent="0.15">
      <c r="A117" s="55"/>
      <c r="B117" s="55"/>
      <c r="C117" s="55"/>
      <c r="D117" s="40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</row>
    <row r="118" spans="1:24" ht="32.25" customHeight="1" x14ac:dyDescent="0.15">
      <c r="A118" s="55"/>
      <c r="B118" s="55"/>
      <c r="C118" s="55"/>
      <c r="D118" s="40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</row>
    <row r="119" spans="1:24" ht="32.25" customHeight="1" x14ac:dyDescent="0.15">
      <c r="A119" s="55"/>
      <c r="B119" s="55"/>
      <c r="C119" s="55"/>
      <c r="D119" s="40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</row>
    <row r="120" spans="1:24" ht="32.25" customHeight="1" x14ac:dyDescent="0.15">
      <c r="A120" s="55"/>
      <c r="B120" s="55"/>
      <c r="C120" s="55"/>
      <c r="D120" s="40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</row>
    <row r="121" spans="1:24" ht="32.25" customHeight="1" x14ac:dyDescent="0.15">
      <c r="A121" s="55"/>
      <c r="B121" s="55"/>
      <c r="C121" s="55"/>
      <c r="D121" s="40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</row>
    <row r="122" spans="1:24" ht="32.25" customHeight="1" x14ac:dyDescent="0.15">
      <c r="A122" s="55"/>
      <c r="B122" s="55"/>
      <c r="C122" s="55"/>
      <c r="D122" s="40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</row>
    <row r="123" spans="1:24" ht="32.25" customHeight="1" x14ac:dyDescent="0.15">
      <c r="A123" s="55"/>
      <c r="B123" s="55"/>
      <c r="C123" s="55"/>
      <c r="D123" s="40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</row>
    <row r="124" spans="1:24" ht="32.25" customHeight="1" x14ac:dyDescent="0.15">
      <c r="A124" s="55"/>
      <c r="B124" s="55"/>
      <c r="C124" s="55"/>
      <c r="D124" s="40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</row>
    <row r="125" spans="1:24" ht="32.25" customHeight="1" x14ac:dyDescent="0.15">
      <c r="A125" s="55"/>
      <c r="B125" s="55"/>
      <c r="C125" s="55"/>
      <c r="D125" s="40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</row>
    <row r="126" spans="1:24" ht="32.25" customHeight="1" x14ac:dyDescent="0.15">
      <c r="A126" s="55"/>
      <c r="B126" s="55"/>
      <c r="C126" s="55"/>
      <c r="D126" s="40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</row>
    <row r="127" spans="1:24" ht="32.25" customHeight="1" x14ac:dyDescent="0.15">
      <c r="A127" s="55"/>
      <c r="B127" s="55"/>
      <c r="C127" s="55"/>
      <c r="D127" s="40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</row>
    <row r="128" spans="1:24" ht="32.25" customHeight="1" x14ac:dyDescent="0.15">
      <c r="A128" s="55"/>
      <c r="B128" s="55"/>
      <c r="C128" s="55"/>
      <c r="D128" s="40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</row>
    <row r="129" spans="1:24" ht="32.25" customHeight="1" x14ac:dyDescent="0.15">
      <c r="A129" s="55"/>
      <c r="B129" s="55"/>
      <c r="C129" s="55"/>
      <c r="D129" s="40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</row>
    <row r="130" spans="1:24" ht="32.25" customHeight="1" x14ac:dyDescent="0.15">
      <c r="A130" s="55"/>
      <c r="B130" s="55"/>
      <c r="C130" s="55"/>
      <c r="D130" s="40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</row>
    <row r="131" spans="1:24" ht="32.25" customHeight="1" x14ac:dyDescent="0.15">
      <c r="A131" s="55"/>
      <c r="B131" s="55"/>
      <c r="C131" s="55"/>
      <c r="D131" s="40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</row>
    <row r="132" spans="1:24" ht="32.25" customHeight="1" x14ac:dyDescent="0.15">
      <c r="A132" s="55"/>
      <c r="B132" s="55"/>
      <c r="C132" s="55"/>
      <c r="D132" s="40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</row>
    <row r="133" spans="1:24" ht="32.25" customHeight="1" x14ac:dyDescent="0.15">
      <c r="A133" s="55"/>
      <c r="B133" s="55"/>
      <c r="C133" s="55"/>
      <c r="D133" s="40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</row>
    <row r="134" spans="1:24" ht="32.25" customHeight="1" x14ac:dyDescent="0.15">
      <c r="A134" s="55"/>
      <c r="B134" s="55"/>
      <c r="C134" s="55"/>
      <c r="D134" s="40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</row>
    <row r="135" spans="1:24" ht="32.25" customHeight="1" x14ac:dyDescent="0.15">
      <c r="A135" s="55"/>
      <c r="B135" s="55"/>
      <c r="C135" s="55"/>
      <c r="D135" s="40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</row>
    <row r="136" spans="1:24" ht="32.25" customHeight="1" x14ac:dyDescent="0.15">
      <c r="A136" s="55"/>
      <c r="B136" s="55"/>
      <c r="C136" s="55"/>
      <c r="D136" s="40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</row>
    <row r="137" spans="1:24" ht="32.25" customHeight="1" x14ac:dyDescent="0.15">
      <c r="A137" s="55"/>
      <c r="B137" s="55"/>
      <c r="C137" s="55"/>
      <c r="D137" s="40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</row>
    <row r="138" spans="1:24" ht="32.25" customHeight="1" x14ac:dyDescent="0.15">
      <c r="A138" s="55"/>
      <c r="B138" s="55"/>
      <c r="C138" s="55"/>
      <c r="D138" s="40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</row>
    <row r="139" spans="1:24" ht="32.25" customHeight="1" x14ac:dyDescent="0.15">
      <c r="A139" s="55"/>
      <c r="B139" s="55"/>
      <c r="C139" s="55"/>
      <c r="D139" s="40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</row>
    <row r="140" spans="1:24" ht="32.25" customHeight="1" x14ac:dyDescent="0.15">
      <c r="A140" s="55"/>
      <c r="B140" s="55"/>
      <c r="C140" s="55"/>
      <c r="D140" s="40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</row>
    <row r="141" spans="1:24" ht="32.25" customHeight="1" x14ac:dyDescent="0.15">
      <c r="A141" s="55"/>
      <c r="B141" s="55"/>
      <c r="C141" s="55"/>
      <c r="D141" s="40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</row>
    <row r="142" spans="1:24" ht="32.25" customHeight="1" x14ac:dyDescent="0.15">
      <c r="A142" s="55"/>
      <c r="B142" s="55"/>
      <c r="C142" s="55"/>
      <c r="D142" s="40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</row>
    <row r="143" spans="1:24" ht="32.25" customHeight="1" x14ac:dyDescent="0.15">
      <c r="A143" s="55"/>
      <c r="B143" s="55"/>
      <c r="C143" s="55"/>
      <c r="D143" s="40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</row>
    <row r="144" spans="1:24" ht="32.25" customHeight="1" x14ac:dyDescent="0.15">
      <c r="A144" s="55"/>
      <c r="B144" s="55"/>
      <c r="C144" s="55"/>
      <c r="D144" s="40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</row>
    <row r="145" spans="1:24" ht="32.25" customHeight="1" x14ac:dyDescent="0.15">
      <c r="A145" s="55"/>
      <c r="B145" s="55"/>
      <c r="C145" s="55"/>
      <c r="D145" s="40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</row>
    <row r="146" spans="1:24" ht="32.25" customHeight="1" x14ac:dyDescent="0.15">
      <c r="A146" s="55"/>
      <c r="B146" s="55"/>
      <c r="C146" s="55"/>
      <c r="D146" s="40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</row>
    <row r="147" spans="1:24" ht="32.25" customHeight="1" x14ac:dyDescent="0.15">
      <c r="A147" s="55"/>
      <c r="B147" s="55"/>
      <c r="C147" s="55"/>
      <c r="D147" s="40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</row>
    <row r="148" spans="1:24" ht="32.25" customHeight="1" x14ac:dyDescent="0.15">
      <c r="A148" s="55"/>
      <c r="B148" s="55"/>
      <c r="C148" s="55"/>
      <c r="D148" s="40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</row>
    <row r="149" spans="1:24" ht="32.25" customHeight="1" x14ac:dyDescent="0.15">
      <c r="A149" s="55"/>
      <c r="B149" s="55"/>
      <c r="C149" s="55"/>
      <c r="D149" s="40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</row>
    <row r="150" spans="1:24" ht="32.25" customHeight="1" x14ac:dyDescent="0.15">
      <c r="A150" s="55"/>
      <c r="B150" s="55"/>
      <c r="C150" s="55"/>
      <c r="D150" s="40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</row>
    <row r="151" spans="1:24" ht="32.25" customHeight="1" x14ac:dyDescent="0.15">
      <c r="A151" s="55"/>
      <c r="B151" s="55"/>
      <c r="C151" s="55"/>
      <c r="D151" s="40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</row>
    <row r="152" spans="1:24" ht="32.25" customHeight="1" x14ac:dyDescent="0.15">
      <c r="A152" s="55"/>
      <c r="B152" s="55"/>
      <c r="C152" s="55"/>
      <c r="D152" s="40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</row>
    <row r="153" spans="1:24" ht="32.25" customHeight="1" x14ac:dyDescent="0.15">
      <c r="A153" s="55"/>
      <c r="B153" s="55"/>
      <c r="C153" s="55"/>
      <c r="D153" s="40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</row>
    <row r="154" spans="1:24" ht="32.25" customHeight="1" x14ac:dyDescent="0.15">
      <c r="A154" s="55"/>
      <c r="B154" s="55"/>
      <c r="C154" s="55"/>
      <c r="D154" s="40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</row>
    <row r="155" spans="1:24" ht="32.25" customHeight="1" x14ac:dyDescent="0.15">
      <c r="A155" s="55"/>
      <c r="B155" s="55"/>
      <c r="C155" s="55"/>
      <c r="D155" s="40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</row>
    <row r="156" spans="1:24" ht="32.25" customHeight="1" x14ac:dyDescent="0.15">
      <c r="A156" s="55"/>
      <c r="B156" s="55"/>
      <c r="C156" s="55"/>
      <c r="D156" s="40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</row>
    <row r="157" spans="1:24" ht="32.25" customHeight="1" x14ac:dyDescent="0.15">
      <c r="A157" s="55"/>
      <c r="B157" s="55"/>
      <c r="C157" s="55"/>
      <c r="D157" s="40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</row>
    <row r="158" spans="1:24" ht="32.25" customHeight="1" x14ac:dyDescent="0.15">
      <c r="A158" s="55"/>
      <c r="B158" s="55"/>
      <c r="C158" s="55"/>
      <c r="D158" s="40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</row>
    <row r="159" spans="1:24" ht="32.25" customHeight="1" x14ac:dyDescent="0.15">
      <c r="A159" s="55"/>
      <c r="B159" s="55"/>
      <c r="C159" s="55"/>
      <c r="D159" s="40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</row>
    <row r="160" spans="1:24" ht="32.25" customHeight="1" x14ac:dyDescent="0.15">
      <c r="A160" s="55"/>
      <c r="B160" s="55"/>
      <c r="C160" s="55"/>
      <c r="D160" s="40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</row>
    <row r="161" spans="1:24" ht="32.25" customHeight="1" x14ac:dyDescent="0.15">
      <c r="A161" s="55"/>
      <c r="B161" s="55"/>
      <c r="C161" s="55"/>
      <c r="D161" s="40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</row>
    <row r="162" spans="1:24" ht="32.25" customHeight="1" x14ac:dyDescent="0.15">
      <c r="A162" s="55"/>
      <c r="B162" s="55"/>
      <c r="C162" s="55"/>
      <c r="D162" s="40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</row>
    <row r="163" spans="1:24" ht="32.25" customHeight="1" x14ac:dyDescent="0.15">
      <c r="A163" s="55"/>
      <c r="B163" s="55"/>
      <c r="C163" s="55"/>
      <c r="D163" s="40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</row>
    <row r="164" spans="1:24" ht="32.25" customHeight="1" x14ac:dyDescent="0.15">
      <c r="A164" s="55"/>
      <c r="B164" s="55"/>
      <c r="C164" s="55"/>
      <c r="D164" s="40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</row>
    <row r="165" spans="1:24" ht="32.25" customHeight="1" x14ac:dyDescent="0.15">
      <c r="A165" s="55"/>
      <c r="B165" s="55"/>
      <c r="C165" s="55"/>
      <c r="D165" s="40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</row>
    <row r="166" spans="1:24" ht="32.25" customHeight="1" x14ac:dyDescent="0.15">
      <c r="A166" s="55"/>
      <c r="B166" s="55"/>
      <c r="C166" s="55"/>
      <c r="D166" s="40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</row>
    <row r="167" spans="1:24" ht="32.25" customHeight="1" x14ac:dyDescent="0.15">
      <c r="A167" s="55"/>
      <c r="B167" s="55"/>
      <c r="C167" s="55"/>
      <c r="D167" s="40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</row>
    <row r="168" spans="1:24" ht="32.25" customHeight="1" x14ac:dyDescent="0.15">
      <c r="A168" s="55"/>
      <c r="B168" s="55"/>
      <c r="C168" s="55"/>
      <c r="D168" s="40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</row>
    <row r="169" spans="1:24" ht="32.25" customHeight="1" x14ac:dyDescent="0.15">
      <c r="A169" s="55"/>
      <c r="B169" s="55"/>
      <c r="C169" s="55"/>
      <c r="D169" s="40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</row>
    <row r="170" spans="1:24" ht="32.25" customHeight="1" x14ac:dyDescent="0.15">
      <c r="A170" s="55"/>
      <c r="B170" s="55"/>
      <c r="C170" s="55"/>
      <c r="D170" s="40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</row>
    <row r="171" spans="1:24" ht="32.25" customHeight="1" x14ac:dyDescent="0.15">
      <c r="A171" s="55"/>
      <c r="B171" s="55"/>
      <c r="C171" s="55"/>
      <c r="D171" s="40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</row>
    <row r="172" spans="1:24" ht="32.25" customHeight="1" x14ac:dyDescent="0.15">
      <c r="A172" s="55"/>
      <c r="B172" s="55"/>
      <c r="C172" s="55"/>
      <c r="D172" s="40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</row>
    <row r="173" spans="1:24" ht="32.25" customHeight="1" x14ac:dyDescent="0.15">
      <c r="A173" s="55"/>
      <c r="B173" s="55"/>
      <c r="C173" s="55"/>
      <c r="D173" s="40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</row>
    <row r="174" spans="1:24" ht="32.25" customHeight="1" x14ac:dyDescent="0.15">
      <c r="A174" s="55"/>
      <c r="B174" s="55"/>
      <c r="C174" s="55"/>
      <c r="D174" s="40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</row>
    <row r="175" spans="1:24" ht="32.25" customHeight="1" x14ac:dyDescent="0.15">
      <c r="A175" s="55"/>
      <c r="B175" s="55"/>
      <c r="C175" s="55"/>
      <c r="D175" s="40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</row>
    <row r="176" spans="1:24" ht="32.25" customHeight="1" x14ac:dyDescent="0.15">
      <c r="A176" s="55"/>
      <c r="B176" s="55"/>
      <c r="C176" s="55"/>
      <c r="D176" s="40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</row>
    <row r="177" spans="1:24" ht="32.25" customHeight="1" x14ac:dyDescent="0.15">
      <c r="A177" s="55"/>
      <c r="B177" s="55"/>
      <c r="C177" s="55"/>
      <c r="D177" s="40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</row>
    <row r="178" spans="1:24" ht="32.25" customHeight="1" x14ac:dyDescent="0.15">
      <c r="A178" s="55"/>
      <c r="B178" s="55"/>
      <c r="C178" s="55"/>
      <c r="D178" s="40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</row>
    <row r="179" spans="1:24" ht="32.25" customHeight="1" x14ac:dyDescent="0.15">
      <c r="A179" s="55"/>
      <c r="B179" s="55"/>
      <c r="C179" s="55"/>
      <c r="D179" s="40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</row>
    <row r="180" spans="1:24" ht="32.25" customHeight="1" x14ac:dyDescent="0.15">
      <c r="A180" s="55"/>
      <c r="B180" s="55"/>
      <c r="C180" s="55"/>
      <c r="D180" s="40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</row>
    <row r="181" spans="1:24" ht="32.25" customHeight="1" x14ac:dyDescent="0.15">
      <c r="A181" s="55"/>
      <c r="B181" s="55"/>
      <c r="C181" s="55"/>
      <c r="D181" s="40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</row>
    <row r="182" spans="1:24" ht="32.25" customHeight="1" x14ac:dyDescent="0.15">
      <c r="A182" s="55"/>
      <c r="B182" s="55"/>
      <c r="C182" s="55"/>
      <c r="D182" s="40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</row>
    <row r="183" spans="1:24" ht="32.25" customHeight="1" x14ac:dyDescent="0.15">
      <c r="A183" s="55"/>
      <c r="B183" s="55"/>
      <c r="C183" s="55"/>
      <c r="D183" s="40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</row>
    <row r="184" spans="1:24" ht="32.25" customHeight="1" x14ac:dyDescent="0.15">
      <c r="A184" s="55"/>
      <c r="B184" s="55"/>
      <c r="C184" s="55"/>
      <c r="D184" s="40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</row>
    <row r="185" spans="1:24" ht="32.25" customHeight="1" x14ac:dyDescent="0.15">
      <c r="A185" s="55"/>
      <c r="B185" s="55"/>
      <c r="C185" s="55"/>
      <c r="D185" s="40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</row>
    <row r="186" spans="1:24" ht="32.25" customHeight="1" x14ac:dyDescent="0.15">
      <c r="A186" s="55"/>
      <c r="B186" s="55"/>
      <c r="C186" s="55"/>
      <c r="D186" s="40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</row>
    <row r="187" spans="1:24" ht="32.25" customHeight="1" x14ac:dyDescent="0.15">
      <c r="A187" s="55"/>
      <c r="B187" s="55"/>
      <c r="C187" s="55"/>
      <c r="D187" s="40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</row>
    <row r="188" spans="1:24" ht="32.25" customHeight="1" x14ac:dyDescent="0.15">
      <c r="A188" s="55"/>
      <c r="B188" s="55"/>
      <c r="C188" s="55"/>
      <c r="D188" s="40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</row>
    <row r="189" spans="1:24" ht="32.25" customHeight="1" x14ac:dyDescent="0.15">
      <c r="A189" s="55"/>
      <c r="B189" s="55"/>
      <c r="C189" s="55"/>
      <c r="D189" s="40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</row>
    <row r="190" spans="1:24" ht="32.25" customHeight="1" x14ac:dyDescent="0.15">
      <c r="A190" s="55"/>
      <c r="B190" s="55"/>
      <c r="C190" s="55"/>
      <c r="D190" s="40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</row>
    <row r="191" spans="1:24" ht="32.25" customHeight="1" x14ac:dyDescent="0.15">
      <c r="A191" s="55"/>
      <c r="B191" s="55"/>
      <c r="C191" s="55"/>
      <c r="D191" s="40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</row>
    <row r="192" spans="1:24" ht="32.25" customHeight="1" x14ac:dyDescent="0.15">
      <c r="A192" s="55"/>
      <c r="B192" s="55"/>
      <c r="C192" s="55"/>
      <c r="D192" s="40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</row>
    <row r="193" spans="1:24" ht="32.25" customHeight="1" x14ac:dyDescent="0.15">
      <c r="A193" s="55"/>
      <c r="B193" s="55"/>
      <c r="C193" s="55"/>
      <c r="D193" s="40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</row>
    <row r="194" spans="1:24" ht="32.25" customHeight="1" x14ac:dyDescent="0.15">
      <c r="A194" s="55"/>
      <c r="B194" s="55"/>
      <c r="C194" s="55"/>
      <c r="D194" s="40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</row>
    <row r="195" spans="1:24" ht="32.25" customHeight="1" x14ac:dyDescent="0.15">
      <c r="A195" s="55"/>
      <c r="B195" s="55"/>
      <c r="C195" s="55"/>
      <c r="D195" s="40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</row>
    <row r="196" spans="1:24" ht="32.25" customHeight="1" x14ac:dyDescent="0.15">
      <c r="A196" s="55"/>
      <c r="B196" s="55"/>
      <c r="C196" s="55"/>
      <c r="D196" s="40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</row>
    <row r="197" spans="1:24" ht="32.25" customHeight="1" x14ac:dyDescent="0.15">
      <c r="A197" s="55"/>
      <c r="B197" s="55"/>
      <c r="C197" s="55"/>
      <c r="D197" s="40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</row>
    <row r="198" spans="1:24" ht="32.25" customHeight="1" x14ac:dyDescent="0.15">
      <c r="A198" s="55"/>
      <c r="B198" s="55"/>
      <c r="C198" s="55"/>
      <c r="D198" s="40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</row>
    <row r="199" spans="1:24" ht="32.25" customHeight="1" x14ac:dyDescent="0.15">
      <c r="A199" s="55"/>
      <c r="B199" s="55"/>
      <c r="C199" s="55"/>
      <c r="D199" s="40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</row>
    <row r="200" spans="1:24" ht="32.25" customHeight="1" x14ac:dyDescent="0.15">
      <c r="A200" s="55"/>
      <c r="B200" s="55"/>
      <c r="C200" s="55"/>
      <c r="D200" s="40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</row>
    <row r="201" spans="1:24" ht="32.25" customHeight="1" x14ac:dyDescent="0.15">
      <c r="A201" s="55"/>
      <c r="B201" s="55"/>
      <c r="C201" s="55"/>
      <c r="D201" s="40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</row>
    <row r="202" spans="1:24" ht="32.25" customHeight="1" x14ac:dyDescent="0.15">
      <c r="A202" s="55"/>
      <c r="B202" s="55"/>
      <c r="C202" s="55"/>
      <c r="D202" s="40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</row>
    <row r="203" spans="1:24" ht="32.25" customHeight="1" x14ac:dyDescent="0.15">
      <c r="A203" s="55"/>
      <c r="B203" s="55"/>
      <c r="C203" s="55"/>
      <c r="D203" s="40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</row>
    <row r="204" spans="1:24" ht="32.25" customHeight="1" x14ac:dyDescent="0.15">
      <c r="A204" s="55"/>
      <c r="B204" s="55"/>
      <c r="C204" s="55"/>
      <c r="D204" s="40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</row>
    <row r="205" spans="1:24" ht="32.25" customHeight="1" x14ac:dyDescent="0.15">
      <c r="A205" s="55"/>
      <c r="B205" s="55"/>
      <c r="C205" s="55"/>
      <c r="D205" s="40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</row>
    <row r="206" spans="1:24" ht="32.25" customHeight="1" x14ac:dyDescent="0.15">
      <c r="A206" s="55"/>
      <c r="B206" s="55"/>
      <c r="C206" s="55"/>
      <c r="D206" s="40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</row>
    <row r="207" spans="1:24" ht="32.25" customHeight="1" x14ac:dyDescent="0.15">
      <c r="A207" s="55"/>
      <c r="B207" s="55"/>
      <c r="C207" s="55"/>
      <c r="D207" s="40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</row>
    <row r="208" spans="1:24" ht="32.25" customHeight="1" x14ac:dyDescent="0.15">
      <c r="A208" s="55"/>
      <c r="B208" s="55"/>
      <c r="C208" s="55"/>
      <c r="D208" s="40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</row>
    <row r="209" spans="1:24" ht="32.25" customHeight="1" x14ac:dyDescent="0.15">
      <c r="A209" s="55"/>
      <c r="B209" s="55"/>
      <c r="C209" s="55"/>
      <c r="D209" s="40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</row>
    <row r="210" spans="1:24" ht="32.25" customHeight="1" x14ac:dyDescent="0.15">
      <c r="A210" s="55"/>
      <c r="B210" s="55"/>
      <c r="C210" s="55"/>
      <c r="D210" s="40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</row>
    <row r="211" spans="1:24" ht="32.25" customHeight="1" x14ac:dyDescent="0.15">
      <c r="A211" s="55"/>
      <c r="B211" s="55"/>
      <c r="C211" s="55"/>
      <c r="D211" s="40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</row>
    <row r="212" spans="1:24" ht="32.25" customHeight="1" x14ac:dyDescent="0.15">
      <c r="A212" s="55"/>
      <c r="B212" s="55"/>
      <c r="C212" s="55"/>
      <c r="D212" s="40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</row>
    <row r="213" spans="1:24" ht="32.25" customHeight="1" x14ac:dyDescent="0.15">
      <c r="A213" s="55"/>
      <c r="B213" s="55"/>
      <c r="C213" s="55"/>
      <c r="D213" s="40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</row>
    <row r="214" spans="1:24" ht="32.25" customHeight="1" x14ac:dyDescent="0.15">
      <c r="A214" s="55"/>
      <c r="B214" s="55"/>
      <c r="C214" s="55"/>
      <c r="D214" s="40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</row>
    <row r="215" spans="1:24" ht="32.25" customHeight="1" x14ac:dyDescent="0.15">
      <c r="A215" s="55"/>
      <c r="B215" s="55"/>
      <c r="C215" s="55"/>
      <c r="D215" s="40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</row>
    <row r="216" spans="1:24" ht="32.25" customHeight="1" x14ac:dyDescent="0.15">
      <c r="A216" s="55"/>
      <c r="B216" s="55"/>
      <c r="C216" s="55"/>
      <c r="D216" s="40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</row>
    <row r="217" spans="1:24" ht="32.25" customHeight="1" x14ac:dyDescent="0.15">
      <c r="A217" s="55"/>
      <c r="B217" s="55"/>
      <c r="C217" s="55"/>
      <c r="D217" s="40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</row>
    <row r="218" spans="1:24" ht="32.25" customHeight="1" x14ac:dyDescent="0.15">
      <c r="A218" s="55"/>
      <c r="B218" s="55"/>
      <c r="C218" s="55"/>
      <c r="D218" s="40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</row>
    <row r="219" spans="1:24" ht="32.25" customHeight="1" x14ac:dyDescent="0.15">
      <c r="A219" s="55"/>
      <c r="B219" s="55"/>
      <c r="C219" s="55"/>
      <c r="D219" s="40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</row>
    <row r="220" spans="1:24" ht="32.25" customHeight="1" x14ac:dyDescent="0.15">
      <c r="A220" s="55"/>
      <c r="B220" s="55"/>
      <c r="C220" s="55"/>
      <c r="D220" s="40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</row>
    <row r="221" spans="1:24" ht="32.25" customHeight="1" x14ac:dyDescent="0.15">
      <c r="A221" s="55"/>
      <c r="B221" s="55"/>
      <c r="C221" s="55"/>
      <c r="D221" s="40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</row>
    <row r="222" spans="1:24" ht="32.25" customHeight="1" x14ac:dyDescent="0.15">
      <c r="A222" s="55"/>
      <c r="B222" s="55"/>
      <c r="C222" s="55"/>
      <c r="D222" s="40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</row>
    <row r="223" spans="1:24" ht="32.25" customHeight="1" x14ac:dyDescent="0.15">
      <c r="A223" s="55"/>
      <c r="B223" s="55"/>
      <c r="C223" s="55"/>
      <c r="D223" s="40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</row>
    <row r="224" spans="1:24" ht="32.25" customHeight="1" x14ac:dyDescent="0.15">
      <c r="A224" s="55"/>
      <c r="B224" s="55"/>
      <c r="C224" s="55"/>
      <c r="D224" s="40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</row>
    <row r="225" spans="1:24" ht="32.25" customHeight="1" x14ac:dyDescent="0.15">
      <c r="A225" s="55"/>
      <c r="B225" s="55"/>
      <c r="C225" s="55"/>
      <c r="D225" s="40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</row>
    <row r="226" spans="1:24" ht="32.25" customHeight="1" x14ac:dyDescent="0.15">
      <c r="A226" s="55"/>
      <c r="B226" s="55"/>
      <c r="C226" s="55"/>
      <c r="D226" s="40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</row>
    <row r="227" spans="1:24" ht="32.25" customHeight="1" x14ac:dyDescent="0.15">
      <c r="A227" s="55"/>
      <c r="B227" s="55"/>
      <c r="C227" s="55"/>
      <c r="D227" s="40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</row>
    <row r="228" spans="1:24" ht="32.25" customHeight="1" x14ac:dyDescent="0.15">
      <c r="A228" s="55"/>
      <c r="B228" s="55"/>
      <c r="C228" s="55"/>
      <c r="D228" s="40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</row>
    <row r="229" spans="1:24" ht="32.25" customHeight="1" x14ac:dyDescent="0.15">
      <c r="A229" s="55"/>
      <c r="B229" s="55"/>
      <c r="C229" s="55"/>
      <c r="D229" s="40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</row>
    <row r="230" spans="1:24" ht="32.25" customHeight="1" x14ac:dyDescent="0.15">
      <c r="A230" s="55"/>
      <c r="B230" s="55"/>
      <c r="C230" s="55"/>
      <c r="D230" s="40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</row>
    <row r="231" spans="1:24" ht="32.25" customHeight="1" x14ac:dyDescent="0.15">
      <c r="A231" s="55"/>
      <c r="B231" s="55"/>
      <c r="C231" s="55"/>
      <c r="D231" s="40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</row>
    <row r="232" spans="1:24" ht="32.25" customHeight="1" x14ac:dyDescent="0.15">
      <c r="A232" s="55"/>
      <c r="B232" s="55"/>
      <c r="C232" s="55"/>
      <c r="D232" s="40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</row>
    <row r="233" spans="1:24" ht="32.25" customHeight="1" x14ac:dyDescent="0.15">
      <c r="A233" s="55"/>
      <c r="B233" s="55"/>
      <c r="C233" s="55"/>
      <c r="D233" s="40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</row>
    <row r="234" spans="1:24" ht="32.25" customHeight="1" x14ac:dyDescent="0.15">
      <c r="A234" s="55"/>
      <c r="B234" s="55"/>
      <c r="C234" s="55"/>
      <c r="D234" s="40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</row>
    <row r="235" spans="1:24" ht="32.25" customHeight="1" x14ac:dyDescent="0.15">
      <c r="A235" s="55"/>
      <c r="B235" s="55"/>
      <c r="C235" s="55"/>
      <c r="D235" s="40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</row>
    <row r="236" spans="1:24" ht="32.25" customHeight="1" x14ac:dyDescent="0.15">
      <c r="A236" s="55"/>
      <c r="B236" s="55"/>
      <c r="C236" s="55"/>
      <c r="D236" s="40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</row>
    <row r="237" spans="1:24" ht="32.25" customHeight="1" x14ac:dyDescent="0.15">
      <c r="A237" s="55"/>
      <c r="B237" s="55"/>
      <c r="C237" s="55"/>
      <c r="D237" s="40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</row>
    <row r="238" spans="1:24" ht="32.25" customHeight="1" x14ac:dyDescent="0.15">
      <c r="A238" s="55"/>
      <c r="B238" s="55"/>
      <c r="C238" s="55"/>
      <c r="D238" s="40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</row>
    <row r="239" spans="1:24" ht="32.25" customHeight="1" x14ac:dyDescent="0.15">
      <c r="A239" s="55"/>
      <c r="B239" s="55"/>
      <c r="C239" s="55"/>
      <c r="D239" s="40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</row>
    <row r="240" spans="1:24" ht="32.25" customHeight="1" x14ac:dyDescent="0.15">
      <c r="A240" s="55"/>
      <c r="B240" s="55"/>
      <c r="C240" s="55"/>
      <c r="D240" s="40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</row>
    <row r="241" spans="1:24" ht="32.25" customHeight="1" x14ac:dyDescent="0.15">
      <c r="A241" s="55"/>
      <c r="B241" s="55"/>
      <c r="C241" s="55"/>
      <c r="D241" s="40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</row>
    <row r="242" spans="1:24" ht="32.25" customHeight="1" x14ac:dyDescent="0.15">
      <c r="A242" s="55"/>
      <c r="B242" s="55"/>
      <c r="C242" s="55"/>
      <c r="D242" s="40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</row>
    <row r="243" spans="1:24" ht="32.25" customHeight="1" x14ac:dyDescent="0.15">
      <c r="A243" s="55"/>
      <c r="B243" s="55"/>
      <c r="C243" s="55"/>
      <c r="D243" s="40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</row>
    <row r="244" spans="1:24" ht="32.25" customHeight="1" x14ac:dyDescent="0.15">
      <c r="A244" s="55"/>
      <c r="B244" s="55"/>
      <c r="C244" s="55"/>
      <c r="D244" s="40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</row>
    <row r="245" spans="1:24" ht="32.25" customHeight="1" x14ac:dyDescent="0.15">
      <c r="A245" s="55"/>
      <c r="B245" s="55"/>
      <c r="C245" s="55"/>
      <c r="D245" s="40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</row>
    <row r="246" spans="1:24" ht="32.25" customHeight="1" x14ac:dyDescent="0.15">
      <c r="A246" s="55"/>
      <c r="B246" s="55"/>
      <c r="C246" s="55"/>
      <c r="D246" s="40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</row>
    <row r="247" spans="1:24" ht="32.25" customHeight="1" x14ac:dyDescent="0.15">
      <c r="A247" s="55"/>
      <c r="B247" s="55"/>
      <c r="C247" s="55"/>
      <c r="D247" s="40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</row>
    <row r="248" spans="1:24" ht="32.25" customHeight="1" x14ac:dyDescent="0.15">
      <c r="A248" s="55"/>
      <c r="B248" s="55"/>
      <c r="C248" s="55"/>
      <c r="D248" s="40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</row>
    <row r="249" spans="1:24" ht="32.25" customHeight="1" x14ac:dyDescent="0.15">
      <c r="A249" s="55"/>
      <c r="B249" s="55"/>
      <c r="C249" s="55"/>
      <c r="D249" s="40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</row>
    <row r="250" spans="1:24" ht="32.25" customHeight="1" x14ac:dyDescent="0.15">
      <c r="A250" s="55"/>
      <c r="B250" s="55"/>
      <c r="C250" s="55"/>
      <c r="D250" s="40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</row>
    <row r="251" spans="1:24" ht="32.25" customHeight="1" x14ac:dyDescent="0.15">
      <c r="A251" s="55"/>
      <c r="B251" s="55"/>
      <c r="C251" s="55"/>
      <c r="D251" s="40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</row>
    <row r="252" spans="1:24" ht="32.25" customHeight="1" x14ac:dyDescent="0.15">
      <c r="A252" s="55"/>
      <c r="B252" s="55"/>
      <c r="C252" s="55"/>
      <c r="D252" s="40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</row>
    <row r="253" spans="1:24" ht="32.25" customHeight="1" x14ac:dyDescent="0.15">
      <c r="A253" s="55"/>
      <c r="B253" s="55"/>
      <c r="C253" s="55"/>
      <c r="D253" s="40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</row>
    <row r="254" spans="1:24" ht="32.25" customHeight="1" x14ac:dyDescent="0.15">
      <c r="A254" s="55"/>
      <c r="B254" s="55"/>
      <c r="C254" s="55"/>
      <c r="D254" s="40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</row>
    <row r="255" spans="1:24" ht="32.25" customHeight="1" x14ac:dyDescent="0.15">
      <c r="A255" s="55"/>
      <c r="B255" s="55"/>
      <c r="C255" s="55"/>
      <c r="D255" s="40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</row>
    <row r="256" spans="1:24" ht="32.25" customHeight="1" x14ac:dyDescent="0.15">
      <c r="A256" s="55"/>
      <c r="B256" s="55"/>
      <c r="C256" s="55"/>
      <c r="D256" s="40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</row>
    <row r="257" spans="1:24" ht="32.25" customHeight="1" x14ac:dyDescent="0.15">
      <c r="A257" s="55"/>
      <c r="B257" s="55"/>
      <c r="C257" s="55"/>
      <c r="D257" s="40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</row>
    <row r="258" spans="1:24" ht="32.25" customHeight="1" x14ac:dyDescent="0.15">
      <c r="A258" s="55"/>
      <c r="B258" s="55"/>
      <c r="C258" s="55"/>
      <c r="D258" s="40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</row>
    <row r="259" spans="1:24" ht="32.25" customHeight="1" x14ac:dyDescent="0.15">
      <c r="A259" s="55"/>
      <c r="B259" s="55"/>
      <c r="C259" s="55"/>
      <c r="D259" s="40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</row>
    <row r="260" spans="1:24" ht="32.25" customHeight="1" x14ac:dyDescent="0.15">
      <c r="A260" s="55"/>
      <c r="B260" s="55"/>
      <c r="C260" s="55"/>
      <c r="D260" s="40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</row>
    <row r="261" spans="1:24" ht="32.25" customHeight="1" x14ac:dyDescent="0.15">
      <c r="A261" s="55"/>
      <c r="B261" s="55"/>
      <c r="C261" s="55"/>
      <c r="D261" s="40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</row>
    <row r="262" spans="1:24" ht="32.25" customHeight="1" x14ac:dyDescent="0.15">
      <c r="A262" s="55"/>
      <c r="B262" s="55"/>
      <c r="C262" s="55"/>
      <c r="D262" s="40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</row>
    <row r="263" spans="1:24" ht="32.25" customHeight="1" x14ac:dyDescent="0.15">
      <c r="A263" s="55"/>
      <c r="B263" s="55"/>
      <c r="C263" s="55"/>
      <c r="D263" s="40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</row>
    <row r="264" spans="1:24" ht="32.25" customHeight="1" x14ac:dyDescent="0.15">
      <c r="A264" s="55"/>
      <c r="B264" s="55"/>
      <c r="C264" s="55"/>
      <c r="D264" s="40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</row>
    <row r="265" spans="1:24" ht="32.25" customHeight="1" x14ac:dyDescent="0.15">
      <c r="A265" s="55"/>
      <c r="B265" s="55"/>
      <c r="C265" s="55"/>
      <c r="D265" s="40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</row>
    <row r="266" spans="1:24" ht="32.25" customHeight="1" x14ac:dyDescent="0.15">
      <c r="A266" s="55"/>
      <c r="B266" s="55"/>
      <c r="C266" s="55"/>
      <c r="D266" s="40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</row>
    <row r="267" spans="1:24" ht="32.25" customHeight="1" x14ac:dyDescent="0.15">
      <c r="A267" s="55"/>
      <c r="B267" s="55"/>
      <c r="C267" s="55"/>
      <c r="D267" s="40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</row>
    <row r="268" spans="1:24" ht="32.25" customHeight="1" x14ac:dyDescent="0.15">
      <c r="A268" s="55"/>
      <c r="B268" s="55"/>
      <c r="C268" s="55"/>
      <c r="D268" s="40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</row>
    <row r="269" spans="1:24" ht="32.25" customHeight="1" x14ac:dyDescent="0.15">
      <c r="A269" s="55"/>
      <c r="B269" s="55"/>
      <c r="C269" s="55"/>
      <c r="D269" s="40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</row>
    <row r="270" spans="1:24" ht="32.25" customHeight="1" x14ac:dyDescent="0.15">
      <c r="A270" s="55"/>
      <c r="B270" s="55"/>
      <c r="C270" s="55"/>
      <c r="D270" s="40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</row>
    <row r="271" spans="1:24" ht="32.25" customHeight="1" x14ac:dyDescent="0.15">
      <c r="A271" s="55"/>
      <c r="B271" s="55"/>
      <c r="C271" s="55"/>
      <c r="D271" s="40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</row>
    <row r="272" spans="1:24" ht="32.25" customHeight="1" x14ac:dyDescent="0.15">
      <c r="A272" s="55"/>
      <c r="B272" s="55"/>
      <c r="C272" s="55"/>
      <c r="D272" s="40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</row>
    <row r="273" spans="1:24" ht="32.25" customHeight="1" x14ac:dyDescent="0.15">
      <c r="A273" s="55"/>
      <c r="B273" s="55"/>
      <c r="C273" s="55"/>
      <c r="D273" s="40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</row>
    <row r="274" spans="1:24" ht="32.25" customHeight="1" x14ac:dyDescent="0.15">
      <c r="A274" s="55"/>
      <c r="B274" s="55"/>
      <c r="C274" s="55"/>
      <c r="D274" s="40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</row>
    <row r="275" spans="1:24" ht="32.25" customHeight="1" x14ac:dyDescent="0.15">
      <c r="A275" s="55"/>
      <c r="B275" s="55"/>
      <c r="C275" s="55"/>
      <c r="D275" s="40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</row>
    <row r="276" spans="1:24" ht="32.25" customHeight="1" x14ac:dyDescent="0.15">
      <c r="A276" s="55"/>
      <c r="B276" s="55"/>
      <c r="C276" s="55"/>
      <c r="D276" s="40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</row>
    <row r="277" spans="1:24" ht="32.25" customHeight="1" x14ac:dyDescent="0.15">
      <c r="A277" s="55"/>
      <c r="B277" s="55"/>
      <c r="C277" s="55"/>
      <c r="D277" s="40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</row>
    <row r="278" spans="1:24" ht="32.25" customHeight="1" x14ac:dyDescent="0.15">
      <c r="A278" s="55"/>
      <c r="B278" s="55"/>
      <c r="C278" s="55"/>
      <c r="D278" s="40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</row>
    <row r="279" spans="1:24" ht="32.25" customHeight="1" x14ac:dyDescent="0.15">
      <c r="A279" s="55"/>
      <c r="B279" s="55"/>
      <c r="C279" s="55"/>
      <c r="D279" s="40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</row>
    <row r="280" spans="1:24" ht="32.25" customHeight="1" x14ac:dyDescent="0.15">
      <c r="A280" s="55"/>
      <c r="B280" s="55"/>
      <c r="C280" s="55"/>
      <c r="D280" s="40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</row>
    <row r="281" spans="1:24" ht="32.25" customHeight="1" x14ac:dyDescent="0.15">
      <c r="A281" s="55"/>
      <c r="B281" s="55"/>
      <c r="C281" s="55"/>
      <c r="D281" s="40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</row>
    <row r="282" spans="1:24" ht="15.75" customHeight="1" x14ac:dyDescent="0.15"/>
    <row r="283" spans="1:24" ht="15.75" customHeight="1" x14ac:dyDescent="0.15"/>
    <row r="284" spans="1:24" ht="15.75" customHeight="1" x14ac:dyDescent="0.15"/>
    <row r="285" spans="1:24" ht="15.75" customHeight="1" x14ac:dyDescent="0.15"/>
    <row r="286" spans="1:24" ht="15.75" customHeight="1" x14ac:dyDescent="0.15"/>
    <row r="287" spans="1:24" ht="15.75" customHeight="1" x14ac:dyDescent="0.15"/>
    <row r="288" spans="1:24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3:D3"/>
    <mergeCell ref="A20:D2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1" max="1" width="44.6640625" customWidth="1"/>
    <col min="2" max="3" width="24.1640625" customWidth="1"/>
    <col min="4" max="4" width="24.6640625" customWidth="1"/>
    <col min="5" max="6" width="12.6640625" customWidth="1"/>
  </cols>
  <sheetData>
    <row r="1" spans="1:5" ht="15.75" customHeight="1" x14ac:dyDescent="0.15">
      <c r="B1" s="40" t="s">
        <v>491</v>
      </c>
      <c r="C1" s="40" t="s">
        <v>492</v>
      </c>
      <c r="D1" s="40" t="s">
        <v>493</v>
      </c>
      <c r="E1" s="40" t="s">
        <v>494</v>
      </c>
    </row>
    <row r="2" spans="1:5" ht="15.75" customHeight="1" x14ac:dyDescent="0.15">
      <c r="A2" s="40" t="s">
        <v>495</v>
      </c>
      <c r="B2" s="40"/>
      <c r="C2" s="40" t="s">
        <v>496</v>
      </c>
      <c r="D2" s="40" t="s">
        <v>497</v>
      </c>
      <c r="E2" s="40" t="s">
        <v>29</v>
      </c>
    </row>
    <row r="3" spans="1:5" ht="93" customHeight="1" x14ac:dyDescent="0.15">
      <c r="C3" s="40"/>
      <c r="D3" s="40"/>
    </row>
    <row r="4" spans="1:5" ht="15.75" customHeight="1" x14ac:dyDescent="0.15">
      <c r="A4" s="40" t="s">
        <v>498</v>
      </c>
      <c r="B4" s="40"/>
      <c r="C4" s="40">
        <v>70</v>
      </c>
      <c r="D4" s="40">
        <v>186</v>
      </c>
      <c r="E4" s="40" t="s">
        <v>21</v>
      </c>
    </row>
    <row r="5" spans="1:5" ht="15.75" customHeight="1" x14ac:dyDescent="0.15">
      <c r="A5" s="40" t="s">
        <v>499</v>
      </c>
      <c r="B5" s="40"/>
      <c r="C5" s="40">
        <v>29.42</v>
      </c>
      <c r="D5" s="40">
        <v>67</v>
      </c>
      <c r="E5" s="40" t="s">
        <v>21</v>
      </c>
    </row>
    <row r="6" spans="1:5" ht="15.75" customHeight="1" x14ac:dyDescent="0.15">
      <c r="A6" s="40" t="s">
        <v>500</v>
      </c>
      <c r="B6" s="40"/>
      <c r="C6" s="40">
        <v>31.2</v>
      </c>
      <c r="D6" s="40">
        <v>36</v>
      </c>
      <c r="E6" s="40" t="s">
        <v>21</v>
      </c>
    </row>
    <row r="7" spans="1:5" ht="15.75" customHeight="1" x14ac:dyDescent="0.15">
      <c r="A7" s="40" t="s">
        <v>501</v>
      </c>
      <c r="B7" s="58"/>
      <c r="C7" s="58">
        <v>0.20499999999999999</v>
      </c>
      <c r="D7" s="59">
        <v>0.13</v>
      </c>
      <c r="E7" s="40" t="s">
        <v>21</v>
      </c>
    </row>
    <row r="8" spans="1:5" ht="15.75" customHeight="1" x14ac:dyDescent="0.15">
      <c r="A8" s="40" t="s">
        <v>502</v>
      </c>
      <c r="B8" s="58"/>
      <c r="C8" s="58">
        <v>0.22600000000000001</v>
      </c>
      <c r="D8" s="59">
        <v>0.13</v>
      </c>
      <c r="E8" s="40" t="s">
        <v>21</v>
      </c>
    </row>
    <row r="9" spans="1:5" ht="15.75" customHeight="1" x14ac:dyDescent="0.15">
      <c r="A9" s="40" t="s">
        <v>503</v>
      </c>
      <c r="B9" s="58"/>
      <c r="C9" s="58">
        <v>0.19170000000000001</v>
      </c>
      <c r="D9" s="58">
        <v>5.3999999999999999E-2</v>
      </c>
      <c r="E9" s="40" t="s">
        <v>21</v>
      </c>
    </row>
    <row r="10" spans="1:5" ht="15.75" customHeight="1" x14ac:dyDescent="0.15">
      <c r="A10" s="40" t="s">
        <v>504</v>
      </c>
      <c r="B10" s="40"/>
      <c r="C10" s="40">
        <v>114</v>
      </c>
      <c r="D10" s="40">
        <v>31</v>
      </c>
      <c r="E10" s="40" t="s">
        <v>20</v>
      </c>
    </row>
    <row r="11" spans="1:5" ht="15.75" customHeight="1" x14ac:dyDescent="0.15">
      <c r="A11" s="40" t="s">
        <v>505</v>
      </c>
      <c r="B11" s="40"/>
      <c r="C11" s="40">
        <v>22.52</v>
      </c>
      <c r="D11" s="40">
        <v>6</v>
      </c>
      <c r="E11" s="40" t="s">
        <v>20</v>
      </c>
    </row>
    <row r="12" spans="1:5" ht="15.75" customHeight="1" x14ac:dyDescent="0.15">
      <c r="A12" s="40" t="s">
        <v>506</v>
      </c>
      <c r="B12" s="40"/>
      <c r="C12" s="40">
        <v>25.62</v>
      </c>
      <c r="D12" s="40">
        <v>6.9</v>
      </c>
      <c r="E12" s="40" t="s">
        <v>20</v>
      </c>
    </row>
    <row r="13" spans="1:5" ht="15.75" customHeight="1" x14ac:dyDescent="0.15">
      <c r="A13" s="40" t="s">
        <v>507</v>
      </c>
      <c r="B13" s="40"/>
      <c r="C13" s="40">
        <v>20</v>
      </c>
      <c r="D13" s="40">
        <v>6</v>
      </c>
      <c r="E13" s="40" t="s">
        <v>20</v>
      </c>
    </row>
    <row r="14" spans="1:5" ht="15.75" customHeight="1" x14ac:dyDescent="0.15">
      <c r="A14" s="40" t="s">
        <v>508</v>
      </c>
      <c r="B14" s="40"/>
      <c r="C14" s="40">
        <v>18.34</v>
      </c>
      <c r="D14" s="40">
        <v>5.5</v>
      </c>
      <c r="E14" s="40" t="s">
        <v>20</v>
      </c>
    </row>
    <row r="15" spans="1:5" ht="15.75" customHeight="1" x14ac:dyDescent="0.15">
      <c r="A15" s="40" t="s">
        <v>509</v>
      </c>
      <c r="B15" s="40"/>
      <c r="C15" s="40">
        <v>11.54</v>
      </c>
      <c r="D15" s="40">
        <v>3.5</v>
      </c>
      <c r="E15" s="40" t="s">
        <v>20</v>
      </c>
    </row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693A-B31E-CE49-BB8D-3BC320781B7A}">
  <dimension ref="A1:FB64"/>
  <sheetViews>
    <sheetView tabSelected="1" zoomScale="130" zoomScaleNormal="130" workbookViewId="0">
      <pane xSplit="2" ySplit="4" topLeftCell="DZ5" activePane="bottomRight" state="frozen"/>
      <selection pane="topRight" activeCell="C1" sqref="C1"/>
      <selection pane="bottomLeft" activeCell="A5" sqref="A5"/>
      <selection pane="bottomRight" activeCell="EI5" sqref="EI5:EL31"/>
    </sheetView>
  </sheetViews>
  <sheetFormatPr baseColWidth="10" defaultColWidth="8.83203125" defaultRowHeight="13" x14ac:dyDescent="0.15"/>
  <cols>
    <col min="2" max="2" width="11.6640625" bestFit="1" customWidth="1"/>
    <col min="4" max="9" width="9.33203125" bestFit="1" customWidth="1"/>
    <col min="10" max="10" width="9.33203125" style="89" bestFit="1" customWidth="1"/>
    <col min="11" max="11" width="9.5" style="89" bestFit="1" customWidth="1"/>
    <col min="12" max="16" width="9.33203125" style="89" bestFit="1" customWidth="1"/>
    <col min="17" max="142" width="9.33203125" bestFit="1" customWidth="1"/>
    <col min="143" max="146" width="9.1640625" style="91" customWidth="1"/>
    <col min="258" max="258" width="11.6640625" bestFit="1" customWidth="1"/>
    <col min="260" max="266" width="9.33203125" bestFit="1" customWidth="1"/>
    <col min="267" max="267" width="9.5" bestFit="1" customWidth="1"/>
    <col min="268" max="398" width="9.33203125" bestFit="1" customWidth="1"/>
    <col min="399" max="402" width="9.1640625" customWidth="1"/>
    <col min="514" max="514" width="11.6640625" bestFit="1" customWidth="1"/>
    <col min="516" max="522" width="9.33203125" bestFit="1" customWidth="1"/>
    <col min="523" max="523" width="9.5" bestFit="1" customWidth="1"/>
    <col min="524" max="654" width="9.33203125" bestFit="1" customWidth="1"/>
    <col min="655" max="658" width="9.1640625" customWidth="1"/>
    <col min="770" max="770" width="11.6640625" bestFit="1" customWidth="1"/>
    <col min="772" max="778" width="9.33203125" bestFit="1" customWidth="1"/>
    <col min="779" max="779" width="9.5" bestFit="1" customWidth="1"/>
    <col min="780" max="910" width="9.33203125" bestFit="1" customWidth="1"/>
    <col min="911" max="914" width="9.1640625" customWidth="1"/>
    <col min="1026" max="1026" width="11.6640625" bestFit="1" customWidth="1"/>
    <col min="1028" max="1034" width="9.33203125" bestFit="1" customWidth="1"/>
    <col min="1035" max="1035" width="9.5" bestFit="1" customWidth="1"/>
    <col min="1036" max="1166" width="9.33203125" bestFit="1" customWidth="1"/>
    <col min="1167" max="1170" width="9.1640625" customWidth="1"/>
    <col min="1282" max="1282" width="11.6640625" bestFit="1" customWidth="1"/>
    <col min="1284" max="1290" width="9.33203125" bestFit="1" customWidth="1"/>
    <col min="1291" max="1291" width="9.5" bestFit="1" customWidth="1"/>
    <col min="1292" max="1422" width="9.33203125" bestFit="1" customWidth="1"/>
    <col min="1423" max="1426" width="9.1640625" customWidth="1"/>
    <col min="1538" max="1538" width="11.6640625" bestFit="1" customWidth="1"/>
    <col min="1540" max="1546" width="9.33203125" bestFit="1" customWidth="1"/>
    <col min="1547" max="1547" width="9.5" bestFit="1" customWidth="1"/>
    <col min="1548" max="1678" width="9.33203125" bestFit="1" customWidth="1"/>
    <col min="1679" max="1682" width="9.1640625" customWidth="1"/>
    <col min="1794" max="1794" width="11.6640625" bestFit="1" customWidth="1"/>
    <col min="1796" max="1802" width="9.33203125" bestFit="1" customWidth="1"/>
    <col min="1803" max="1803" width="9.5" bestFit="1" customWidth="1"/>
    <col min="1804" max="1934" width="9.33203125" bestFit="1" customWidth="1"/>
    <col min="1935" max="1938" width="9.1640625" customWidth="1"/>
    <col min="2050" max="2050" width="11.6640625" bestFit="1" customWidth="1"/>
    <col min="2052" max="2058" width="9.33203125" bestFit="1" customWidth="1"/>
    <col min="2059" max="2059" width="9.5" bestFit="1" customWidth="1"/>
    <col min="2060" max="2190" width="9.33203125" bestFit="1" customWidth="1"/>
    <col min="2191" max="2194" width="9.1640625" customWidth="1"/>
    <col min="2306" max="2306" width="11.6640625" bestFit="1" customWidth="1"/>
    <col min="2308" max="2314" width="9.33203125" bestFit="1" customWidth="1"/>
    <col min="2315" max="2315" width="9.5" bestFit="1" customWidth="1"/>
    <col min="2316" max="2446" width="9.33203125" bestFit="1" customWidth="1"/>
    <col min="2447" max="2450" width="9.1640625" customWidth="1"/>
    <col min="2562" max="2562" width="11.6640625" bestFit="1" customWidth="1"/>
    <col min="2564" max="2570" width="9.33203125" bestFit="1" customWidth="1"/>
    <col min="2571" max="2571" width="9.5" bestFit="1" customWidth="1"/>
    <col min="2572" max="2702" width="9.33203125" bestFit="1" customWidth="1"/>
    <col min="2703" max="2706" width="9.1640625" customWidth="1"/>
    <col min="2818" max="2818" width="11.6640625" bestFit="1" customWidth="1"/>
    <col min="2820" max="2826" width="9.33203125" bestFit="1" customWidth="1"/>
    <col min="2827" max="2827" width="9.5" bestFit="1" customWidth="1"/>
    <col min="2828" max="2958" width="9.33203125" bestFit="1" customWidth="1"/>
    <col min="2959" max="2962" width="9.1640625" customWidth="1"/>
    <col min="3074" max="3074" width="11.6640625" bestFit="1" customWidth="1"/>
    <col min="3076" max="3082" width="9.33203125" bestFit="1" customWidth="1"/>
    <col min="3083" max="3083" width="9.5" bestFit="1" customWidth="1"/>
    <col min="3084" max="3214" width="9.33203125" bestFit="1" customWidth="1"/>
    <col min="3215" max="3218" width="9.1640625" customWidth="1"/>
    <col min="3330" max="3330" width="11.6640625" bestFit="1" customWidth="1"/>
    <col min="3332" max="3338" width="9.33203125" bestFit="1" customWidth="1"/>
    <col min="3339" max="3339" width="9.5" bestFit="1" customWidth="1"/>
    <col min="3340" max="3470" width="9.33203125" bestFit="1" customWidth="1"/>
    <col min="3471" max="3474" width="9.1640625" customWidth="1"/>
    <col min="3586" max="3586" width="11.6640625" bestFit="1" customWidth="1"/>
    <col min="3588" max="3594" width="9.33203125" bestFit="1" customWidth="1"/>
    <col min="3595" max="3595" width="9.5" bestFit="1" customWidth="1"/>
    <col min="3596" max="3726" width="9.33203125" bestFit="1" customWidth="1"/>
    <col min="3727" max="3730" width="9.1640625" customWidth="1"/>
    <col min="3842" max="3842" width="11.6640625" bestFit="1" customWidth="1"/>
    <col min="3844" max="3850" width="9.33203125" bestFit="1" customWidth="1"/>
    <col min="3851" max="3851" width="9.5" bestFit="1" customWidth="1"/>
    <col min="3852" max="3982" width="9.33203125" bestFit="1" customWidth="1"/>
    <col min="3983" max="3986" width="9.1640625" customWidth="1"/>
    <col min="4098" max="4098" width="11.6640625" bestFit="1" customWidth="1"/>
    <col min="4100" max="4106" width="9.33203125" bestFit="1" customWidth="1"/>
    <col min="4107" max="4107" width="9.5" bestFit="1" customWidth="1"/>
    <col min="4108" max="4238" width="9.33203125" bestFit="1" customWidth="1"/>
    <col min="4239" max="4242" width="9.1640625" customWidth="1"/>
    <col min="4354" max="4354" width="11.6640625" bestFit="1" customWidth="1"/>
    <col min="4356" max="4362" width="9.33203125" bestFit="1" customWidth="1"/>
    <col min="4363" max="4363" width="9.5" bestFit="1" customWidth="1"/>
    <col min="4364" max="4494" width="9.33203125" bestFit="1" customWidth="1"/>
    <col min="4495" max="4498" width="9.1640625" customWidth="1"/>
    <col min="4610" max="4610" width="11.6640625" bestFit="1" customWidth="1"/>
    <col min="4612" max="4618" width="9.33203125" bestFit="1" customWidth="1"/>
    <col min="4619" max="4619" width="9.5" bestFit="1" customWidth="1"/>
    <col min="4620" max="4750" width="9.33203125" bestFit="1" customWidth="1"/>
    <col min="4751" max="4754" width="9.1640625" customWidth="1"/>
    <col min="4866" max="4866" width="11.6640625" bestFit="1" customWidth="1"/>
    <col min="4868" max="4874" width="9.33203125" bestFit="1" customWidth="1"/>
    <col min="4875" max="4875" width="9.5" bestFit="1" customWidth="1"/>
    <col min="4876" max="5006" width="9.33203125" bestFit="1" customWidth="1"/>
    <col min="5007" max="5010" width="9.1640625" customWidth="1"/>
    <col min="5122" max="5122" width="11.6640625" bestFit="1" customWidth="1"/>
    <col min="5124" max="5130" width="9.33203125" bestFit="1" customWidth="1"/>
    <col min="5131" max="5131" width="9.5" bestFit="1" customWidth="1"/>
    <col min="5132" max="5262" width="9.33203125" bestFit="1" customWidth="1"/>
    <col min="5263" max="5266" width="9.1640625" customWidth="1"/>
    <col min="5378" max="5378" width="11.6640625" bestFit="1" customWidth="1"/>
    <col min="5380" max="5386" width="9.33203125" bestFit="1" customWidth="1"/>
    <col min="5387" max="5387" width="9.5" bestFit="1" customWidth="1"/>
    <col min="5388" max="5518" width="9.33203125" bestFit="1" customWidth="1"/>
    <col min="5519" max="5522" width="9.1640625" customWidth="1"/>
    <col min="5634" max="5634" width="11.6640625" bestFit="1" customWidth="1"/>
    <col min="5636" max="5642" width="9.33203125" bestFit="1" customWidth="1"/>
    <col min="5643" max="5643" width="9.5" bestFit="1" customWidth="1"/>
    <col min="5644" max="5774" width="9.33203125" bestFit="1" customWidth="1"/>
    <col min="5775" max="5778" width="9.1640625" customWidth="1"/>
    <col min="5890" max="5890" width="11.6640625" bestFit="1" customWidth="1"/>
    <col min="5892" max="5898" width="9.33203125" bestFit="1" customWidth="1"/>
    <col min="5899" max="5899" width="9.5" bestFit="1" customWidth="1"/>
    <col min="5900" max="6030" width="9.33203125" bestFit="1" customWidth="1"/>
    <col min="6031" max="6034" width="9.1640625" customWidth="1"/>
    <col min="6146" max="6146" width="11.6640625" bestFit="1" customWidth="1"/>
    <col min="6148" max="6154" width="9.33203125" bestFit="1" customWidth="1"/>
    <col min="6155" max="6155" width="9.5" bestFit="1" customWidth="1"/>
    <col min="6156" max="6286" width="9.33203125" bestFit="1" customWidth="1"/>
    <col min="6287" max="6290" width="9.1640625" customWidth="1"/>
    <col min="6402" max="6402" width="11.6640625" bestFit="1" customWidth="1"/>
    <col min="6404" max="6410" width="9.33203125" bestFit="1" customWidth="1"/>
    <col min="6411" max="6411" width="9.5" bestFit="1" customWidth="1"/>
    <col min="6412" max="6542" width="9.33203125" bestFit="1" customWidth="1"/>
    <col min="6543" max="6546" width="9.1640625" customWidth="1"/>
    <col min="6658" max="6658" width="11.6640625" bestFit="1" customWidth="1"/>
    <col min="6660" max="6666" width="9.33203125" bestFit="1" customWidth="1"/>
    <col min="6667" max="6667" width="9.5" bestFit="1" customWidth="1"/>
    <col min="6668" max="6798" width="9.33203125" bestFit="1" customWidth="1"/>
    <col min="6799" max="6802" width="9.1640625" customWidth="1"/>
    <col min="6914" max="6914" width="11.6640625" bestFit="1" customWidth="1"/>
    <col min="6916" max="6922" width="9.33203125" bestFit="1" customWidth="1"/>
    <col min="6923" max="6923" width="9.5" bestFit="1" customWidth="1"/>
    <col min="6924" max="7054" width="9.33203125" bestFit="1" customWidth="1"/>
    <col min="7055" max="7058" width="9.1640625" customWidth="1"/>
    <col min="7170" max="7170" width="11.6640625" bestFit="1" customWidth="1"/>
    <col min="7172" max="7178" width="9.33203125" bestFit="1" customWidth="1"/>
    <col min="7179" max="7179" width="9.5" bestFit="1" customWidth="1"/>
    <col min="7180" max="7310" width="9.33203125" bestFit="1" customWidth="1"/>
    <col min="7311" max="7314" width="9.1640625" customWidth="1"/>
    <col min="7426" max="7426" width="11.6640625" bestFit="1" customWidth="1"/>
    <col min="7428" max="7434" width="9.33203125" bestFit="1" customWidth="1"/>
    <col min="7435" max="7435" width="9.5" bestFit="1" customWidth="1"/>
    <col min="7436" max="7566" width="9.33203125" bestFit="1" customWidth="1"/>
    <col min="7567" max="7570" width="9.1640625" customWidth="1"/>
    <col min="7682" max="7682" width="11.6640625" bestFit="1" customWidth="1"/>
    <col min="7684" max="7690" width="9.33203125" bestFit="1" customWidth="1"/>
    <col min="7691" max="7691" width="9.5" bestFit="1" customWidth="1"/>
    <col min="7692" max="7822" width="9.33203125" bestFit="1" customWidth="1"/>
    <col min="7823" max="7826" width="9.1640625" customWidth="1"/>
    <col min="7938" max="7938" width="11.6640625" bestFit="1" customWidth="1"/>
    <col min="7940" max="7946" width="9.33203125" bestFit="1" customWidth="1"/>
    <col min="7947" max="7947" width="9.5" bestFit="1" customWidth="1"/>
    <col min="7948" max="8078" width="9.33203125" bestFit="1" customWidth="1"/>
    <col min="8079" max="8082" width="9.1640625" customWidth="1"/>
    <col min="8194" max="8194" width="11.6640625" bestFit="1" customWidth="1"/>
    <col min="8196" max="8202" width="9.33203125" bestFit="1" customWidth="1"/>
    <col min="8203" max="8203" width="9.5" bestFit="1" customWidth="1"/>
    <col min="8204" max="8334" width="9.33203125" bestFit="1" customWidth="1"/>
    <col min="8335" max="8338" width="9.1640625" customWidth="1"/>
    <col min="8450" max="8450" width="11.6640625" bestFit="1" customWidth="1"/>
    <col min="8452" max="8458" width="9.33203125" bestFit="1" customWidth="1"/>
    <col min="8459" max="8459" width="9.5" bestFit="1" customWidth="1"/>
    <col min="8460" max="8590" width="9.33203125" bestFit="1" customWidth="1"/>
    <col min="8591" max="8594" width="9.1640625" customWidth="1"/>
    <col min="8706" max="8706" width="11.6640625" bestFit="1" customWidth="1"/>
    <col min="8708" max="8714" width="9.33203125" bestFit="1" customWidth="1"/>
    <col min="8715" max="8715" width="9.5" bestFit="1" customWidth="1"/>
    <col min="8716" max="8846" width="9.33203125" bestFit="1" customWidth="1"/>
    <col min="8847" max="8850" width="9.1640625" customWidth="1"/>
    <col min="8962" max="8962" width="11.6640625" bestFit="1" customWidth="1"/>
    <col min="8964" max="8970" width="9.33203125" bestFit="1" customWidth="1"/>
    <col min="8971" max="8971" width="9.5" bestFit="1" customWidth="1"/>
    <col min="8972" max="9102" width="9.33203125" bestFit="1" customWidth="1"/>
    <col min="9103" max="9106" width="9.1640625" customWidth="1"/>
    <col min="9218" max="9218" width="11.6640625" bestFit="1" customWidth="1"/>
    <col min="9220" max="9226" width="9.33203125" bestFit="1" customWidth="1"/>
    <col min="9227" max="9227" width="9.5" bestFit="1" customWidth="1"/>
    <col min="9228" max="9358" width="9.33203125" bestFit="1" customWidth="1"/>
    <col min="9359" max="9362" width="9.1640625" customWidth="1"/>
    <col min="9474" max="9474" width="11.6640625" bestFit="1" customWidth="1"/>
    <col min="9476" max="9482" width="9.33203125" bestFit="1" customWidth="1"/>
    <col min="9483" max="9483" width="9.5" bestFit="1" customWidth="1"/>
    <col min="9484" max="9614" width="9.33203125" bestFit="1" customWidth="1"/>
    <col min="9615" max="9618" width="9.1640625" customWidth="1"/>
    <col min="9730" max="9730" width="11.6640625" bestFit="1" customWidth="1"/>
    <col min="9732" max="9738" width="9.33203125" bestFit="1" customWidth="1"/>
    <col min="9739" max="9739" width="9.5" bestFit="1" customWidth="1"/>
    <col min="9740" max="9870" width="9.33203125" bestFit="1" customWidth="1"/>
    <col min="9871" max="9874" width="9.1640625" customWidth="1"/>
    <col min="9986" max="9986" width="11.6640625" bestFit="1" customWidth="1"/>
    <col min="9988" max="9994" width="9.33203125" bestFit="1" customWidth="1"/>
    <col min="9995" max="9995" width="9.5" bestFit="1" customWidth="1"/>
    <col min="9996" max="10126" width="9.33203125" bestFit="1" customWidth="1"/>
    <col min="10127" max="10130" width="9.1640625" customWidth="1"/>
    <col min="10242" max="10242" width="11.6640625" bestFit="1" customWidth="1"/>
    <col min="10244" max="10250" width="9.33203125" bestFit="1" customWidth="1"/>
    <col min="10251" max="10251" width="9.5" bestFit="1" customWidth="1"/>
    <col min="10252" max="10382" width="9.33203125" bestFit="1" customWidth="1"/>
    <col min="10383" max="10386" width="9.1640625" customWidth="1"/>
    <col min="10498" max="10498" width="11.6640625" bestFit="1" customWidth="1"/>
    <col min="10500" max="10506" width="9.33203125" bestFit="1" customWidth="1"/>
    <col min="10507" max="10507" width="9.5" bestFit="1" customWidth="1"/>
    <col min="10508" max="10638" width="9.33203125" bestFit="1" customWidth="1"/>
    <col min="10639" max="10642" width="9.1640625" customWidth="1"/>
    <col min="10754" max="10754" width="11.6640625" bestFit="1" customWidth="1"/>
    <col min="10756" max="10762" width="9.33203125" bestFit="1" customWidth="1"/>
    <col min="10763" max="10763" width="9.5" bestFit="1" customWidth="1"/>
    <col min="10764" max="10894" width="9.33203125" bestFit="1" customWidth="1"/>
    <col min="10895" max="10898" width="9.1640625" customWidth="1"/>
    <col min="11010" max="11010" width="11.6640625" bestFit="1" customWidth="1"/>
    <col min="11012" max="11018" width="9.33203125" bestFit="1" customWidth="1"/>
    <col min="11019" max="11019" width="9.5" bestFit="1" customWidth="1"/>
    <col min="11020" max="11150" width="9.33203125" bestFit="1" customWidth="1"/>
    <col min="11151" max="11154" width="9.1640625" customWidth="1"/>
    <col min="11266" max="11266" width="11.6640625" bestFit="1" customWidth="1"/>
    <col min="11268" max="11274" width="9.33203125" bestFit="1" customWidth="1"/>
    <col min="11275" max="11275" width="9.5" bestFit="1" customWidth="1"/>
    <col min="11276" max="11406" width="9.33203125" bestFit="1" customWidth="1"/>
    <col min="11407" max="11410" width="9.1640625" customWidth="1"/>
    <col min="11522" max="11522" width="11.6640625" bestFit="1" customWidth="1"/>
    <col min="11524" max="11530" width="9.33203125" bestFit="1" customWidth="1"/>
    <col min="11531" max="11531" width="9.5" bestFit="1" customWidth="1"/>
    <col min="11532" max="11662" width="9.33203125" bestFit="1" customWidth="1"/>
    <col min="11663" max="11666" width="9.1640625" customWidth="1"/>
    <col min="11778" max="11778" width="11.6640625" bestFit="1" customWidth="1"/>
    <col min="11780" max="11786" width="9.33203125" bestFit="1" customWidth="1"/>
    <col min="11787" max="11787" width="9.5" bestFit="1" customWidth="1"/>
    <col min="11788" max="11918" width="9.33203125" bestFit="1" customWidth="1"/>
    <col min="11919" max="11922" width="9.1640625" customWidth="1"/>
    <col min="12034" max="12034" width="11.6640625" bestFit="1" customWidth="1"/>
    <col min="12036" max="12042" width="9.33203125" bestFit="1" customWidth="1"/>
    <col min="12043" max="12043" width="9.5" bestFit="1" customWidth="1"/>
    <col min="12044" max="12174" width="9.33203125" bestFit="1" customWidth="1"/>
    <col min="12175" max="12178" width="9.1640625" customWidth="1"/>
    <col min="12290" max="12290" width="11.6640625" bestFit="1" customWidth="1"/>
    <col min="12292" max="12298" width="9.33203125" bestFit="1" customWidth="1"/>
    <col min="12299" max="12299" width="9.5" bestFit="1" customWidth="1"/>
    <col min="12300" max="12430" width="9.33203125" bestFit="1" customWidth="1"/>
    <col min="12431" max="12434" width="9.1640625" customWidth="1"/>
    <col min="12546" max="12546" width="11.6640625" bestFit="1" customWidth="1"/>
    <col min="12548" max="12554" width="9.33203125" bestFit="1" customWidth="1"/>
    <col min="12555" max="12555" width="9.5" bestFit="1" customWidth="1"/>
    <col min="12556" max="12686" width="9.33203125" bestFit="1" customWidth="1"/>
    <col min="12687" max="12690" width="9.1640625" customWidth="1"/>
    <col min="12802" max="12802" width="11.6640625" bestFit="1" customWidth="1"/>
    <col min="12804" max="12810" width="9.33203125" bestFit="1" customWidth="1"/>
    <col min="12811" max="12811" width="9.5" bestFit="1" customWidth="1"/>
    <col min="12812" max="12942" width="9.33203125" bestFit="1" customWidth="1"/>
    <col min="12943" max="12946" width="9.1640625" customWidth="1"/>
    <col min="13058" max="13058" width="11.6640625" bestFit="1" customWidth="1"/>
    <col min="13060" max="13066" width="9.33203125" bestFit="1" customWidth="1"/>
    <col min="13067" max="13067" width="9.5" bestFit="1" customWidth="1"/>
    <col min="13068" max="13198" width="9.33203125" bestFit="1" customWidth="1"/>
    <col min="13199" max="13202" width="9.1640625" customWidth="1"/>
    <col min="13314" max="13314" width="11.6640625" bestFit="1" customWidth="1"/>
    <col min="13316" max="13322" width="9.33203125" bestFit="1" customWidth="1"/>
    <col min="13323" max="13323" width="9.5" bestFit="1" customWidth="1"/>
    <col min="13324" max="13454" width="9.33203125" bestFit="1" customWidth="1"/>
    <col min="13455" max="13458" width="9.1640625" customWidth="1"/>
    <col min="13570" max="13570" width="11.6640625" bestFit="1" customWidth="1"/>
    <col min="13572" max="13578" width="9.33203125" bestFit="1" customWidth="1"/>
    <col min="13579" max="13579" width="9.5" bestFit="1" customWidth="1"/>
    <col min="13580" max="13710" width="9.33203125" bestFit="1" customWidth="1"/>
    <col min="13711" max="13714" width="9.1640625" customWidth="1"/>
    <col min="13826" max="13826" width="11.6640625" bestFit="1" customWidth="1"/>
    <col min="13828" max="13834" width="9.33203125" bestFit="1" customWidth="1"/>
    <col min="13835" max="13835" width="9.5" bestFit="1" customWidth="1"/>
    <col min="13836" max="13966" width="9.33203125" bestFit="1" customWidth="1"/>
    <col min="13967" max="13970" width="9.1640625" customWidth="1"/>
    <col min="14082" max="14082" width="11.6640625" bestFit="1" customWidth="1"/>
    <col min="14084" max="14090" width="9.33203125" bestFit="1" customWidth="1"/>
    <col min="14091" max="14091" width="9.5" bestFit="1" customWidth="1"/>
    <col min="14092" max="14222" width="9.33203125" bestFit="1" customWidth="1"/>
    <col min="14223" max="14226" width="9.1640625" customWidth="1"/>
    <col min="14338" max="14338" width="11.6640625" bestFit="1" customWidth="1"/>
    <col min="14340" max="14346" width="9.33203125" bestFit="1" customWidth="1"/>
    <col min="14347" max="14347" width="9.5" bestFit="1" customWidth="1"/>
    <col min="14348" max="14478" width="9.33203125" bestFit="1" customWidth="1"/>
    <col min="14479" max="14482" width="9.1640625" customWidth="1"/>
    <col min="14594" max="14594" width="11.6640625" bestFit="1" customWidth="1"/>
    <col min="14596" max="14602" width="9.33203125" bestFit="1" customWidth="1"/>
    <col min="14603" max="14603" width="9.5" bestFit="1" customWidth="1"/>
    <col min="14604" max="14734" width="9.33203125" bestFit="1" customWidth="1"/>
    <col min="14735" max="14738" width="9.1640625" customWidth="1"/>
    <col min="14850" max="14850" width="11.6640625" bestFit="1" customWidth="1"/>
    <col min="14852" max="14858" width="9.33203125" bestFit="1" customWidth="1"/>
    <col min="14859" max="14859" width="9.5" bestFit="1" customWidth="1"/>
    <col min="14860" max="14990" width="9.33203125" bestFit="1" customWidth="1"/>
    <col min="14991" max="14994" width="9.1640625" customWidth="1"/>
    <col min="15106" max="15106" width="11.6640625" bestFit="1" customWidth="1"/>
    <col min="15108" max="15114" width="9.33203125" bestFit="1" customWidth="1"/>
    <col min="15115" max="15115" width="9.5" bestFit="1" customWidth="1"/>
    <col min="15116" max="15246" width="9.33203125" bestFit="1" customWidth="1"/>
    <col min="15247" max="15250" width="9.1640625" customWidth="1"/>
    <col min="15362" max="15362" width="11.6640625" bestFit="1" customWidth="1"/>
    <col min="15364" max="15370" width="9.33203125" bestFit="1" customWidth="1"/>
    <col min="15371" max="15371" width="9.5" bestFit="1" customWidth="1"/>
    <col min="15372" max="15502" width="9.33203125" bestFit="1" customWidth="1"/>
    <col min="15503" max="15506" width="9.1640625" customWidth="1"/>
    <col min="15618" max="15618" width="11.6640625" bestFit="1" customWidth="1"/>
    <col min="15620" max="15626" width="9.33203125" bestFit="1" customWidth="1"/>
    <col min="15627" max="15627" width="9.5" bestFit="1" customWidth="1"/>
    <col min="15628" max="15758" width="9.33203125" bestFit="1" customWidth="1"/>
    <col min="15759" max="15762" width="9.1640625" customWidth="1"/>
    <col min="15874" max="15874" width="11.6640625" bestFit="1" customWidth="1"/>
    <col min="15876" max="15882" width="9.33203125" bestFit="1" customWidth="1"/>
    <col min="15883" max="15883" width="9.5" bestFit="1" customWidth="1"/>
    <col min="15884" max="16014" width="9.33203125" bestFit="1" customWidth="1"/>
    <col min="16015" max="16018" width="9.1640625" customWidth="1"/>
    <col min="16130" max="16130" width="11.6640625" bestFit="1" customWidth="1"/>
    <col min="16132" max="16138" width="9.33203125" bestFit="1" customWidth="1"/>
    <col min="16139" max="16139" width="9.5" bestFit="1" customWidth="1"/>
    <col min="16140" max="16270" width="9.33203125" bestFit="1" customWidth="1"/>
    <col min="16271" max="16274" width="9.1640625" customWidth="1"/>
  </cols>
  <sheetData>
    <row r="1" spans="1:158" x14ac:dyDescent="0.15">
      <c r="D1" t="s">
        <v>510</v>
      </c>
      <c r="E1" t="s">
        <v>511</v>
      </c>
      <c r="F1" t="s">
        <v>512</v>
      </c>
      <c r="G1" t="s">
        <v>513</v>
      </c>
      <c r="H1" t="s">
        <v>514</v>
      </c>
      <c r="I1" t="s">
        <v>515</v>
      </c>
      <c r="J1" s="89" t="s">
        <v>516</v>
      </c>
      <c r="K1" s="89" t="s">
        <v>517</v>
      </c>
      <c r="M1" s="89" t="s">
        <v>518</v>
      </c>
      <c r="N1" s="89" t="s">
        <v>519</v>
      </c>
      <c r="O1" s="89" t="s">
        <v>520</v>
      </c>
      <c r="P1" s="89" t="s">
        <v>521</v>
      </c>
      <c r="Q1" s="89" t="s">
        <v>522</v>
      </c>
      <c r="AW1" s="90" t="s">
        <v>523</v>
      </c>
      <c r="AX1" s="90" t="s">
        <v>524</v>
      </c>
      <c r="AY1" s="90" t="s">
        <v>525</v>
      </c>
      <c r="EM1" s="91" t="s">
        <v>526</v>
      </c>
    </row>
    <row r="2" spans="1:158" x14ac:dyDescent="0.15">
      <c r="A2" t="s">
        <v>527</v>
      </c>
      <c r="B2" t="s">
        <v>528</v>
      </c>
      <c r="C2" t="s">
        <v>529</v>
      </c>
      <c r="D2" t="s">
        <v>530</v>
      </c>
      <c r="E2" t="s">
        <v>531</v>
      </c>
      <c r="F2" t="s">
        <v>532</v>
      </c>
      <c r="G2" t="s">
        <v>533</v>
      </c>
      <c r="H2" t="s">
        <v>534</v>
      </c>
      <c r="I2" t="s">
        <v>535</v>
      </c>
      <c r="J2" s="89" t="s">
        <v>2</v>
      </c>
      <c r="K2" s="89" t="s">
        <v>536</v>
      </c>
      <c r="L2" s="89" t="s">
        <v>537</v>
      </c>
      <c r="M2" s="89" t="s">
        <v>538</v>
      </c>
      <c r="N2" s="89" t="s">
        <v>539</v>
      </c>
      <c r="O2" s="89" t="s">
        <v>540</v>
      </c>
      <c r="P2" s="89" t="s">
        <v>541</v>
      </c>
      <c r="Q2" t="s">
        <v>542</v>
      </c>
      <c r="R2" t="s">
        <v>543</v>
      </c>
      <c r="S2" t="s">
        <v>544</v>
      </c>
      <c r="T2" t="s">
        <v>545</v>
      </c>
      <c r="U2" t="s">
        <v>546</v>
      </c>
      <c r="V2" t="s">
        <v>547</v>
      </c>
      <c r="W2" t="s">
        <v>548</v>
      </c>
      <c r="X2" t="s">
        <v>549</v>
      </c>
      <c r="Y2" t="s">
        <v>550</v>
      </c>
      <c r="Z2" t="s">
        <v>551</v>
      </c>
      <c r="AA2" t="s">
        <v>552</v>
      </c>
      <c r="AB2" t="s">
        <v>553</v>
      </c>
      <c r="AC2" t="s">
        <v>554</v>
      </c>
      <c r="AD2" t="s">
        <v>555</v>
      </c>
      <c r="AE2" t="s">
        <v>556</v>
      </c>
      <c r="AF2" t="s">
        <v>557</v>
      </c>
      <c r="AG2" t="s">
        <v>558</v>
      </c>
      <c r="AH2" t="s">
        <v>559</v>
      </c>
      <c r="AI2" t="s">
        <v>560</v>
      </c>
      <c r="AJ2" t="s">
        <v>561</v>
      </c>
      <c r="AK2" t="s">
        <v>562</v>
      </c>
      <c r="AL2" t="s">
        <v>563</v>
      </c>
      <c r="AM2" t="s">
        <v>564</v>
      </c>
      <c r="AN2" t="s">
        <v>565</v>
      </c>
      <c r="AO2" t="s">
        <v>566</v>
      </c>
      <c r="AP2" t="s">
        <v>567</v>
      </c>
      <c r="AQ2" t="s">
        <v>568</v>
      </c>
      <c r="AR2" t="s">
        <v>569</v>
      </c>
      <c r="AS2" t="s">
        <v>570</v>
      </c>
      <c r="AT2" t="s">
        <v>571</v>
      </c>
      <c r="AU2" t="s">
        <v>572</v>
      </c>
      <c r="AV2" t="s">
        <v>573</v>
      </c>
      <c r="AW2" t="s">
        <v>574</v>
      </c>
      <c r="AX2" t="s">
        <v>575</v>
      </c>
      <c r="AY2" t="s">
        <v>576</v>
      </c>
      <c r="AZ2" t="s">
        <v>577</v>
      </c>
      <c r="BA2" t="s">
        <v>578</v>
      </c>
      <c r="BB2" t="s">
        <v>579</v>
      </c>
      <c r="BC2" t="s">
        <v>580</v>
      </c>
      <c r="BD2" t="s">
        <v>581</v>
      </c>
      <c r="BE2" t="s">
        <v>582</v>
      </c>
      <c r="BF2" t="s">
        <v>583</v>
      </c>
      <c r="BG2" t="s">
        <v>584</v>
      </c>
      <c r="BH2" t="s">
        <v>585</v>
      </c>
      <c r="BI2" t="s">
        <v>586</v>
      </c>
      <c r="BJ2" t="s">
        <v>587</v>
      </c>
      <c r="BK2" t="s">
        <v>588</v>
      </c>
      <c r="BL2" t="s">
        <v>589</v>
      </c>
      <c r="BM2" t="s">
        <v>590</v>
      </c>
      <c r="BN2" t="s">
        <v>591</v>
      </c>
      <c r="BO2" t="s">
        <v>592</v>
      </c>
      <c r="BP2" t="s">
        <v>593</v>
      </c>
      <c r="BQ2" t="s">
        <v>594</v>
      </c>
      <c r="BR2" t="s">
        <v>595</v>
      </c>
      <c r="BS2" t="s">
        <v>596</v>
      </c>
      <c r="BT2" t="s">
        <v>597</v>
      </c>
      <c r="BU2" t="s">
        <v>598</v>
      </c>
      <c r="BV2" t="s">
        <v>599</v>
      </c>
      <c r="BW2" t="s">
        <v>600</v>
      </c>
      <c r="BX2" t="s">
        <v>601</v>
      </c>
      <c r="BY2" t="s">
        <v>602</v>
      </c>
      <c r="BZ2" t="s">
        <v>603</v>
      </c>
      <c r="CA2" t="s">
        <v>604</v>
      </c>
      <c r="CB2" t="s">
        <v>605</v>
      </c>
      <c r="CC2" t="s">
        <v>606</v>
      </c>
      <c r="CD2" t="s">
        <v>607</v>
      </c>
      <c r="CE2" t="s">
        <v>608</v>
      </c>
      <c r="CF2" t="s">
        <v>609</v>
      </c>
      <c r="CG2" t="s">
        <v>610</v>
      </c>
      <c r="CH2" t="s">
        <v>611</v>
      </c>
      <c r="CI2" t="s">
        <v>612</v>
      </c>
      <c r="CJ2" t="s">
        <v>613</v>
      </c>
      <c r="CK2" t="s">
        <v>614</v>
      </c>
      <c r="CL2" t="s">
        <v>615</v>
      </c>
      <c r="CM2" t="s">
        <v>616</v>
      </c>
      <c r="CN2" t="s">
        <v>617</v>
      </c>
      <c r="CO2" t="s">
        <v>618</v>
      </c>
      <c r="CP2" t="s">
        <v>619</v>
      </c>
      <c r="CQ2" t="s">
        <v>620</v>
      </c>
      <c r="CR2" t="s">
        <v>621</v>
      </c>
      <c r="CS2" t="s">
        <v>622</v>
      </c>
      <c r="CT2" t="s">
        <v>623</v>
      </c>
      <c r="CU2" t="s">
        <v>624</v>
      </c>
      <c r="CV2" t="s">
        <v>625</v>
      </c>
      <c r="CW2" t="s">
        <v>626</v>
      </c>
      <c r="CX2" t="s">
        <v>627</v>
      </c>
      <c r="CY2" t="s">
        <v>628</v>
      </c>
      <c r="CZ2" t="s">
        <v>629</v>
      </c>
      <c r="DA2" t="s">
        <v>630</v>
      </c>
      <c r="DB2" t="s">
        <v>631</v>
      </c>
      <c r="DC2" t="s">
        <v>632</v>
      </c>
      <c r="DD2" t="s">
        <v>633</v>
      </c>
      <c r="DE2" t="s">
        <v>634</v>
      </c>
      <c r="DF2" t="s">
        <v>635</v>
      </c>
      <c r="DG2" t="s">
        <v>636</v>
      </c>
      <c r="DH2" t="s">
        <v>637</v>
      </c>
      <c r="DI2" t="s">
        <v>638</v>
      </c>
      <c r="DJ2" t="s">
        <v>639</v>
      </c>
      <c r="DK2" t="s">
        <v>640</v>
      </c>
      <c r="DL2" t="s">
        <v>641</v>
      </c>
      <c r="DM2" t="s">
        <v>642</v>
      </c>
      <c r="DN2" t="s">
        <v>643</v>
      </c>
      <c r="DO2" t="s">
        <v>644</v>
      </c>
      <c r="DP2" t="s">
        <v>645</v>
      </c>
      <c r="DQ2" t="s">
        <v>646</v>
      </c>
      <c r="DR2" t="s">
        <v>647</v>
      </c>
      <c r="DS2" t="s">
        <v>648</v>
      </c>
      <c r="DT2" t="s">
        <v>649</v>
      </c>
      <c r="DU2" t="s">
        <v>650</v>
      </c>
      <c r="DV2" t="s">
        <v>651</v>
      </c>
      <c r="DW2" t="s">
        <v>652</v>
      </c>
      <c r="DX2" t="s">
        <v>653</v>
      </c>
      <c r="DY2" t="s">
        <v>654</v>
      </c>
      <c r="DZ2" t="s">
        <v>655</v>
      </c>
      <c r="EA2" t="s">
        <v>656</v>
      </c>
      <c r="EB2" t="s">
        <v>657</v>
      </c>
      <c r="EC2" t="s">
        <v>658</v>
      </c>
      <c r="ED2" t="s">
        <v>659</v>
      </c>
      <c r="EE2" t="s">
        <v>660</v>
      </c>
      <c r="EF2" t="s">
        <v>661</v>
      </c>
      <c r="EG2" t="s">
        <v>662</v>
      </c>
      <c r="EH2" t="s">
        <v>663</v>
      </c>
      <c r="EI2" t="s">
        <v>4</v>
      </c>
      <c r="EJ2" t="s">
        <v>5</v>
      </c>
      <c r="EK2" t="s">
        <v>6</v>
      </c>
      <c r="EL2" t="s">
        <v>7</v>
      </c>
      <c r="EM2" s="91" t="s">
        <v>526</v>
      </c>
      <c r="EN2" s="91" t="s">
        <v>664</v>
      </c>
      <c r="EO2" s="91" t="s">
        <v>665</v>
      </c>
      <c r="EP2" s="91" t="s">
        <v>666</v>
      </c>
    </row>
    <row r="3" spans="1:158" hidden="1" x14ac:dyDescent="0.15">
      <c r="A3">
        <v>1</v>
      </c>
      <c r="B3" t="s">
        <v>667</v>
      </c>
      <c r="C3">
        <v>1851</v>
      </c>
      <c r="D3" s="92"/>
      <c r="E3" s="92"/>
      <c r="F3" s="92"/>
      <c r="G3" s="92"/>
      <c r="H3" s="92"/>
      <c r="I3" s="92"/>
      <c r="J3" s="93"/>
      <c r="K3" s="93"/>
      <c r="L3" s="93"/>
      <c r="M3" s="93"/>
      <c r="N3" s="93"/>
      <c r="O3" s="93"/>
      <c r="P3" s="93"/>
      <c r="Q3" s="92">
        <v>4</v>
      </c>
      <c r="R3" s="92">
        <v>2</v>
      </c>
      <c r="S3" s="92">
        <v>13</v>
      </c>
      <c r="T3" s="92">
        <v>23</v>
      </c>
      <c r="U3" s="92">
        <v>0</v>
      </c>
      <c r="V3" s="92">
        <v>0</v>
      </c>
      <c r="W3" s="92">
        <v>0</v>
      </c>
      <c r="X3" s="92">
        <v>1</v>
      </c>
      <c r="Y3" s="92">
        <v>0</v>
      </c>
      <c r="Z3" s="92">
        <v>0</v>
      </c>
      <c r="AA3" s="92">
        <v>3</v>
      </c>
      <c r="AB3" s="92">
        <v>1</v>
      </c>
      <c r="AC3" s="92">
        <v>0</v>
      </c>
      <c r="AD3" s="92">
        <v>1</v>
      </c>
      <c r="AE3" s="92">
        <v>0</v>
      </c>
      <c r="AF3" s="92">
        <v>2</v>
      </c>
      <c r="AG3" s="92">
        <v>0</v>
      </c>
      <c r="AH3" s="92">
        <v>0</v>
      </c>
      <c r="AI3" s="92">
        <v>1</v>
      </c>
      <c r="AJ3" s="92">
        <v>3</v>
      </c>
      <c r="AK3" s="92">
        <v>1</v>
      </c>
      <c r="AL3" s="92">
        <v>0</v>
      </c>
      <c r="AM3" s="92">
        <v>0</v>
      </c>
      <c r="AN3" s="92">
        <v>0</v>
      </c>
      <c r="AO3" s="92">
        <v>0</v>
      </c>
      <c r="AP3" s="92">
        <v>2</v>
      </c>
      <c r="AQ3" s="92">
        <v>0</v>
      </c>
      <c r="AR3" s="92">
        <v>0</v>
      </c>
      <c r="AS3" s="92">
        <v>18</v>
      </c>
      <c r="AT3" s="92">
        <v>0</v>
      </c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4"/>
      <c r="EN3" s="94"/>
      <c r="EO3" s="94"/>
      <c r="EP3" s="94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</row>
    <row r="4" spans="1:158" hidden="1" x14ac:dyDescent="0.15">
      <c r="A4">
        <v>2</v>
      </c>
      <c r="B4" t="s">
        <v>668</v>
      </c>
      <c r="C4">
        <v>1851</v>
      </c>
      <c r="D4" s="92"/>
      <c r="E4" s="92"/>
      <c r="F4" s="92"/>
      <c r="G4" s="92"/>
      <c r="H4" s="92"/>
      <c r="I4" s="92"/>
      <c r="J4" s="93">
        <v>589</v>
      </c>
      <c r="K4" s="93">
        <v>1194</v>
      </c>
      <c r="L4" s="93">
        <v>3070</v>
      </c>
      <c r="M4" s="93"/>
      <c r="N4" s="93"/>
      <c r="O4" s="93">
        <v>21</v>
      </c>
      <c r="P4" s="93"/>
      <c r="Q4" s="92">
        <v>28</v>
      </c>
      <c r="R4" s="92">
        <v>7</v>
      </c>
      <c r="S4" s="92">
        <v>27</v>
      </c>
      <c r="T4" s="92">
        <v>32</v>
      </c>
      <c r="U4" s="92">
        <v>1</v>
      </c>
      <c r="V4" s="92">
        <v>0</v>
      </c>
      <c r="W4" s="92">
        <v>2</v>
      </c>
      <c r="X4" s="92">
        <v>1</v>
      </c>
      <c r="Y4" s="92">
        <v>0</v>
      </c>
      <c r="Z4" s="92">
        <v>3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92">
        <v>15</v>
      </c>
      <c r="AG4" s="92">
        <v>3</v>
      </c>
      <c r="AH4" s="92">
        <v>0</v>
      </c>
      <c r="AI4" s="92">
        <v>2</v>
      </c>
      <c r="AJ4" s="92">
        <v>1</v>
      </c>
      <c r="AK4" s="92">
        <v>0</v>
      </c>
      <c r="AL4" s="92">
        <v>0</v>
      </c>
      <c r="AM4" s="92">
        <v>0</v>
      </c>
      <c r="AN4" s="92">
        <v>0</v>
      </c>
      <c r="AO4" s="92">
        <v>0</v>
      </c>
      <c r="AP4" s="92">
        <v>5</v>
      </c>
      <c r="AQ4" s="92">
        <v>0</v>
      </c>
      <c r="AR4" s="92">
        <v>3</v>
      </c>
      <c r="AS4" s="92">
        <v>24</v>
      </c>
      <c r="AT4" s="92">
        <v>1</v>
      </c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4"/>
      <c r="EN4" s="94"/>
      <c r="EO4" s="94"/>
      <c r="EP4" s="94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</row>
    <row r="5" spans="1:158" x14ac:dyDescent="0.15">
      <c r="A5">
        <v>3</v>
      </c>
      <c r="B5" s="95" t="s">
        <v>32</v>
      </c>
      <c r="C5">
        <v>1851</v>
      </c>
      <c r="D5" s="92">
        <v>6</v>
      </c>
      <c r="E5" s="92">
        <v>11</v>
      </c>
      <c r="F5" s="92">
        <v>5</v>
      </c>
      <c r="G5" s="92">
        <v>15</v>
      </c>
      <c r="H5" s="92">
        <v>15</v>
      </c>
      <c r="I5" s="92">
        <v>3284</v>
      </c>
      <c r="J5" s="93">
        <v>3950</v>
      </c>
      <c r="K5" s="93">
        <v>6563</v>
      </c>
      <c r="L5" s="93">
        <v>1661</v>
      </c>
      <c r="M5" s="93"/>
      <c r="N5" s="93">
        <v>52.29</v>
      </c>
      <c r="O5" s="93">
        <v>2326</v>
      </c>
      <c r="P5" s="93">
        <v>389</v>
      </c>
      <c r="Q5" s="92">
        <v>47</v>
      </c>
      <c r="R5" s="92">
        <v>17</v>
      </c>
      <c r="S5" s="92">
        <v>16</v>
      </c>
      <c r="T5" s="92">
        <v>36</v>
      </c>
      <c r="U5" s="92">
        <v>5</v>
      </c>
      <c r="V5" s="92">
        <v>1</v>
      </c>
      <c r="W5" s="92">
        <v>0</v>
      </c>
      <c r="X5" s="92">
        <v>13</v>
      </c>
      <c r="Y5" s="92">
        <v>6</v>
      </c>
      <c r="Z5" s="92">
        <v>46</v>
      </c>
      <c r="AA5" s="92">
        <v>10</v>
      </c>
      <c r="AB5" s="92">
        <v>50</v>
      </c>
      <c r="AC5" s="92">
        <v>31</v>
      </c>
      <c r="AD5" s="92">
        <v>18</v>
      </c>
      <c r="AE5" s="92">
        <v>26</v>
      </c>
      <c r="AF5" s="92">
        <v>26</v>
      </c>
      <c r="AG5" s="92">
        <v>15</v>
      </c>
      <c r="AH5" s="92">
        <v>12</v>
      </c>
      <c r="AI5" s="92">
        <v>13</v>
      </c>
      <c r="AJ5" s="92">
        <v>13</v>
      </c>
      <c r="AK5" s="92">
        <v>111</v>
      </c>
      <c r="AL5" s="92">
        <v>41</v>
      </c>
      <c r="AM5" s="92">
        <v>5</v>
      </c>
      <c r="AN5" s="92">
        <v>24</v>
      </c>
      <c r="AO5" s="92">
        <v>1</v>
      </c>
      <c r="AP5" s="92">
        <v>22</v>
      </c>
      <c r="AQ5" s="92">
        <v>6</v>
      </c>
      <c r="AR5" s="92">
        <v>19</v>
      </c>
      <c r="AS5" s="92">
        <v>52</v>
      </c>
      <c r="AT5" s="92">
        <v>49</v>
      </c>
      <c r="AU5" s="92"/>
      <c r="AV5" s="92"/>
      <c r="AW5" s="92">
        <v>1</v>
      </c>
      <c r="AX5" s="92">
        <v>7</v>
      </c>
      <c r="AY5" s="92">
        <v>11</v>
      </c>
      <c r="AZ5" s="92">
        <v>0</v>
      </c>
      <c r="BA5" s="92">
        <v>5</v>
      </c>
      <c r="BB5" s="92">
        <v>9</v>
      </c>
      <c r="BC5" s="92">
        <v>0</v>
      </c>
      <c r="BD5" s="92">
        <v>2</v>
      </c>
      <c r="BE5" s="92">
        <v>4</v>
      </c>
      <c r="BF5" s="92">
        <v>0</v>
      </c>
      <c r="BG5" s="92">
        <v>12</v>
      </c>
      <c r="BH5" s="92">
        <v>11</v>
      </c>
      <c r="BI5" s="92">
        <v>0</v>
      </c>
      <c r="BJ5" s="92">
        <v>1</v>
      </c>
      <c r="BK5" s="92">
        <v>0</v>
      </c>
      <c r="BL5" s="92">
        <v>0</v>
      </c>
      <c r="BM5" s="92">
        <v>1</v>
      </c>
      <c r="BN5" s="92">
        <v>0</v>
      </c>
      <c r="BO5" s="92">
        <v>0</v>
      </c>
      <c r="BP5" s="92">
        <v>0</v>
      </c>
      <c r="BQ5" s="92">
        <v>0</v>
      </c>
      <c r="BR5" s="92">
        <v>1</v>
      </c>
      <c r="BS5" s="92">
        <v>0</v>
      </c>
      <c r="BT5" s="92">
        <v>2</v>
      </c>
      <c r="BU5" s="92">
        <v>0</v>
      </c>
      <c r="BV5" s="92">
        <v>0</v>
      </c>
      <c r="BW5" s="92">
        <v>0</v>
      </c>
      <c r="BX5" s="92">
        <v>0</v>
      </c>
      <c r="BY5" s="92">
        <v>3</v>
      </c>
      <c r="BZ5" s="92">
        <v>9</v>
      </c>
      <c r="CA5" s="92">
        <v>0</v>
      </c>
      <c r="CB5" s="92">
        <v>1</v>
      </c>
      <c r="CC5" s="92">
        <v>0</v>
      </c>
      <c r="CD5" s="92">
        <v>0</v>
      </c>
      <c r="CE5" s="92">
        <v>5</v>
      </c>
      <c r="CF5" s="92">
        <v>2</v>
      </c>
      <c r="CG5" s="92">
        <v>0</v>
      </c>
      <c r="CH5" s="92">
        <v>8</v>
      </c>
      <c r="CI5" s="92">
        <v>10</v>
      </c>
      <c r="CJ5" s="92">
        <v>0</v>
      </c>
      <c r="CK5" s="92">
        <v>1</v>
      </c>
      <c r="CL5" s="92">
        <v>2</v>
      </c>
      <c r="CM5" s="92">
        <v>0</v>
      </c>
      <c r="CN5" s="92">
        <v>6</v>
      </c>
      <c r="CO5" s="92">
        <v>4</v>
      </c>
      <c r="CP5" s="92">
        <v>0</v>
      </c>
      <c r="CQ5" s="92">
        <v>1</v>
      </c>
      <c r="CR5" s="92">
        <v>1</v>
      </c>
      <c r="CS5" s="92">
        <v>1</v>
      </c>
      <c r="CT5" s="92">
        <v>4</v>
      </c>
      <c r="CU5" s="92">
        <v>2</v>
      </c>
      <c r="CV5" s="92">
        <v>0</v>
      </c>
      <c r="CW5" s="92">
        <v>2</v>
      </c>
      <c r="CX5" s="92">
        <v>0</v>
      </c>
      <c r="CY5" s="92">
        <v>0</v>
      </c>
      <c r="CZ5" s="92">
        <v>1</v>
      </c>
      <c r="DA5" s="92">
        <v>3</v>
      </c>
      <c r="DB5" s="92">
        <v>0</v>
      </c>
      <c r="DC5" s="92">
        <v>7</v>
      </c>
      <c r="DD5" s="92">
        <v>3</v>
      </c>
      <c r="DE5" s="92">
        <v>0</v>
      </c>
      <c r="DF5" s="92">
        <v>4</v>
      </c>
      <c r="DG5" s="92">
        <v>10</v>
      </c>
      <c r="DH5" s="92">
        <v>0</v>
      </c>
      <c r="DI5" s="92">
        <v>8</v>
      </c>
      <c r="DJ5" s="92">
        <v>16</v>
      </c>
      <c r="DK5" s="92">
        <v>0</v>
      </c>
      <c r="DL5" s="92">
        <v>1</v>
      </c>
      <c r="DM5" s="92">
        <v>1</v>
      </c>
      <c r="DN5" s="92">
        <v>0</v>
      </c>
      <c r="DO5" s="92">
        <v>3</v>
      </c>
      <c r="DP5" s="92">
        <v>6</v>
      </c>
      <c r="DQ5" s="92">
        <v>0</v>
      </c>
      <c r="DR5" s="92">
        <v>2</v>
      </c>
      <c r="DS5" s="92">
        <v>2</v>
      </c>
      <c r="DT5" s="92">
        <v>1</v>
      </c>
      <c r="DU5" s="92">
        <v>5</v>
      </c>
      <c r="DV5" s="92">
        <v>4</v>
      </c>
      <c r="DW5" s="92">
        <v>0</v>
      </c>
      <c r="DX5" s="92">
        <v>2</v>
      </c>
      <c r="DY5" s="92">
        <v>4</v>
      </c>
      <c r="DZ5" s="92">
        <v>0</v>
      </c>
      <c r="EA5" s="92">
        <v>5</v>
      </c>
      <c r="EB5" s="92">
        <v>0</v>
      </c>
      <c r="EC5" s="92">
        <v>0</v>
      </c>
      <c r="ED5" s="92">
        <v>11</v>
      </c>
      <c r="EE5" s="92">
        <v>6</v>
      </c>
      <c r="EF5" s="92">
        <v>0</v>
      </c>
      <c r="EG5" s="92">
        <v>6</v>
      </c>
      <c r="EH5" s="92">
        <v>4</v>
      </c>
      <c r="EI5" s="92">
        <v>244</v>
      </c>
      <c r="EJ5" s="92">
        <v>4</v>
      </c>
      <c r="EK5" s="92">
        <v>114</v>
      </c>
      <c r="EL5" s="92">
        <v>126</v>
      </c>
      <c r="EM5" s="94"/>
      <c r="EN5" s="94"/>
      <c r="EO5" s="94"/>
      <c r="EP5" s="94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</row>
    <row r="6" spans="1:158" x14ac:dyDescent="0.15">
      <c r="A6">
        <v>4</v>
      </c>
      <c r="B6" s="95" t="s">
        <v>31</v>
      </c>
      <c r="C6">
        <v>1851</v>
      </c>
      <c r="D6" s="92">
        <v>3</v>
      </c>
      <c r="E6" s="92">
        <v>3</v>
      </c>
      <c r="F6" s="92">
        <v>2</v>
      </c>
      <c r="G6" s="92">
        <v>15</v>
      </c>
      <c r="H6" s="92">
        <v>15</v>
      </c>
      <c r="I6" s="92">
        <v>370</v>
      </c>
      <c r="J6" s="93">
        <v>4599</v>
      </c>
      <c r="K6" s="93">
        <v>6788.1239999999998</v>
      </c>
      <c r="L6" s="93"/>
      <c r="M6" s="93"/>
      <c r="N6" s="93"/>
      <c r="O6" s="93"/>
      <c r="P6" s="93"/>
      <c r="Q6" s="92">
        <v>11</v>
      </c>
      <c r="R6" s="92">
        <v>4</v>
      </c>
      <c r="S6" s="92">
        <v>2</v>
      </c>
      <c r="T6" s="92">
        <v>2</v>
      </c>
      <c r="U6" s="92">
        <v>0</v>
      </c>
      <c r="V6" s="92">
        <v>0</v>
      </c>
      <c r="W6" s="92">
        <v>0</v>
      </c>
      <c r="X6" s="92">
        <v>2</v>
      </c>
      <c r="Y6" s="92">
        <v>0</v>
      </c>
      <c r="Z6" s="92">
        <v>14</v>
      </c>
      <c r="AA6" s="92">
        <v>1</v>
      </c>
      <c r="AB6" s="92">
        <v>0</v>
      </c>
      <c r="AC6" s="92">
        <v>3</v>
      </c>
      <c r="AD6" s="92">
        <v>3</v>
      </c>
      <c r="AE6" s="92">
        <v>4</v>
      </c>
      <c r="AF6" s="92">
        <v>1</v>
      </c>
      <c r="AG6" s="92">
        <v>6</v>
      </c>
      <c r="AH6" s="92">
        <v>0</v>
      </c>
      <c r="AI6" s="92">
        <v>2</v>
      </c>
      <c r="AJ6" s="92">
        <v>1</v>
      </c>
      <c r="AK6" s="92">
        <v>0</v>
      </c>
      <c r="AL6" s="92">
        <v>2</v>
      </c>
      <c r="AM6" s="92">
        <v>3</v>
      </c>
      <c r="AN6" s="92">
        <v>2</v>
      </c>
      <c r="AO6" s="92">
        <v>1</v>
      </c>
      <c r="AP6" s="92">
        <v>10</v>
      </c>
      <c r="AQ6" s="92">
        <v>2</v>
      </c>
      <c r="AR6" s="92">
        <v>5</v>
      </c>
      <c r="AS6" s="92">
        <v>7</v>
      </c>
      <c r="AT6" s="92">
        <v>11</v>
      </c>
      <c r="AU6" s="92"/>
      <c r="AV6" s="92"/>
      <c r="AW6" s="92">
        <v>0</v>
      </c>
      <c r="AX6" s="92">
        <v>1</v>
      </c>
      <c r="AY6" s="92">
        <v>0</v>
      </c>
      <c r="AZ6" s="92">
        <v>0</v>
      </c>
      <c r="BA6" s="92">
        <v>1</v>
      </c>
      <c r="BB6" s="92">
        <v>2</v>
      </c>
      <c r="BC6" s="92">
        <v>0</v>
      </c>
      <c r="BD6" s="92">
        <v>0</v>
      </c>
      <c r="BE6" s="92">
        <v>0</v>
      </c>
      <c r="BF6" s="92">
        <v>0</v>
      </c>
      <c r="BG6" s="92">
        <v>1</v>
      </c>
      <c r="BH6" s="92">
        <v>1</v>
      </c>
      <c r="BI6" s="92">
        <v>0</v>
      </c>
      <c r="BJ6" s="92">
        <v>0</v>
      </c>
      <c r="BK6" s="92">
        <v>0</v>
      </c>
      <c r="BL6" s="92">
        <v>0</v>
      </c>
      <c r="BM6" s="92">
        <v>0</v>
      </c>
      <c r="BN6" s="92">
        <v>0</v>
      </c>
      <c r="BO6" s="92">
        <v>0</v>
      </c>
      <c r="BP6" s="92">
        <v>0</v>
      </c>
      <c r="BQ6" s="92">
        <v>0</v>
      </c>
      <c r="BR6" s="92">
        <v>0</v>
      </c>
      <c r="BS6" s="92">
        <v>0</v>
      </c>
      <c r="BT6" s="92">
        <v>1</v>
      </c>
      <c r="BU6" s="92">
        <v>0</v>
      </c>
      <c r="BV6" s="92">
        <v>0</v>
      </c>
      <c r="BW6" s="92">
        <v>0</v>
      </c>
      <c r="BX6" s="92">
        <v>2</v>
      </c>
      <c r="BY6" s="92">
        <v>2</v>
      </c>
      <c r="BZ6" s="92">
        <v>2</v>
      </c>
      <c r="CA6" s="92">
        <v>0</v>
      </c>
      <c r="CB6" s="92">
        <v>0</v>
      </c>
      <c r="CC6" s="92">
        <v>2</v>
      </c>
      <c r="CD6" s="92">
        <v>0</v>
      </c>
      <c r="CE6" s="92">
        <v>0</v>
      </c>
      <c r="CF6" s="92">
        <v>0</v>
      </c>
      <c r="CG6" s="92">
        <v>0</v>
      </c>
      <c r="CH6" s="92">
        <v>0</v>
      </c>
      <c r="CI6" s="92">
        <v>2</v>
      </c>
      <c r="CJ6" s="92">
        <v>0</v>
      </c>
      <c r="CK6" s="92">
        <v>0</v>
      </c>
      <c r="CL6" s="92">
        <v>0</v>
      </c>
      <c r="CM6" s="92">
        <v>0</v>
      </c>
      <c r="CN6" s="92">
        <v>0</v>
      </c>
      <c r="CO6" s="92">
        <v>1</v>
      </c>
      <c r="CP6" s="92">
        <v>0</v>
      </c>
      <c r="CQ6" s="92">
        <v>0</v>
      </c>
      <c r="CR6" s="92">
        <v>1</v>
      </c>
      <c r="CS6" s="92">
        <v>0</v>
      </c>
      <c r="CT6" s="92">
        <v>1</v>
      </c>
      <c r="CU6" s="92">
        <v>2</v>
      </c>
      <c r="CV6" s="92">
        <v>0</v>
      </c>
      <c r="CW6" s="92">
        <v>0</v>
      </c>
      <c r="CX6" s="92">
        <v>0</v>
      </c>
      <c r="CY6" s="92">
        <v>0</v>
      </c>
      <c r="CZ6" s="92">
        <v>0</v>
      </c>
      <c r="DA6" s="92">
        <v>0</v>
      </c>
      <c r="DB6" s="92">
        <v>0</v>
      </c>
      <c r="DC6" s="92">
        <v>0</v>
      </c>
      <c r="DD6" s="92">
        <v>0</v>
      </c>
      <c r="DE6" s="92">
        <v>0</v>
      </c>
      <c r="DF6" s="92">
        <v>0</v>
      </c>
      <c r="DG6" s="92">
        <v>0</v>
      </c>
      <c r="DH6" s="92">
        <v>1</v>
      </c>
      <c r="DI6" s="92">
        <v>0</v>
      </c>
      <c r="DJ6" s="92">
        <v>0</v>
      </c>
      <c r="DK6" s="92">
        <v>0</v>
      </c>
      <c r="DL6" s="92">
        <v>0</v>
      </c>
      <c r="DM6" s="92">
        <v>0</v>
      </c>
      <c r="DN6" s="92">
        <v>0</v>
      </c>
      <c r="DO6" s="92">
        <v>0</v>
      </c>
      <c r="DP6" s="92">
        <v>3</v>
      </c>
      <c r="DQ6" s="92">
        <v>0</v>
      </c>
      <c r="DR6" s="92">
        <v>1</v>
      </c>
      <c r="DS6" s="92">
        <v>0</v>
      </c>
      <c r="DT6" s="92">
        <v>0</v>
      </c>
      <c r="DU6" s="92">
        <v>2</v>
      </c>
      <c r="DV6" s="92">
        <v>1</v>
      </c>
      <c r="DW6" s="92">
        <v>0</v>
      </c>
      <c r="DX6" s="92">
        <v>1</v>
      </c>
      <c r="DY6" s="92">
        <v>0</v>
      </c>
      <c r="DZ6" s="92">
        <v>0</v>
      </c>
      <c r="EA6" s="92">
        <v>1</v>
      </c>
      <c r="EB6" s="92">
        <v>0</v>
      </c>
      <c r="EC6" s="92">
        <v>0</v>
      </c>
      <c r="ED6" s="92">
        <v>2</v>
      </c>
      <c r="EE6" s="92">
        <v>0</v>
      </c>
      <c r="EF6" s="92">
        <v>0</v>
      </c>
      <c r="EG6" s="92">
        <v>3</v>
      </c>
      <c r="EH6" s="92">
        <v>3</v>
      </c>
      <c r="EI6" s="92">
        <v>40</v>
      </c>
      <c r="EJ6" s="92">
        <v>3</v>
      </c>
      <c r="EK6" s="92">
        <v>16</v>
      </c>
      <c r="EL6" s="92">
        <v>21</v>
      </c>
      <c r="EM6" s="94"/>
      <c r="EN6" s="94"/>
      <c r="EO6" s="94"/>
      <c r="EP6" s="94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</row>
    <row r="7" spans="1:158" x14ac:dyDescent="0.15">
      <c r="A7">
        <v>5</v>
      </c>
      <c r="B7" s="95" t="s">
        <v>22</v>
      </c>
      <c r="C7">
        <v>1851</v>
      </c>
      <c r="D7" s="92">
        <v>2</v>
      </c>
      <c r="E7" s="92">
        <v>7</v>
      </c>
      <c r="F7" s="92">
        <v>22</v>
      </c>
      <c r="G7" s="92">
        <v>15</v>
      </c>
      <c r="H7" s="92">
        <v>15</v>
      </c>
      <c r="I7" s="92">
        <v>4836</v>
      </c>
      <c r="J7" s="93">
        <v>4449</v>
      </c>
      <c r="K7" s="93">
        <v>8042</v>
      </c>
      <c r="L7" s="93">
        <v>1808</v>
      </c>
      <c r="M7" s="93"/>
      <c r="N7" s="93">
        <v>53.5</v>
      </c>
      <c r="O7" s="93">
        <v>487</v>
      </c>
      <c r="P7" s="93">
        <v>549</v>
      </c>
      <c r="Q7" s="92">
        <v>36</v>
      </c>
      <c r="R7" s="92">
        <v>8</v>
      </c>
      <c r="S7" s="92">
        <v>40</v>
      </c>
      <c r="T7" s="92">
        <v>34</v>
      </c>
      <c r="U7" s="92">
        <v>9</v>
      </c>
      <c r="V7" s="92">
        <v>15</v>
      </c>
      <c r="W7" s="92">
        <v>4</v>
      </c>
      <c r="X7" s="92">
        <v>22</v>
      </c>
      <c r="Y7" s="92">
        <v>14</v>
      </c>
      <c r="Z7" s="92">
        <v>22</v>
      </c>
      <c r="AA7" s="92">
        <v>3</v>
      </c>
      <c r="AB7" s="92">
        <v>15</v>
      </c>
      <c r="AC7" s="92">
        <v>2</v>
      </c>
      <c r="AD7" s="92">
        <v>33</v>
      </c>
      <c r="AE7" s="92">
        <v>19</v>
      </c>
      <c r="AF7" s="92">
        <v>29</v>
      </c>
      <c r="AG7" s="92">
        <v>13</v>
      </c>
      <c r="AH7" s="92">
        <v>10</v>
      </c>
      <c r="AI7" s="92">
        <v>50</v>
      </c>
      <c r="AJ7" s="92">
        <v>7</v>
      </c>
      <c r="AK7" s="92">
        <v>1</v>
      </c>
      <c r="AL7" s="92">
        <v>28</v>
      </c>
      <c r="AM7" s="92">
        <v>5</v>
      </c>
      <c r="AN7" s="92">
        <v>5</v>
      </c>
      <c r="AO7" s="92">
        <v>4</v>
      </c>
      <c r="AP7" s="92">
        <v>17</v>
      </c>
      <c r="AQ7" s="92">
        <v>8</v>
      </c>
      <c r="AR7" s="92">
        <v>3</v>
      </c>
      <c r="AS7" s="92">
        <v>13</v>
      </c>
      <c r="AT7" s="92">
        <v>37</v>
      </c>
      <c r="AU7" s="92"/>
      <c r="AV7" s="92"/>
      <c r="AW7" s="92">
        <v>0</v>
      </c>
      <c r="AX7" s="92">
        <v>10</v>
      </c>
      <c r="AY7" s="92">
        <v>7</v>
      </c>
      <c r="AZ7" s="92">
        <v>0</v>
      </c>
      <c r="BA7" s="92">
        <v>2</v>
      </c>
      <c r="BB7" s="92">
        <v>2</v>
      </c>
      <c r="BC7" s="92">
        <v>0</v>
      </c>
      <c r="BD7" s="92">
        <v>1</v>
      </c>
      <c r="BE7" s="92">
        <v>6</v>
      </c>
      <c r="BF7" s="92">
        <v>0</v>
      </c>
      <c r="BG7" s="92">
        <v>10</v>
      </c>
      <c r="BH7" s="92">
        <v>18</v>
      </c>
      <c r="BI7" s="92">
        <v>1</v>
      </c>
      <c r="BJ7" s="92">
        <v>3</v>
      </c>
      <c r="BK7" s="92">
        <v>0</v>
      </c>
      <c r="BL7" s="92">
        <v>0</v>
      </c>
      <c r="BM7" s="92">
        <v>2</v>
      </c>
      <c r="BN7" s="92">
        <v>0</v>
      </c>
      <c r="BO7" s="92">
        <v>0</v>
      </c>
      <c r="BP7" s="92">
        <v>0</v>
      </c>
      <c r="BQ7" s="92">
        <v>0</v>
      </c>
      <c r="BR7" s="92">
        <v>0</v>
      </c>
      <c r="BS7" s="92">
        <v>8</v>
      </c>
      <c r="BT7" s="92">
        <v>4</v>
      </c>
      <c r="BU7" s="92">
        <v>0</v>
      </c>
      <c r="BV7" s="92">
        <v>4</v>
      </c>
      <c r="BW7" s="92">
        <v>0</v>
      </c>
      <c r="BX7" s="92">
        <v>0</v>
      </c>
      <c r="BY7" s="92">
        <v>5</v>
      </c>
      <c r="BZ7" s="92">
        <v>3</v>
      </c>
      <c r="CA7" s="92">
        <v>0</v>
      </c>
      <c r="CB7" s="92">
        <v>1</v>
      </c>
      <c r="CC7" s="92">
        <v>1</v>
      </c>
      <c r="CD7" s="92">
        <v>0</v>
      </c>
      <c r="CE7" s="92">
        <v>4</v>
      </c>
      <c r="CF7" s="92">
        <v>1</v>
      </c>
      <c r="CG7" s="92">
        <v>0</v>
      </c>
      <c r="CH7" s="92">
        <v>0</v>
      </c>
      <c r="CI7" s="92">
        <v>0</v>
      </c>
      <c r="CJ7" s="92">
        <v>0</v>
      </c>
      <c r="CK7" s="92">
        <v>7</v>
      </c>
      <c r="CL7" s="92">
        <v>9</v>
      </c>
      <c r="CM7" s="92">
        <v>0</v>
      </c>
      <c r="CN7" s="92">
        <v>4</v>
      </c>
      <c r="CO7" s="92">
        <v>1</v>
      </c>
      <c r="CP7" s="92">
        <v>0</v>
      </c>
      <c r="CQ7" s="92">
        <v>4</v>
      </c>
      <c r="CR7" s="92">
        <v>4</v>
      </c>
      <c r="CS7" s="92">
        <v>0</v>
      </c>
      <c r="CT7" s="92">
        <v>2</v>
      </c>
      <c r="CU7" s="92">
        <v>4</v>
      </c>
      <c r="CV7" s="92">
        <v>0</v>
      </c>
      <c r="CW7" s="92">
        <v>0</v>
      </c>
      <c r="CX7" s="92">
        <v>0</v>
      </c>
      <c r="CY7" s="92">
        <v>0</v>
      </c>
      <c r="CZ7" s="92">
        <v>18</v>
      </c>
      <c r="DA7" s="92">
        <v>5</v>
      </c>
      <c r="DB7" s="92">
        <v>0</v>
      </c>
      <c r="DC7" s="92">
        <v>1</v>
      </c>
      <c r="DD7" s="92">
        <v>2</v>
      </c>
      <c r="DE7" s="92">
        <v>0</v>
      </c>
      <c r="DF7" s="92">
        <v>0</v>
      </c>
      <c r="DG7" s="92">
        <v>1</v>
      </c>
      <c r="DH7" s="92">
        <v>1</v>
      </c>
      <c r="DI7" s="92">
        <v>10</v>
      </c>
      <c r="DJ7" s="92">
        <v>6</v>
      </c>
      <c r="DK7" s="92">
        <v>0</v>
      </c>
      <c r="DL7" s="92">
        <v>1</v>
      </c>
      <c r="DM7" s="92">
        <v>0</v>
      </c>
      <c r="DN7" s="92">
        <v>0</v>
      </c>
      <c r="DO7" s="92">
        <v>0</v>
      </c>
      <c r="DP7" s="92">
        <v>2</v>
      </c>
      <c r="DQ7" s="92">
        <v>0</v>
      </c>
      <c r="DR7" s="92">
        <v>0</v>
      </c>
      <c r="DS7" s="92">
        <v>0</v>
      </c>
      <c r="DT7" s="92">
        <v>0</v>
      </c>
      <c r="DU7" s="92">
        <v>3</v>
      </c>
      <c r="DV7" s="92">
        <v>4</v>
      </c>
      <c r="DW7" s="92">
        <v>0</v>
      </c>
      <c r="DX7" s="92">
        <v>2</v>
      </c>
      <c r="DY7" s="92">
        <v>7</v>
      </c>
      <c r="DZ7" s="92">
        <v>0</v>
      </c>
      <c r="EA7" s="92">
        <v>4</v>
      </c>
      <c r="EB7" s="92">
        <v>1</v>
      </c>
      <c r="EC7" s="92">
        <v>0</v>
      </c>
      <c r="ED7" s="92">
        <v>3</v>
      </c>
      <c r="EE7" s="92">
        <v>0</v>
      </c>
      <c r="EF7" s="92">
        <v>0</v>
      </c>
      <c r="EG7" s="92">
        <v>5</v>
      </c>
      <c r="EH7" s="92">
        <v>4</v>
      </c>
      <c r="EI7" s="92">
        <v>208</v>
      </c>
      <c r="EJ7" s="92">
        <v>2</v>
      </c>
      <c r="EK7" s="92">
        <v>114</v>
      </c>
      <c r="EL7" s="92">
        <v>92</v>
      </c>
      <c r="EM7" s="94"/>
      <c r="EN7" s="94"/>
      <c r="EO7" s="94"/>
      <c r="EP7" s="94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</row>
    <row r="8" spans="1:158" x14ac:dyDescent="0.15">
      <c r="A8">
        <v>6</v>
      </c>
      <c r="B8" s="95" t="s">
        <v>28</v>
      </c>
      <c r="C8">
        <v>1851</v>
      </c>
      <c r="D8" s="92">
        <v>76</v>
      </c>
      <c r="E8" s="92">
        <v>49</v>
      </c>
      <c r="F8" s="92">
        <v>295</v>
      </c>
      <c r="G8" s="92">
        <v>14</v>
      </c>
      <c r="H8" s="92">
        <v>24</v>
      </c>
      <c r="I8" s="92">
        <v>37237</v>
      </c>
      <c r="J8" s="93">
        <v>25601</v>
      </c>
      <c r="K8" s="93">
        <v>60479</v>
      </c>
      <c r="L8" s="93">
        <v>2362</v>
      </c>
      <c r="M8" s="93">
        <v>21</v>
      </c>
      <c r="N8" s="93">
        <v>28.08</v>
      </c>
      <c r="O8" s="93">
        <v>2652</v>
      </c>
      <c r="P8" s="93">
        <v>555</v>
      </c>
      <c r="Q8" s="92">
        <v>474</v>
      </c>
      <c r="R8" s="92">
        <v>134</v>
      </c>
      <c r="S8" s="92">
        <v>136</v>
      </c>
      <c r="T8" s="92">
        <v>119</v>
      </c>
      <c r="U8" s="92">
        <v>400</v>
      </c>
      <c r="V8" s="92">
        <v>241</v>
      </c>
      <c r="W8" s="92">
        <v>189</v>
      </c>
      <c r="X8" s="92">
        <v>340</v>
      </c>
      <c r="Y8" s="92">
        <v>258</v>
      </c>
      <c r="Z8" s="92">
        <v>563</v>
      </c>
      <c r="AA8" s="92">
        <v>64</v>
      </c>
      <c r="AB8" s="92">
        <v>337</v>
      </c>
      <c r="AC8" s="92">
        <v>80</v>
      </c>
      <c r="AD8" s="92">
        <v>98</v>
      </c>
      <c r="AE8" s="92">
        <v>0</v>
      </c>
      <c r="AF8" s="92">
        <v>280</v>
      </c>
      <c r="AG8" s="92">
        <v>176</v>
      </c>
      <c r="AH8" s="92">
        <v>97</v>
      </c>
      <c r="AI8" s="92">
        <v>292</v>
      </c>
      <c r="AJ8" s="92">
        <v>238</v>
      </c>
      <c r="AK8" s="92">
        <v>43</v>
      </c>
      <c r="AL8" s="92">
        <v>624</v>
      </c>
      <c r="AM8" s="92">
        <v>122</v>
      </c>
      <c r="AN8" s="92">
        <v>93</v>
      </c>
      <c r="AO8" s="92">
        <v>60</v>
      </c>
      <c r="AP8" s="92">
        <v>346</v>
      </c>
      <c r="AQ8" s="92">
        <v>127</v>
      </c>
      <c r="AR8" s="92">
        <v>139</v>
      </c>
      <c r="AS8" s="92">
        <v>283</v>
      </c>
      <c r="AT8" s="92">
        <v>508</v>
      </c>
      <c r="AU8" s="92"/>
      <c r="AV8" s="92"/>
      <c r="AW8" s="92">
        <v>2</v>
      </c>
      <c r="AX8" s="92">
        <v>25</v>
      </c>
      <c r="AY8" s="92">
        <v>33</v>
      </c>
      <c r="AZ8" s="92">
        <v>1</v>
      </c>
      <c r="BA8" s="92">
        <v>39</v>
      </c>
      <c r="BB8" s="92">
        <v>33</v>
      </c>
      <c r="BC8" s="92">
        <v>1</v>
      </c>
      <c r="BD8" s="92">
        <v>35</v>
      </c>
      <c r="BE8" s="92">
        <v>22</v>
      </c>
      <c r="BF8" s="92">
        <v>2</v>
      </c>
      <c r="BG8" s="92">
        <v>29</v>
      </c>
      <c r="BH8" s="92">
        <v>44</v>
      </c>
      <c r="BI8" s="92">
        <v>4</v>
      </c>
      <c r="BJ8" s="92">
        <v>65</v>
      </c>
      <c r="BK8" s="92">
        <v>0</v>
      </c>
      <c r="BL8" s="92">
        <v>15</v>
      </c>
      <c r="BM8" s="92">
        <v>51</v>
      </c>
      <c r="BN8" s="92">
        <v>0</v>
      </c>
      <c r="BO8" s="92">
        <v>3</v>
      </c>
      <c r="BP8" s="92">
        <v>17</v>
      </c>
      <c r="BQ8" s="92">
        <v>6</v>
      </c>
      <c r="BR8" s="92">
        <v>5</v>
      </c>
      <c r="BS8" s="92">
        <v>45</v>
      </c>
      <c r="BT8" s="92">
        <v>8</v>
      </c>
      <c r="BU8" s="92">
        <v>4</v>
      </c>
      <c r="BV8" s="92">
        <v>29</v>
      </c>
      <c r="BW8" s="92">
        <v>1</v>
      </c>
      <c r="BX8" s="92">
        <v>21</v>
      </c>
      <c r="BY8" s="92">
        <v>95</v>
      </c>
      <c r="BZ8" s="92">
        <v>35</v>
      </c>
      <c r="CA8" s="92">
        <v>0</v>
      </c>
      <c r="CB8" s="92">
        <v>16</v>
      </c>
      <c r="CC8" s="92">
        <v>5</v>
      </c>
      <c r="CD8" s="92">
        <v>0</v>
      </c>
      <c r="CE8" s="92">
        <v>74</v>
      </c>
      <c r="CF8" s="92">
        <v>15</v>
      </c>
      <c r="CG8" s="92">
        <v>0</v>
      </c>
      <c r="CH8" s="92">
        <v>31</v>
      </c>
      <c r="CI8" s="92">
        <v>7</v>
      </c>
      <c r="CJ8" s="92">
        <v>0</v>
      </c>
      <c r="CK8" s="92">
        <v>22</v>
      </c>
      <c r="CL8" s="92">
        <v>29</v>
      </c>
      <c r="CM8" s="92">
        <v>0</v>
      </c>
      <c r="CN8" s="92">
        <v>26</v>
      </c>
      <c r="CO8" s="92">
        <v>15</v>
      </c>
      <c r="CP8" s="92">
        <v>0</v>
      </c>
      <c r="CQ8" s="92">
        <v>43</v>
      </c>
      <c r="CR8" s="92">
        <v>39</v>
      </c>
      <c r="CS8" s="92">
        <v>0</v>
      </c>
      <c r="CT8" s="92">
        <v>34</v>
      </c>
      <c r="CU8" s="92">
        <v>20</v>
      </c>
      <c r="CV8" s="92">
        <v>0</v>
      </c>
      <c r="CW8" s="92">
        <v>18</v>
      </c>
      <c r="CX8" s="92">
        <v>0</v>
      </c>
      <c r="CY8" s="92">
        <v>1</v>
      </c>
      <c r="CZ8" s="92">
        <v>83</v>
      </c>
      <c r="DA8" s="92">
        <v>57</v>
      </c>
      <c r="DB8" s="92">
        <v>0</v>
      </c>
      <c r="DC8" s="92">
        <v>50</v>
      </c>
      <c r="DD8" s="92">
        <v>49</v>
      </c>
      <c r="DE8" s="92">
        <v>1</v>
      </c>
      <c r="DF8" s="92">
        <v>61</v>
      </c>
      <c r="DG8" s="92">
        <v>50</v>
      </c>
      <c r="DH8" s="92">
        <v>5</v>
      </c>
      <c r="DI8" s="92">
        <v>202</v>
      </c>
      <c r="DJ8" s="92">
        <v>106</v>
      </c>
      <c r="DK8" s="92">
        <v>6</v>
      </c>
      <c r="DL8" s="92">
        <v>14</v>
      </c>
      <c r="DM8" s="92">
        <v>28</v>
      </c>
      <c r="DN8" s="92">
        <v>0</v>
      </c>
      <c r="DO8" s="92">
        <v>17</v>
      </c>
      <c r="DP8" s="92">
        <v>16</v>
      </c>
      <c r="DQ8" s="92">
        <v>1</v>
      </c>
      <c r="DR8" s="92">
        <v>12</v>
      </c>
      <c r="DS8" s="92">
        <v>13</v>
      </c>
      <c r="DT8" s="92">
        <v>0</v>
      </c>
      <c r="DU8" s="92">
        <v>23</v>
      </c>
      <c r="DV8" s="92">
        <v>29</v>
      </c>
      <c r="DW8" s="92">
        <v>2</v>
      </c>
      <c r="DX8" s="92">
        <v>48</v>
      </c>
      <c r="DY8" s="92">
        <v>39</v>
      </c>
      <c r="DZ8" s="92">
        <v>2</v>
      </c>
      <c r="EA8" s="92">
        <v>26</v>
      </c>
      <c r="EB8" s="92">
        <v>6</v>
      </c>
      <c r="EC8" s="92">
        <v>0</v>
      </c>
      <c r="ED8" s="92">
        <v>46</v>
      </c>
      <c r="EE8" s="92">
        <v>28</v>
      </c>
      <c r="EF8" s="92">
        <v>2</v>
      </c>
      <c r="EG8" s="92">
        <v>26</v>
      </c>
      <c r="EH8" s="92">
        <v>40</v>
      </c>
      <c r="EI8" s="92">
        <v>2153</v>
      </c>
      <c r="EJ8" s="92">
        <v>78</v>
      </c>
      <c r="EK8" s="92">
        <v>1302</v>
      </c>
      <c r="EL8" s="92">
        <v>773</v>
      </c>
      <c r="EM8" s="94"/>
      <c r="EN8" s="94"/>
      <c r="EO8" s="94">
        <v>93</v>
      </c>
      <c r="EP8" s="94">
        <v>101</v>
      </c>
      <c r="EQ8" s="92"/>
      <c r="ER8" s="92"/>
      <c r="ES8" s="92"/>
      <c r="ET8" s="92"/>
      <c r="EU8" s="92"/>
      <c r="EV8" s="92"/>
      <c r="EW8" s="92"/>
      <c r="EX8" s="92"/>
      <c r="EY8" s="92"/>
      <c r="EZ8" s="92"/>
      <c r="FA8" s="92"/>
      <c r="FB8" s="92"/>
    </row>
    <row r="9" spans="1:158" hidden="1" x14ac:dyDescent="0.15">
      <c r="A9">
        <v>7</v>
      </c>
      <c r="B9" t="s">
        <v>669</v>
      </c>
      <c r="C9">
        <v>1851</v>
      </c>
      <c r="D9" s="92"/>
      <c r="E9" s="92"/>
      <c r="F9" s="92"/>
      <c r="G9" s="92"/>
      <c r="H9" s="92"/>
      <c r="I9" s="92"/>
      <c r="J9" s="93"/>
      <c r="K9" s="93"/>
      <c r="L9" s="93"/>
      <c r="M9" s="93"/>
      <c r="N9" s="93"/>
      <c r="O9" s="93"/>
      <c r="P9" s="93"/>
      <c r="Q9" s="92">
        <v>1</v>
      </c>
      <c r="R9" s="92">
        <v>0</v>
      </c>
      <c r="S9" s="92">
        <v>0</v>
      </c>
      <c r="T9" s="92">
        <v>2</v>
      </c>
      <c r="U9" s="92">
        <v>0</v>
      </c>
      <c r="V9" s="92">
        <v>0</v>
      </c>
      <c r="W9" s="92">
        <v>0</v>
      </c>
      <c r="X9" s="92">
        <v>0</v>
      </c>
      <c r="Y9" s="92">
        <v>0</v>
      </c>
      <c r="Z9" s="92">
        <v>1</v>
      </c>
      <c r="AA9" s="92">
        <v>4</v>
      </c>
      <c r="AB9" s="92">
        <v>0</v>
      </c>
      <c r="AC9" s="92">
        <v>0</v>
      </c>
      <c r="AD9" s="92">
        <v>0</v>
      </c>
      <c r="AE9" s="92">
        <v>0</v>
      </c>
      <c r="AF9" s="92">
        <v>0</v>
      </c>
      <c r="AG9" s="92">
        <v>1</v>
      </c>
      <c r="AH9" s="92">
        <v>0</v>
      </c>
      <c r="AI9" s="92">
        <v>16</v>
      </c>
      <c r="AJ9" s="92">
        <v>2</v>
      </c>
      <c r="AK9" s="92">
        <v>0</v>
      </c>
      <c r="AL9" s="92">
        <v>0</v>
      </c>
      <c r="AM9" s="92">
        <v>4</v>
      </c>
      <c r="AN9" s="92">
        <v>0</v>
      </c>
      <c r="AO9" s="92">
        <v>0</v>
      </c>
      <c r="AP9" s="92">
        <v>0</v>
      </c>
      <c r="AQ9" s="92">
        <v>1</v>
      </c>
      <c r="AR9" s="92">
        <v>1</v>
      </c>
      <c r="AS9" s="92">
        <v>2</v>
      </c>
      <c r="AT9" s="92">
        <v>5</v>
      </c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4"/>
      <c r="EN9" s="94"/>
      <c r="EO9" s="94"/>
      <c r="EP9" s="94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</row>
    <row r="10" spans="1:158" hidden="1" x14ac:dyDescent="0.15">
      <c r="A10">
        <v>8</v>
      </c>
      <c r="B10" t="s">
        <v>670</v>
      </c>
      <c r="C10">
        <v>1851</v>
      </c>
      <c r="D10" s="92"/>
      <c r="E10" s="92"/>
      <c r="F10" s="92"/>
      <c r="G10" s="92" t="s">
        <v>671</v>
      </c>
      <c r="H10" s="92"/>
      <c r="I10" s="92"/>
      <c r="J10" s="93">
        <v>2430</v>
      </c>
      <c r="K10" s="93">
        <v>3110</v>
      </c>
      <c r="L10" s="93">
        <v>1280</v>
      </c>
      <c r="M10" s="93"/>
      <c r="O10" s="93"/>
      <c r="P10" s="93"/>
      <c r="Q10" s="92">
        <v>26</v>
      </c>
      <c r="R10" s="92">
        <v>1</v>
      </c>
      <c r="S10" s="92">
        <v>55</v>
      </c>
      <c r="T10" s="92">
        <v>10</v>
      </c>
      <c r="U10" s="92">
        <v>6</v>
      </c>
      <c r="V10" s="92">
        <v>0</v>
      </c>
      <c r="W10" s="92">
        <v>1</v>
      </c>
      <c r="X10" s="92">
        <v>7</v>
      </c>
      <c r="Y10" s="92">
        <v>11</v>
      </c>
      <c r="Z10" s="92">
        <v>4</v>
      </c>
      <c r="AA10" s="92">
        <v>0</v>
      </c>
      <c r="AB10" s="92">
        <v>6</v>
      </c>
      <c r="AC10" s="92">
        <v>0</v>
      </c>
      <c r="AD10" s="92">
        <v>5</v>
      </c>
      <c r="AE10" s="92">
        <v>0</v>
      </c>
      <c r="AF10" s="92">
        <v>16</v>
      </c>
      <c r="AG10" s="92">
        <v>6</v>
      </c>
      <c r="AH10" s="92">
        <v>0</v>
      </c>
      <c r="AI10" s="92">
        <v>1</v>
      </c>
      <c r="AJ10" s="92">
        <v>7</v>
      </c>
      <c r="AK10" s="92">
        <v>3</v>
      </c>
      <c r="AL10" s="92">
        <v>6</v>
      </c>
      <c r="AM10" s="92">
        <v>2</v>
      </c>
      <c r="AN10" s="92">
        <v>0</v>
      </c>
      <c r="AO10" s="92">
        <v>0</v>
      </c>
      <c r="AP10" s="92">
        <v>9</v>
      </c>
      <c r="AQ10" s="92">
        <v>1</v>
      </c>
      <c r="AR10" s="92">
        <v>2</v>
      </c>
      <c r="AS10" s="92">
        <v>8</v>
      </c>
      <c r="AT10" s="92">
        <v>2</v>
      </c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92"/>
      <c r="EE10" s="92"/>
      <c r="EF10" s="92"/>
      <c r="EG10" s="92"/>
      <c r="EH10" s="92"/>
      <c r="EI10" s="92"/>
      <c r="EJ10" s="92"/>
      <c r="EK10" s="92"/>
      <c r="EL10" s="92"/>
      <c r="EM10" s="94">
        <v>3.8</v>
      </c>
      <c r="EN10" s="94"/>
      <c r="EO10" s="94">
        <v>5</v>
      </c>
      <c r="EP10" s="94">
        <v>12</v>
      </c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</row>
    <row r="11" spans="1:158" x14ac:dyDescent="0.15">
      <c r="A11">
        <v>9</v>
      </c>
      <c r="B11" s="95" t="s">
        <v>24</v>
      </c>
      <c r="C11">
        <v>1851</v>
      </c>
      <c r="D11" s="92">
        <v>0</v>
      </c>
      <c r="E11" s="92">
        <v>2</v>
      </c>
      <c r="F11" s="92">
        <v>3</v>
      </c>
      <c r="G11" s="92">
        <v>0</v>
      </c>
      <c r="H11" s="92">
        <v>0</v>
      </c>
      <c r="I11" s="92"/>
      <c r="J11" s="93">
        <v>1499</v>
      </c>
      <c r="K11" s="93">
        <v>2549</v>
      </c>
      <c r="L11" s="93">
        <v>1700</v>
      </c>
      <c r="M11" s="93">
        <v>51</v>
      </c>
      <c r="N11" s="93">
        <v>59.45</v>
      </c>
      <c r="O11" s="93"/>
      <c r="P11" s="93"/>
      <c r="Q11" s="92">
        <v>0</v>
      </c>
      <c r="R11" s="92">
        <v>1</v>
      </c>
      <c r="S11" s="92">
        <v>3</v>
      </c>
      <c r="T11" s="92">
        <v>1</v>
      </c>
      <c r="U11" s="92">
        <v>2</v>
      </c>
      <c r="V11" s="92">
        <v>1</v>
      </c>
      <c r="W11" s="92">
        <v>0</v>
      </c>
      <c r="X11" s="92">
        <v>1</v>
      </c>
      <c r="Y11" s="92">
        <v>1</v>
      </c>
      <c r="Z11" s="92">
        <v>9</v>
      </c>
      <c r="AA11" s="92">
        <v>0</v>
      </c>
      <c r="AB11" s="92">
        <v>0</v>
      </c>
      <c r="AC11" s="92">
        <v>0</v>
      </c>
      <c r="AD11" s="92">
        <v>0</v>
      </c>
      <c r="AE11" s="92">
        <v>1</v>
      </c>
      <c r="AF11" s="92">
        <v>4</v>
      </c>
      <c r="AG11" s="92">
        <v>1</v>
      </c>
      <c r="AH11" s="92">
        <v>0</v>
      </c>
      <c r="AI11" s="92">
        <v>2</v>
      </c>
      <c r="AJ11" s="92">
        <v>0</v>
      </c>
      <c r="AK11" s="92">
        <v>1</v>
      </c>
      <c r="AL11" s="92">
        <v>1</v>
      </c>
      <c r="AM11" s="92">
        <v>0</v>
      </c>
      <c r="AN11" s="92">
        <v>0</v>
      </c>
      <c r="AO11" s="92">
        <v>1</v>
      </c>
      <c r="AP11" s="92">
        <v>2</v>
      </c>
      <c r="AQ11" s="92">
        <v>0</v>
      </c>
      <c r="AR11" s="92">
        <v>1</v>
      </c>
      <c r="AS11" s="92">
        <v>1</v>
      </c>
      <c r="AT11" s="92">
        <v>5</v>
      </c>
      <c r="AU11" s="92"/>
      <c r="AV11" s="92"/>
      <c r="AW11" s="92">
        <v>0</v>
      </c>
      <c r="AX11" s="92">
        <v>0</v>
      </c>
      <c r="AY11" s="92">
        <v>0</v>
      </c>
      <c r="AZ11" s="92">
        <v>0</v>
      </c>
      <c r="BA11" s="92">
        <v>0</v>
      </c>
      <c r="BB11" s="92">
        <v>0</v>
      </c>
      <c r="BC11" s="92">
        <v>0</v>
      </c>
      <c r="BD11" s="92">
        <v>0</v>
      </c>
      <c r="BE11" s="92">
        <v>1</v>
      </c>
      <c r="BF11" s="92">
        <v>0</v>
      </c>
      <c r="BG11" s="92">
        <v>0</v>
      </c>
      <c r="BH11" s="92">
        <v>0</v>
      </c>
      <c r="BI11" s="92">
        <v>0</v>
      </c>
      <c r="BJ11" s="92">
        <v>0</v>
      </c>
      <c r="BK11" s="92">
        <v>0</v>
      </c>
      <c r="BL11" s="92">
        <v>0</v>
      </c>
      <c r="BM11" s="92">
        <v>0</v>
      </c>
      <c r="BN11" s="92">
        <v>0</v>
      </c>
      <c r="BO11" s="92">
        <v>0</v>
      </c>
      <c r="BP11" s="92">
        <v>0</v>
      </c>
      <c r="BQ11" s="92">
        <v>0</v>
      </c>
      <c r="BR11" s="92">
        <v>0</v>
      </c>
      <c r="BS11" s="92">
        <v>0</v>
      </c>
      <c r="BT11" s="92">
        <v>0</v>
      </c>
      <c r="BU11" s="92">
        <v>0</v>
      </c>
      <c r="BV11" s="92">
        <v>0</v>
      </c>
      <c r="BW11" s="92">
        <v>0</v>
      </c>
      <c r="BX11" s="92">
        <v>0</v>
      </c>
      <c r="BY11" s="92">
        <v>3</v>
      </c>
      <c r="BZ11" s="92">
        <v>2</v>
      </c>
      <c r="CA11" s="92">
        <v>0</v>
      </c>
      <c r="CB11" s="92">
        <v>0</v>
      </c>
      <c r="CC11" s="92">
        <v>0</v>
      </c>
      <c r="CD11" s="92">
        <v>0</v>
      </c>
      <c r="CE11" s="92">
        <v>0</v>
      </c>
      <c r="CF11" s="92">
        <v>0</v>
      </c>
      <c r="CG11" s="92">
        <v>0</v>
      </c>
      <c r="CH11" s="92">
        <v>0</v>
      </c>
      <c r="CI11" s="92">
        <v>0</v>
      </c>
      <c r="CJ11" s="92">
        <v>0</v>
      </c>
      <c r="CK11" s="92">
        <v>0</v>
      </c>
      <c r="CL11" s="92">
        <v>0</v>
      </c>
      <c r="CM11" s="92">
        <v>0</v>
      </c>
      <c r="CN11" s="92">
        <v>0</v>
      </c>
      <c r="CO11" s="92">
        <v>0</v>
      </c>
      <c r="CP11" s="92">
        <v>0</v>
      </c>
      <c r="CQ11" s="92">
        <v>1</v>
      </c>
      <c r="CR11" s="92">
        <v>1</v>
      </c>
      <c r="CS11" s="92">
        <v>0</v>
      </c>
      <c r="CT11" s="92">
        <v>1</v>
      </c>
      <c r="CU11" s="92">
        <v>0</v>
      </c>
      <c r="CV11" s="92">
        <v>0</v>
      </c>
      <c r="CW11" s="92">
        <v>0</v>
      </c>
      <c r="CX11" s="92">
        <v>0</v>
      </c>
      <c r="CY11" s="92">
        <v>0</v>
      </c>
      <c r="CZ11" s="92">
        <v>1</v>
      </c>
      <c r="DA11" s="92">
        <v>0</v>
      </c>
      <c r="DB11" s="92">
        <v>0</v>
      </c>
      <c r="DC11" s="92">
        <v>0</v>
      </c>
      <c r="DD11" s="92">
        <v>0</v>
      </c>
      <c r="DE11" s="92">
        <v>0</v>
      </c>
      <c r="DF11" s="92">
        <v>0</v>
      </c>
      <c r="DG11" s="92">
        <v>1</v>
      </c>
      <c r="DH11" s="92">
        <v>0</v>
      </c>
      <c r="DI11" s="92">
        <v>0</v>
      </c>
      <c r="DJ11" s="92">
        <v>1</v>
      </c>
      <c r="DK11" s="92">
        <v>0</v>
      </c>
      <c r="DL11" s="92">
        <v>0</v>
      </c>
      <c r="DM11" s="92">
        <v>0</v>
      </c>
      <c r="DN11" s="92">
        <v>0</v>
      </c>
      <c r="DO11" s="92">
        <v>0</v>
      </c>
      <c r="DP11" s="92">
        <v>0</v>
      </c>
      <c r="DQ11" s="92">
        <v>0</v>
      </c>
      <c r="DR11" s="92">
        <v>1</v>
      </c>
      <c r="DS11" s="92">
        <v>0</v>
      </c>
      <c r="DT11" s="92">
        <v>0</v>
      </c>
      <c r="DU11" s="92">
        <v>0</v>
      </c>
      <c r="DV11" s="92">
        <v>0</v>
      </c>
      <c r="DW11" s="92">
        <v>0</v>
      </c>
      <c r="DX11" s="92">
        <v>0</v>
      </c>
      <c r="DY11" s="92">
        <v>0</v>
      </c>
      <c r="DZ11" s="92">
        <v>0</v>
      </c>
      <c r="EA11" s="92">
        <v>0</v>
      </c>
      <c r="EB11" s="92">
        <v>0</v>
      </c>
      <c r="EC11" s="92">
        <v>0</v>
      </c>
      <c r="ED11" s="92">
        <v>0</v>
      </c>
      <c r="EE11" s="92">
        <v>1</v>
      </c>
      <c r="EF11" s="92">
        <v>0</v>
      </c>
      <c r="EG11" s="92">
        <v>1</v>
      </c>
      <c r="EH11" s="92">
        <v>2</v>
      </c>
      <c r="EI11" s="92">
        <v>17</v>
      </c>
      <c r="EJ11" s="92">
        <v>0</v>
      </c>
      <c r="EK11" s="92">
        <v>8</v>
      </c>
      <c r="EL11" s="92">
        <v>9</v>
      </c>
      <c r="EM11" s="94"/>
      <c r="EN11" s="94"/>
      <c r="EO11" s="94"/>
      <c r="EP11" s="94"/>
      <c r="EQ11" s="92"/>
      <c r="ER11" s="92"/>
      <c r="ES11" s="92"/>
      <c r="ET11" s="92"/>
      <c r="EU11" s="92"/>
      <c r="EV11" s="92"/>
      <c r="EW11" s="92"/>
      <c r="EX11" s="92"/>
      <c r="EY11" s="92"/>
      <c r="EZ11" s="92"/>
      <c r="FA11" s="92"/>
      <c r="FB11" s="92"/>
    </row>
    <row r="12" spans="1:158" x14ac:dyDescent="0.15">
      <c r="A12">
        <v>11</v>
      </c>
      <c r="B12" s="95" t="s">
        <v>17</v>
      </c>
      <c r="C12">
        <v>1851</v>
      </c>
      <c r="D12" s="92">
        <v>56</v>
      </c>
      <c r="E12" s="92">
        <v>37</v>
      </c>
      <c r="F12" s="92">
        <v>97</v>
      </c>
      <c r="G12" s="92">
        <v>15</v>
      </c>
      <c r="H12" s="92">
        <v>15</v>
      </c>
      <c r="I12" s="92">
        <v>4189</v>
      </c>
      <c r="J12" s="93">
        <v>36350</v>
      </c>
      <c r="K12" s="93">
        <v>60685</v>
      </c>
      <c r="L12" s="93">
        <v>1669</v>
      </c>
      <c r="M12" s="93">
        <v>38</v>
      </c>
      <c r="N12" s="93">
        <v>53</v>
      </c>
      <c r="O12" s="93">
        <v>3322</v>
      </c>
      <c r="P12" s="93">
        <v>515</v>
      </c>
      <c r="Q12" s="92">
        <v>26</v>
      </c>
      <c r="R12" s="92">
        <v>55</v>
      </c>
      <c r="S12" s="92">
        <v>84</v>
      </c>
      <c r="T12" s="92">
        <v>98</v>
      </c>
      <c r="U12" s="92">
        <v>40</v>
      </c>
      <c r="V12" s="92">
        <v>58</v>
      </c>
      <c r="W12" s="92">
        <v>12</v>
      </c>
      <c r="X12" s="92">
        <v>35</v>
      </c>
      <c r="Y12" s="92">
        <v>28</v>
      </c>
      <c r="Z12" s="92">
        <v>174</v>
      </c>
      <c r="AA12" s="92">
        <v>12</v>
      </c>
      <c r="AB12" s="92">
        <v>81</v>
      </c>
      <c r="AC12" s="92">
        <v>68</v>
      </c>
      <c r="AD12" s="92">
        <v>32</v>
      </c>
      <c r="AE12" s="92">
        <v>71</v>
      </c>
      <c r="AF12" s="92">
        <v>76</v>
      </c>
      <c r="AG12" s="92">
        <v>79</v>
      </c>
      <c r="AH12" s="92">
        <v>33</v>
      </c>
      <c r="AI12" s="92">
        <v>47</v>
      </c>
      <c r="AJ12" s="92">
        <v>67</v>
      </c>
      <c r="AK12" s="92">
        <v>23</v>
      </c>
      <c r="AL12" s="92">
        <v>82</v>
      </c>
      <c r="AM12" s="92">
        <v>45</v>
      </c>
      <c r="AN12" s="92">
        <v>22</v>
      </c>
      <c r="AO12" s="92">
        <v>40</v>
      </c>
      <c r="AP12" s="92">
        <v>69</v>
      </c>
      <c r="AQ12" s="92">
        <v>19</v>
      </c>
      <c r="AR12" s="92">
        <v>36</v>
      </c>
      <c r="AS12" s="92">
        <v>84</v>
      </c>
      <c r="AT12" s="92">
        <v>114</v>
      </c>
      <c r="AU12" s="92"/>
      <c r="AV12" s="92"/>
      <c r="AW12" s="92">
        <v>2</v>
      </c>
      <c r="AX12" s="92">
        <v>10</v>
      </c>
      <c r="AY12" s="92">
        <v>10</v>
      </c>
      <c r="AZ12" s="92">
        <v>2</v>
      </c>
      <c r="BA12" s="92">
        <v>20</v>
      </c>
      <c r="BB12" s="92">
        <v>9</v>
      </c>
      <c r="BC12" s="92">
        <v>4</v>
      </c>
      <c r="BD12" s="92">
        <v>19</v>
      </c>
      <c r="BE12" s="92">
        <v>22</v>
      </c>
      <c r="BF12" s="92">
        <v>4</v>
      </c>
      <c r="BG12" s="92">
        <v>50</v>
      </c>
      <c r="BH12" s="92">
        <v>62</v>
      </c>
      <c r="BI12" s="92">
        <v>1</v>
      </c>
      <c r="BJ12" s="92">
        <v>10</v>
      </c>
      <c r="BK12" s="92">
        <v>0</v>
      </c>
      <c r="BL12" s="92">
        <v>4</v>
      </c>
      <c r="BM12" s="92">
        <v>24</v>
      </c>
      <c r="BN12" s="92">
        <v>0</v>
      </c>
      <c r="BO12" s="92">
        <v>0</v>
      </c>
      <c r="BP12" s="92">
        <v>2</v>
      </c>
      <c r="BQ12" s="92">
        <v>0</v>
      </c>
      <c r="BR12" s="92">
        <v>3</v>
      </c>
      <c r="BS12" s="92">
        <v>17</v>
      </c>
      <c r="BT12" s="92">
        <v>3</v>
      </c>
      <c r="BU12" s="92">
        <v>0</v>
      </c>
      <c r="BV12" s="92">
        <v>3</v>
      </c>
      <c r="BW12" s="92">
        <v>0</v>
      </c>
      <c r="BX12" s="92">
        <v>14</v>
      </c>
      <c r="BY12" s="92">
        <v>41</v>
      </c>
      <c r="BZ12" s="92">
        <v>34</v>
      </c>
      <c r="CA12" s="92">
        <v>0</v>
      </c>
      <c r="CB12" s="92">
        <v>8</v>
      </c>
      <c r="CC12" s="92">
        <v>0</v>
      </c>
      <c r="CD12" s="92">
        <v>0</v>
      </c>
      <c r="CE12" s="92">
        <v>35</v>
      </c>
      <c r="CF12" s="92">
        <v>6</v>
      </c>
      <c r="CG12" s="92">
        <v>1</v>
      </c>
      <c r="CH12" s="92">
        <v>47</v>
      </c>
      <c r="CI12" s="92">
        <v>17</v>
      </c>
      <c r="CJ12" s="92">
        <v>0</v>
      </c>
      <c r="CK12" s="92">
        <v>8</v>
      </c>
      <c r="CL12" s="92">
        <v>5</v>
      </c>
      <c r="CM12" s="92">
        <v>1</v>
      </c>
      <c r="CN12" s="92">
        <v>13</v>
      </c>
      <c r="CO12" s="92">
        <v>10</v>
      </c>
      <c r="CP12" s="92">
        <v>0</v>
      </c>
      <c r="CQ12" s="92">
        <v>26</v>
      </c>
      <c r="CR12" s="92">
        <v>13</v>
      </c>
      <c r="CS12" s="92">
        <v>0</v>
      </c>
      <c r="CT12" s="92">
        <v>25</v>
      </c>
      <c r="CU12" s="92">
        <v>22</v>
      </c>
      <c r="CV12" s="92">
        <v>0</v>
      </c>
      <c r="CW12" s="92">
        <v>17</v>
      </c>
      <c r="CX12" s="92">
        <v>0</v>
      </c>
      <c r="CY12" s="92">
        <v>1</v>
      </c>
      <c r="CZ12" s="92">
        <v>26</v>
      </c>
      <c r="DA12" s="92">
        <v>15</v>
      </c>
      <c r="DB12" s="92">
        <v>0</v>
      </c>
      <c r="DC12" s="92">
        <v>26</v>
      </c>
      <c r="DD12" s="92">
        <v>16</v>
      </c>
      <c r="DE12" s="92">
        <v>0</v>
      </c>
      <c r="DF12" s="92">
        <v>7</v>
      </c>
      <c r="DG12" s="92">
        <v>5</v>
      </c>
      <c r="DH12" s="92">
        <v>4</v>
      </c>
      <c r="DI12" s="92">
        <v>35</v>
      </c>
      <c r="DJ12" s="92">
        <v>42</v>
      </c>
      <c r="DK12" s="92">
        <v>6</v>
      </c>
      <c r="DL12" s="92">
        <v>31</v>
      </c>
      <c r="DM12" s="92">
        <v>7</v>
      </c>
      <c r="DN12" s="92">
        <v>1</v>
      </c>
      <c r="DO12" s="92">
        <v>8</v>
      </c>
      <c r="DP12" s="92">
        <v>2</v>
      </c>
      <c r="DQ12" s="92">
        <v>1</v>
      </c>
      <c r="DR12" s="92">
        <v>6</v>
      </c>
      <c r="DS12" s="92">
        <v>6</v>
      </c>
      <c r="DT12" s="92">
        <v>4</v>
      </c>
      <c r="DU12" s="92">
        <v>22</v>
      </c>
      <c r="DV12" s="92">
        <v>14</v>
      </c>
      <c r="DW12" s="92">
        <v>0</v>
      </c>
      <c r="DX12" s="92">
        <v>10</v>
      </c>
      <c r="DY12" s="92">
        <v>19</v>
      </c>
      <c r="DZ12" s="92">
        <v>0</v>
      </c>
      <c r="EA12" s="92">
        <v>12</v>
      </c>
      <c r="EB12" s="92">
        <v>3</v>
      </c>
      <c r="EC12" s="92">
        <v>2</v>
      </c>
      <c r="ED12" s="92">
        <v>33</v>
      </c>
      <c r="EE12" s="92">
        <v>15</v>
      </c>
      <c r="EF12" s="92">
        <v>1</v>
      </c>
      <c r="EG12" s="92">
        <v>28</v>
      </c>
      <c r="EH12" s="92">
        <v>13</v>
      </c>
      <c r="EI12" s="92">
        <v>1045</v>
      </c>
      <c r="EJ12" s="92">
        <v>56</v>
      </c>
      <c r="EK12" s="92">
        <v>619</v>
      </c>
      <c r="EL12" s="92">
        <v>370</v>
      </c>
      <c r="EM12" s="94">
        <v>2</v>
      </c>
      <c r="EN12" s="94"/>
      <c r="EO12" s="94">
        <v>31</v>
      </c>
      <c r="EP12" s="94">
        <v>21</v>
      </c>
      <c r="EQ12" s="92"/>
      <c r="ER12" s="92"/>
      <c r="ES12" s="92"/>
      <c r="ET12" s="92"/>
      <c r="EU12" s="92"/>
      <c r="EV12" s="92"/>
      <c r="EW12" s="92"/>
      <c r="EX12" s="92"/>
      <c r="EY12" s="92"/>
      <c r="EZ12" s="92"/>
      <c r="FA12" s="92"/>
      <c r="FB12" s="92"/>
    </row>
    <row r="13" spans="1:158" hidden="1" x14ac:dyDescent="0.15">
      <c r="A13">
        <v>12</v>
      </c>
      <c r="B13" t="s">
        <v>672</v>
      </c>
      <c r="C13">
        <v>1851</v>
      </c>
      <c r="D13" s="92">
        <v>0</v>
      </c>
      <c r="E13" s="92">
        <v>2</v>
      </c>
      <c r="F13" s="92">
        <v>0</v>
      </c>
      <c r="G13" s="92"/>
      <c r="H13" s="92"/>
      <c r="I13" s="92"/>
      <c r="J13" s="93" t="s">
        <v>671</v>
      </c>
      <c r="K13" s="93"/>
      <c r="L13" s="93"/>
      <c r="M13" s="93"/>
      <c r="N13" s="93"/>
      <c r="O13" s="93" t="s">
        <v>671</v>
      </c>
      <c r="P13" s="93"/>
      <c r="Q13" s="92">
        <v>0</v>
      </c>
      <c r="R13" s="92">
        <v>2</v>
      </c>
      <c r="S13" s="92">
        <v>1</v>
      </c>
      <c r="T13" s="92">
        <v>1</v>
      </c>
      <c r="U13" s="92">
        <v>0</v>
      </c>
      <c r="V13" s="92">
        <v>1</v>
      </c>
      <c r="W13" s="92">
        <v>0</v>
      </c>
      <c r="X13" s="92">
        <v>1</v>
      </c>
      <c r="Y13" s="92">
        <v>0</v>
      </c>
      <c r="Z13" s="92">
        <v>3</v>
      </c>
      <c r="AA13" s="92">
        <v>1</v>
      </c>
      <c r="AB13" s="92">
        <v>0</v>
      </c>
      <c r="AC13" s="92">
        <v>0</v>
      </c>
      <c r="AD13" s="92">
        <v>0</v>
      </c>
      <c r="AE13" s="92">
        <v>0</v>
      </c>
      <c r="AF13" s="92">
        <v>3</v>
      </c>
      <c r="AG13" s="92">
        <v>4</v>
      </c>
      <c r="AH13" s="92">
        <v>0</v>
      </c>
      <c r="AI13" s="92">
        <v>1</v>
      </c>
      <c r="AJ13" s="92">
        <v>0</v>
      </c>
      <c r="AK13" s="92">
        <v>0</v>
      </c>
      <c r="AL13" s="92">
        <v>4</v>
      </c>
      <c r="AM13" s="92">
        <v>1</v>
      </c>
      <c r="AN13" s="92">
        <v>2</v>
      </c>
      <c r="AO13" s="92">
        <v>0</v>
      </c>
      <c r="AP13" s="92">
        <v>0</v>
      </c>
      <c r="AQ13" s="92">
        <v>0</v>
      </c>
      <c r="AR13" s="92">
        <v>1</v>
      </c>
      <c r="AS13" s="92">
        <v>4</v>
      </c>
      <c r="AT13" s="92">
        <v>3</v>
      </c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4"/>
      <c r="EN13" s="94"/>
      <c r="EO13" s="94"/>
      <c r="EP13" s="94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</row>
    <row r="14" spans="1:158" hidden="1" x14ac:dyDescent="0.15">
      <c r="A14">
        <v>13</v>
      </c>
      <c r="B14" t="s">
        <v>673</v>
      </c>
      <c r="C14">
        <v>1851</v>
      </c>
      <c r="D14" s="92"/>
      <c r="E14" s="92"/>
      <c r="F14" s="92"/>
      <c r="G14" s="92">
        <v>0</v>
      </c>
      <c r="H14" s="92">
        <v>0</v>
      </c>
      <c r="I14" s="92" t="s">
        <v>671</v>
      </c>
      <c r="J14" s="93">
        <v>987</v>
      </c>
      <c r="K14" s="93" t="s">
        <v>671</v>
      </c>
      <c r="L14" s="93"/>
      <c r="M14" s="93"/>
      <c r="O14" s="93"/>
      <c r="P14" s="93"/>
      <c r="Q14" s="92">
        <v>8</v>
      </c>
      <c r="R14" s="92">
        <v>2</v>
      </c>
      <c r="S14" s="92">
        <v>9</v>
      </c>
      <c r="T14" s="92">
        <v>9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2">
        <v>0</v>
      </c>
      <c r="AB14" s="92">
        <v>0</v>
      </c>
      <c r="AC14" s="92">
        <v>3</v>
      </c>
      <c r="AD14" s="92">
        <v>0</v>
      </c>
      <c r="AE14" s="92">
        <v>0</v>
      </c>
      <c r="AF14" s="92">
        <v>1</v>
      </c>
      <c r="AG14" s="92">
        <v>0</v>
      </c>
      <c r="AH14" s="92">
        <v>0</v>
      </c>
      <c r="AI14" s="92">
        <v>0</v>
      </c>
      <c r="AJ14" s="92">
        <v>1</v>
      </c>
      <c r="AK14" s="92">
        <v>0</v>
      </c>
      <c r="AL14" s="92">
        <v>0</v>
      </c>
      <c r="AM14" s="92">
        <v>0</v>
      </c>
      <c r="AN14" s="92">
        <v>0</v>
      </c>
      <c r="AO14" s="92">
        <v>0</v>
      </c>
      <c r="AP14" s="92">
        <v>0</v>
      </c>
      <c r="AQ14" s="92">
        <v>0</v>
      </c>
      <c r="AR14" s="92">
        <v>0</v>
      </c>
      <c r="AS14" s="92">
        <v>0</v>
      </c>
      <c r="AT14" s="92">
        <v>3</v>
      </c>
      <c r="AU14" s="92"/>
      <c r="AV14" s="92"/>
      <c r="AW14" s="92">
        <v>0</v>
      </c>
      <c r="AX14" s="92">
        <v>0</v>
      </c>
      <c r="AY14" s="92">
        <v>1</v>
      </c>
      <c r="AZ14" s="92">
        <v>0</v>
      </c>
      <c r="BA14" s="92">
        <v>0</v>
      </c>
      <c r="BB14" s="92">
        <v>0</v>
      </c>
      <c r="BC14" s="92">
        <v>0</v>
      </c>
      <c r="BD14" s="92">
        <v>0</v>
      </c>
      <c r="BE14" s="92">
        <v>2</v>
      </c>
      <c r="BF14" s="92">
        <v>0</v>
      </c>
      <c r="BG14" s="92">
        <v>0</v>
      </c>
      <c r="BH14" s="92">
        <v>1</v>
      </c>
      <c r="BI14" s="92">
        <v>0</v>
      </c>
      <c r="BJ14" s="92">
        <v>0</v>
      </c>
      <c r="BK14" s="92">
        <v>0</v>
      </c>
      <c r="BL14" s="92">
        <v>0</v>
      </c>
      <c r="BM14" s="92">
        <v>0</v>
      </c>
      <c r="BN14" s="92">
        <v>0</v>
      </c>
      <c r="BO14" s="92">
        <v>0</v>
      </c>
      <c r="BP14" s="92">
        <v>0</v>
      </c>
      <c r="BQ14" s="92">
        <v>0</v>
      </c>
      <c r="BR14" s="92">
        <v>0</v>
      </c>
      <c r="BS14" s="92">
        <v>0</v>
      </c>
      <c r="BT14" s="92">
        <v>0</v>
      </c>
      <c r="BU14" s="92">
        <v>0</v>
      </c>
      <c r="BV14" s="92">
        <v>0</v>
      </c>
      <c r="BW14" s="92">
        <v>0</v>
      </c>
      <c r="BX14" s="92">
        <v>0</v>
      </c>
      <c r="BY14" s="92">
        <v>0</v>
      </c>
      <c r="BZ14" s="92">
        <v>0</v>
      </c>
      <c r="CA14" s="92">
        <v>0</v>
      </c>
      <c r="CB14" s="92">
        <v>0</v>
      </c>
      <c r="CC14" s="92">
        <v>0</v>
      </c>
      <c r="CD14" s="92">
        <v>0</v>
      </c>
      <c r="CE14" s="92">
        <v>0</v>
      </c>
      <c r="CF14" s="92">
        <v>0</v>
      </c>
      <c r="CG14" s="92">
        <v>0</v>
      </c>
      <c r="CH14" s="92">
        <v>0</v>
      </c>
      <c r="CI14" s="92">
        <v>0</v>
      </c>
      <c r="CJ14" s="92">
        <v>0</v>
      </c>
      <c r="CK14" s="92">
        <v>0</v>
      </c>
      <c r="CL14" s="92">
        <v>0</v>
      </c>
      <c r="CM14" s="92">
        <v>0</v>
      </c>
      <c r="CN14" s="92">
        <v>0</v>
      </c>
      <c r="CO14" s="92">
        <v>0</v>
      </c>
      <c r="CP14" s="92">
        <v>0</v>
      </c>
      <c r="CQ14" s="92">
        <v>0</v>
      </c>
      <c r="CR14" s="92">
        <v>0</v>
      </c>
      <c r="CS14" s="92">
        <v>0</v>
      </c>
      <c r="CT14" s="92">
        <v>0</v>
      </c>
      <c r="CU14" s="92">
        <v>0</v>
      </c>
      <c r="CV14" s="92">
        <v>0</v>
      </c>
      <c r="CW14" s="92">
        <v>0</v>
      </c>
      <c r="CX14" s="92">
        <v>0</v>
      </c>
      <c r="CY14" s="92">
        <v>0</v>
      </c>
      <c r="CZ14" s="92">
        <v>0</v>
      </c>
      <c r="DA14" s="92">
        <v>1</v>
      </c>
      <c r="DB14" s="92">
        <v>0</v>
      </c>
      <c r="DC14" s="92">
        <v>0</v>
      </c>
      <c r="DD14" s="92">
        <v>0</v>
      </c>
      <c r="DE14" s="92">
        <v>0</v>
      </c>
      <c r="DF14" s="92">
        <v>0</v>
      </c>
      <c r="DG14" s="92">
        <v>0</v>
      </c>
      <c r="DH14" s="92">
        <v>0</v>
      </c>
      <c r="DI14" s="92">
        <v>0</v>
      </c>
      <c r="DJ14" s="92">
        <v>0</v>
      </c>
      <c r="DK14" s="92">
        <v>0</v>
      </c>
      <c r="DL14" s="92">
        <v>0</v>
      </c>
      <c r="DM14" s="92">
        <v>0</v>
      </c>
      <c r="DN14" s="92">
        <v>0</v>
      </c>
      <c r="DO14" s="92">
        <v>0</v>
      </c>
      <c r="DP14" s="92">
        <v>0</v>
      </c>
      <c r="DQ14" s="92">
        <v>0</v>
      </c>
      <c r="DR14" s="92">
        <v>0</v>
      </c>
      <c r="DS14" s="92">
        <v>0</v>
      </c>
      <c r="DT14" s="92">
        <v>0</v>
      </c>
      <c r="DU14" s="92">
        <v>0</v>
      </c>
      <c r="DV14" s="92">
        <v>0</v>
      </c>
      <c r="DW14" s="92">
        <v>0</v>
      </c>
      <c r="DX14" s="92">
        <v>0</v>
      </c>
      <c r="DY14" s="92">
        <v>1</v>
      </c>
      <c r="DZ14" s="92">
        <v>0</v>
      </c>
      <c r="EA14" s="92">
        <v>0</v>
      </c>
      <c r="EB14" s="92">
        <v>0</v>
      </c>
      <c r="EC14" s="92">
        <v>0</v>
      </c>
      <c r="ED14" s="92">
        <v>0</v>
      </c>
      <c r="EE14" s="92">
        <v>0</v>
      </c>
      <c r="EF14" s="92">
        <v>0</v>
      </c>
      <c r="EG14" s="92">
        <v>0</v>
      </c>
      <c r="EH14" s="92">
        <v>0</v>
      </c>
      <c r="EI14" s="92">
        <v>6</v>
      </c>
      <c r="EJ14" s="92">
        <v>0</v>
      </c>
      <c r="EK14" s="92">
        <v>0</v>
      </c>
      <c r="EL14" s="92">
        <v>6</v>
      </c>
      <c r="EM14" s="94"/>
      <c r="EN14" s="94"/>
      <c r="EO14" s="94"/>
      <c r="EP14" s="94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</row>
    <row r="15" spans="1:158" hidden="1" x14ac:dyDescent="0.15">
      <c r="A15">
        <v>14</v>
      </c>
      <c r="B15" t="s">
        <v>674</v>
      </c>
      <c r="C15">
        <v>1851</v>
      </c>
      <c r="D15" s="92"/>
      <c r="E15" s="92"/>
      <c r="F15" s="92"/>
      <c r="G15" s="92"/>
      <c r="H15" s="92"/>
      <c r="I15" s="92"/>
      <c r="J15" s="93" t="s">
        <v>671</v>
      </c>
      <c r="K15" s="93"/>
      <c r="L15" s="93"/>
      <c r="M15" s="93"/>
      <c r="N15" s="93"/>
      <c r="O15" s="93"/>
      <c r="P15" s="93"/>
      <c r="Q15" s="92">
        <v>4</v>
      </c>
      <c r="R15" s="92">
        <v>0</v>
      </c>
      <c r="S15" s="92">
        <v>6</v>
      </c>
      <c r="T15" s="92">
        <v>2</v>
      </c>
      <c r="U15" s="92">
        <v>0</v>
      </c>
      <c r="V15" s="92">
        <v>4</v>
      </c>
      <c r="W15" s="92">
        <v>0</v>
      </c>
      <c r="X15" s="92">
        <v>4</v>
      </c>
      <c r="Y15" s="92">
        <v>0</v>
      </c>
      <c r="Z15" s="92">
        <v>8</v>
      </c>
      <c r="AA15" s="92">
        <v>1</v>
      </c>
      <c r="AB15" s="92">
        <v>0</v>
      </c>
      <c r="AC15" s="92">
        <v>1</v>
      </c>
      <c r="AD15" s="92">
        <v>4</v>
      </c>
      <c r="AE15" s="92">
        <v>0</v>
      </c>
      <c r="AF15" s="92">
        <v>6</v>
      </c>
      <c r="AG15" s="92">
        <v>2</v>
      </c>
      <c r="AH15" s="92">
        <v>3</v>
      </c>
      <c r="AI15" s="92">
        <v>8</v>
      </c>
      <c r="AJ15" s="92">
        <v>9</v>
      </c>
      <c r="AK15" s="92">
        <v>3</v>
      </c>
      <c r="AL15" s="92">
        <v>14</v>
      </c>
      <c r="AM15" s="92">
        <v>2</v>
      </c>
      <c r="AN15" s="92">
        <v>3</v>
      </c>
      <c r="AO15" s="92">
        <v>0</v>
      </c>
      <c r="AP15" s="92">
        <v>25</v>
      </c>
      <c r="AQ15" s="92">
        <v>1</v>
      </c>
      <c r="AR15" s="92">
        <v>6</v>
      </c>
      <c r="AS15" s="92">
        <v>10</v>
      </c>
      <c r="AT15" s="92">
        <v>8</v>
      </c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/>
      <c r="BR15" s="92"/>
      <c r="BS15" s="92"/>
      <c r="BT15" s="92"/>
      <c r="BU15" s="92"/>
      <c r="BV15" s="92"/>
      <c r="BW15" s="92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4"/>
      <c r="EN15" s="94"/>
      <c r="EO15" s="94"/>
      <c r="EP15" s="94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</row>
    <row r="16" spans="1:158" hidden="1" x14ac:dyDescent="0.15">
      <c r="A16">
        <v>15</v>
      </c>
      <c r="B16" t="s">
        <v>675</v>
      </c>
      <c r="C16">
        <v>1851</v>
      </c>
      <c r="D16" s="92"/>
      <c r="E16" s="92"/>
      <c r="F16" s="92"/>
      <c r="G16" s="92"/>
      <c r="H16" s="92"/>
      <c r="I16" s="92"/>
      <c r="J16" s="93">
        <v>854</v>
      </c>
      <c r="K16" s="93"/>
      <c r="L16" s="93"/>
      <c r="M16" s="93"/>
      <c r="N16" s="93"/>
      <c r="O16" s="93"/>
      <c r="P16" s="93"/>
      <c r="Q16" s="92">
        <v>4</v>
      </c>
      <c r="R16" s="92">
        <v>3</v>
      </c>
      <c r="S16" s="92">
        <v>8</v>
      </c>
      <c r="T16" s="92">
        <v>1</v>
      </c>
      <c r="U16" s="92">
        <v>0</v>
      </c>
      <c r="V16" s="92">
        <v>0</v>
      </c>
      <c r="W16" s="92">
        <v>1</v>
      </c>
      <c r="X16" s="92">
        <v>2</v>
      </c>
      <c r="Y16" s="92">
        <v>0</v>
      </c>
      <c r="Z16" s="92">
        <v>8</v>
      </c>
      <c r="AA16" s="92">
        <v>0</v>
      </c>
      <c r="AB16" s="92">
        <v>2</v>
      </c>
      <c r="AC16" s="92">
        <v>0</v>
      </c>
      <c r="AD16" s="92">
        <v>2</v>
      </c>
      <c r="AE16" s="92">
        <v>0</v>
      </c>
      <c r="AF16" s="92">
        <v>8</v>
      </c>
      <c r="AG16" s="92">
        <v>9</v>
      </c>
      <c r="AH16" s="92">
        <v>0</v>
      </c>
      <c r="AI16" s="92">
        <v>3</v>
      </c>
      <c r="AJ16" s="92">
        <v>3</v>
      </c>
      <c r="AK16" s="92">
        <v>0</v>
      </c>
      <c r="AL16" s="92">
        <v>2</v>
      </c>
      <c r="AM16" s="92">
        <v>2</v>
      </c>
      <c r="AN16" s="92">
        <v>0</v>
      </c>
      <c r="AO16" s="92">
        <v>0</v>
      </c>
      <c r="AP16" s="92">
        <v>4</v>
      </c>
      <c r="AQ16" s="92">
        <v>0</v>
      </c>
      <c r="AR16" s="92">
        <v>3</v>
      </c>
      <c r="AS16" s="92">
        <v>14</v>
      </c>
      <c r="AT16" s="92">
        <v>1</v>
      </c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DZ16" s="92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4"/>
      <c r="EN16" s="94"/>
      <c r="EO16" s="94"/>
      <c r="EP16" s="94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</row>
    <row r="17" spans="1:158" hidden="1" x14ac:dyDescent="0.15">
      <c r="A17">
        <v>16</v>
      </c>
      <c r="B17" t="s">
        <v>676</v>
      </c>
      <c r="C17">
        <v>1851</v>
      </c>
      <c r="D17" s="92"/>
      <c r="E17" s="92"/>
      <c r="F17" s="92"/>
      <c r="G17" s="92"/>
      <c r="H17" s="92"/>
      <c r="I17" s="92"/>
      <c r="J17" s="93" t="s">
        <v>671</v>
      </c>
      <c r="K17" s="93"/>
      <c r="L17" s="93"/>
      <c r="M17" s="93"/>
      <c r="N17" s="93"/>
      <c r="O17" s="93"/>
      <c r="P17" s="93"/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>
        <v>0</v>
      </c>
      <c r="AB17" s="92">
        <v>1</v>
      </c>
      <c r="AC17" s="92">
        <v>0</v>
      </c>
      <c r="AD17" s="92">
        <v>0</v>
      </c>
      <c r="AE17" s="92">
        <v>0</v>
      </c>
      <c r="AF17" s="92">
        <v>1</v>
      </c>
      <c r="AG17" s="92">
        <v>0</v>
      </c>
      <c r="AH17" s="92">
        <v>0</v>
      </c>
      <c r="AI17" s="92">
        <v>0</v>
      </c>
      <c r="AJ17" s="92">
        <v>1</v>
      </c>
      <c r="AK17" s="92">
        <v>0</v>
      </c>
      <c r="AL17" s="92">
        <v>1</v>
      </c>
      <c r="AM17" s="92">
        <v>0</v>
      </c>
      <c r="AN17" s="92">
        <v>0</v>
      </c>
      <c r="AO17" s="92">
        <v>0</v>
      </c>
      <c r="AP17" s="92">
        <v>1</v>
      </c>
      <c r="AQ17" s="92">
        <v>1</v>
      </c>
      <c r="AR17" s="92">
        <v>0</v>
      </c>
      <c r="AS17" s="92">
        <v>0</v>
      </c>
      <c r="AT17" s="92">
        <v>0</v>
      </c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2"/>
      <c r="EH17" s="92"/>
      <c r="EI17" s="92"/>
      <c r="EJ17" s="92"/>
      <c r="EK17" s="92"/>
      <c r="EL17" s="92"/>
      <c r="EM17" s="94"/>
      <c r="EN17" s="94"/>
      <c r="EO17" s="94"/>
      <c r="EP17" s="94"/>
      <c r="EQ17" s="92"/>
      <c r="ER17" s="92"/>
      <c r="ES17" s="92"/>
      <c r="ET17" s="92"/>
      <c r="EU17" s="92"/>
      <c r="EV17" s="92"/>
      <c r="EW17" s="92"/>
      <c r="EX17" s="92"/>
      <c r="EY17" s="92"/>
      <c r="EZ17" s="92"/>
      <c r="FA17" s="92"/>
      <c r="FB17" s="92"/>
    </row>
    <row r="18" spans="1:158" hidden="1" x14ac:dyDescent="0.15">
      <c r="A18">
        <v>17</v>
      </c>
      <c r="B18" t="s">
        <v>677</v>
      </c>
      <c r="C18">
        <v>1851</v>
      </c>
      <c r="D18" s="92"/>
      <c r="E18" s="92"/>
      <c r="F18" s="92"/>
      <c r="G18" s="92"/>
      <c r="H18" s="92"/>
      <c r="I18" s="92"/>
      <c r="J18" s="93" t="s">
        <v>671</v>
      </c>
      <c r="K18" s="93"/>
      <c r="L18" s="93"/>
      <c r="M18" s="93"/>
      <c r="N18" s="93"/>
      <c r="O18" s="93"/>
      <c r="P18" s="93"/>
      <c r="Q18" s="92">
        <v>5</v>
      </c>
      <c r="R18" s="92">
        <v>1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1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v>0</v>
      </c>
      <c r="AH18" s="92">
        <v>0</v>
      </c>
      <c r="AI18" s="92">
        <v>0</v>
      </c>
      <c r="AJ18" s="92">
        <v>0</v>
      </c>
      <c r="AK18" s="92">
        <v>0</v>
      </c>
      <c r="AL18" s="92">
        <v>0</v>
      </c>
      <c r="AM18" s="92">
        <v>0</v>
      </c>
      <c r="AN18" s="92">
        <v>0</v>
      </c>
      <c r="AO18" s="92">
        <v>0</v>
      </c>
      <c r="AP18" s="92">
        <v>0</v>
      </c>
      <c r="AQ18" s="92">
        <v>3</v>
      </c>
      <c r="AR18" s="92">
        <v>0</v>
      </c>
      <c r="AS18" s="92">
        <v>3</v>
      </c>
      <c r="AT18" s="92">
        <v>0</v>
      </c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2"/>
      <c r="EA18" s="92"/>
      <c r="EB18" s="92"/>
      <c r="EC18" s="92"/>
      <c r="ED18" s="92"/>
      <c r="EE18" s="92"/>
      <c r="EF18" s="92"/>
      <c r="EG18" s="92"/>
      <c r="EH18" s="92"/>
      <c r="EI18" s="92"/>
      <c r="EJ18" s="92"/>
      <c r="EK18" s="92"/>
      <c r="EL18" s="92"/>
      <c r="EM18" s="94"/>
      <c r="EN18" s="94"/>
      <c r="EO18" s="94"/>
      <c r="EP18" s="94"/>
      <c r="EQ18" s="92"/>
      <c r="ER18" s="92"/>
      <c r="ES18" s="92"/>
      <c r="ET18" s="92"/>
      <c r="EU18" s="92"/>
      <c r="EV18" s="92"/>
      <c r="EW18" s="92"/>
      <c r="EX18" s="92"/>
      <c r="EY18" s="92"/>
      <c r="EZ18" s="92"/>
      <c r="FA18" s="92"/>
      <c r="FB18" s="92"/>
    </row>
    <row r="19" spans="1:158" x14ac:dyDescent="0.15">
      <c r="A19">
        <v>18</v>
      </c>
      <c r="B19" s="95" t="s">
        <v>33</v>
      </c>
      <c r="C19">
        <v>1851</v>
      </c>
      <c r="D19" s="92">
        <v>1</v>
      </c>
      <c r="E19" s="92">
        <v>1</v>
      </c>
      <c r="F19" s="92">
        <v>3</v>
      </c>
      <c r="G19" s="92">
        <v>15</v>
      </c>
      <c r="H19" s="92">
        <v>15</v>
      </c>
      <c r="I19" s="92"/>
      <c r="J19" s="93">
        <v>3095</v>
      </c>
      <c r="K19" s="93">
        <v>5844</v>
      </c>
      <c r="L19" s="93">
        <v>1888</v>
      </c>
      <c r="M19" s="93"/>
      <c r="N19" s="93">
        <v>44.67</v>
      </c>
      <c r="O19" s="93">
        <v>369</v>
      </c>
      <c r="P19" s="93">
        <v>541</v>
      </c>
      <c r="Q19" s="92">
        <v>1</v>
      </c>
      <c r="R19" s="92">
        <v>6</v>
      </c>
      <c r="S19" s="92">
        <v>12</v>
      </c>
      <c r="T19" s="92">
        <v>7</v>
      </c>
      <c r="U19" s="92">
        <v>5</v>
      </c>
      <c r="V19" s="92">
        <v>2</v>
      </c>
      <c r="W19" s="92">
        <v>1</v>
      </c>
      <c r="X19" s="92">
        <v>2</v>
      </c>
      <c r="Y19" s="92">
        <v>3</v>
      </c>
      <c r="Z19" s="92">
        <v>9</v>
      </c>
      <c r="AA19" s="92">
        <v>0</v>
      </c>
      <c r="AB19" s="92">
        <v>6</v>
      </c>
      <c r="AC19" s="92">
        <v>2</v>
      </c>
      <c r="AD19" s="92">
        <v>8</v>
      </c>
      <c r="AE19" s="92">
        <v>0</v>
      </c>
      <c r="AF19" s="92">
        <v>11</v>
      </c>
      <c r="AG19" s="92">
        <v>8</v>
      </c>
      <c r="AH19" s="92">
        <v>2</v>
      </c>
      <c r="AI19" s="92">
        <v>4</v>
      </c>
      <c r="AJ19" s="92">
        <v>0</v>
      </c>
      <c r="AK19" s="92">
        <v>0</v>
      </c>
      <c r="AL19" s="92">
        <v>7</v>
      </c>
      <c r="AM19" s="92">
        <v>6</v>
      </c>
      <c r="AN19" s="92">
        <v>0</v>
      </c>
      <c r="AO19" s="92">
        <v>0</v>
      </c>
      <c r="AP19" s="92">
        <v>1</v>
      </c>
      <c r="AQ19" s="92">
        <v>2</v>
      </c>
      <c r="AR19" s="92">
        <v>4</v>
      </c>
      <c r="AS19" s="92">
        <v>1</v>
      </c>
      <c r="AT19" s="92">
        <v>3</v>
      </c>
      <c r="AU19" s="92"/>
      <c r="AV19" s="92"/>
      <c r="AW19" s="92">
        <v>0</v>
      </c>
      <c r="AX19" s="92">
        <v>0</v>
      </c>
      <c r="AY19" s="92">
        <v>0</v>
      </c>
      <c r="AZ19" s="92">
        <v>0</v>
      </c>
      <c r="BA19" s="92">
        <v>1</v>
      </c>
      <c r="BB19" s="92">
        <v>2</v>
      </c>
      <c r="BC19" s="92">
        <v>0</v>
      </c>
      <c r="BD19" s="92">
        <v>0</v>
      </c>
      <c r="BE19" s="92">
        <v>1</v>
      </c>
      <c r="BF19" s="92">
        <v>0</v>
      </c>
      <c r="BG19" s="92">
        <v>2</v>
      </c>
      <c r="BH19" s="92">
        <v>5</v>
      </c>
      <c r="BI19" s="92">
        <v>0</v>
      </c>
      <c r="BJ19" s="92">
        <v>1</v>
      </c>
      <c r="BK19" s="92">
        <v>0</v>
      </c>
      <c r="BL19" s="92">
        <v>0</v>
      </c>
      <c r="BM19" s="92">
        <v>0</v>
      </c>
      <c r="BN19" s="92">
        <v>0</v>
      </c>
      <c r="BO19" s="92">
        <v>0</v>
      </c>
      <c r="BP19" s="92">
        <v>1</v>
      </c>
      <c r="BQ19" s="92">
        <v>0</v>
      </c>
      <c r="BR19" s="92">
        <v>0</v>
      </c>
      <c r="BS19" s="92">
        <v>0</v>
      </c>
      <c r="BT19" s="92">
        <v>0</v>
      </c>
      <c r="BU19" s="92">
        <v>0</v>
      </c>
      <c r="BV19" s="92">
        <v>1</v>
      </c>
      <c r="BW19" s="92">
        <v>0</v>
      </c>
      <c r="BX19" s="92">
        <v>1</v>
      </c>
      <c r="BY19" s="92">
        <v>0</v>
      </c>
      <c r="BZ19" s="92">
        <v>1</v>
      </c>
      <c r="CA19" s="92">
        <v>0</v>
      </c>
      <c r="CB19" s="92">
        <v>0</v>
      </c>
      <c r="CC19" s="92">
        <v>0</v>
      </c>
      <c r="CD19" s="92">
        <v>0</v>
      </c>
      <c r="CE19" s="92">
        <v>1</v>
      </c>
      <c r="CF19" s="92">
        <v>1</v>
      </c>
      <c r="CG19" s="92">
        <v>0</v>
      </c>
      <c r="CH19" s="92">
        <v>0</v>
      </c>
      <c r="CI19" s="92">
        <v>0</v>
      </c>
      <c r="CJ19" s="92">
        <v>0</v>
      </c>
      <c r="CK19" s="92">
        <v>0</v>
      </c>
      <c r="CL19" s="92">
        <v>2</v>
      </c>
      <c r="CM19" s="92">
        <v>0</v>
      </c>
      <c r="CN19" s="92">
        <v>0</v>
      </c>
      <c r="CO19" s="92">
        <v>0</v>
      </c>
      <c r="CP19" s="92">
        <v>0</v>
      </c>
      <c r="CQ19" s="92">
        <v>0</v>
      </c>
      <c r="CR19" s="92">
        <v>0</v>
      </c>
      <c r="CS19" s="92">
        <v>0</v>
      </c>
      <c r="CT19" s="92">
        <v>1</v>
      </c>
      <c r="CU19" s="92">
        <v>2</v>
      </c>
      <c r="CV19" s="92">
        <v>0</v>
      </c>
      <c r="CW19" s="92">
        <v>0</v>
      </c>
      <c r="CX19" s="92">
        <v>0</v>
      </c>
      <c r="CY19" s="92">
        <v>0</v>
      </c>
      <c r="CZ19" s="92">
        <v>1</v>
      </c>
      <c r="DA19" s="92">
        <v>0</v>
      </c>
      <c r="DB19" s="92">
        <v>0</v>
      </c>
      <c r="DC19" s="92">
        <v>0</v>
      </c>
      <c r="DD19" s="92">
        <v>0</v>
      </c>
      <c r="DE19" s="92">
        <v>0</v>
      </c>
      <c r="DF19" s="92">
        <v>0</v>
      </c>
      <c r="DG19" s="92">
        <v>0</v>
      </c>
      <c r="DH19" s="92">
        <v>0</v>
      </c>
      <c r="DI19" s="92">
        <v>3</v>
      </c>
      <c r="DJ19" s="92">
        <v>1</v>
      </c>
      <c r="DK19" s="92">
        <v>0</v>
      </c>
      <c r="DL19" s="92">
        <v>1</v>
      </c>
      <c r="DM19" s="92">
        <v>0</v>
      </c>
      <c r="DN19" s="92">
        <v>0</v>
      </c>
      <c r="DO19" s="92">
        <v>1</v>
      </c>
      <c r="DP19" s="92">
        <v>0</v>
      </c>
      <c r="DQ19" s="92">
        <v>0</v>
      </c>
      <c r="DR19" s="92">
        <v>0</v>
      </c>
      <c r="DS19" s="92">
        <v>0</v>
      </c>
      <c r="DT19" s="92">
        <v>0</v>
      </c>
      <c r="DU19" s="92">
        <v>1</v>
      </c>
      <c r="DV19" s="92">
        <v>0</v>
      </c>
      <c r="DW19" s="92">
        <v>0</v>
      </c>
      <c r="DX19" s="92">
        <v>0</v>
      </c>
      <c r="DY19" s="92">
        <v>0</v>
      </c>
      <c r="DZ19" s="92">
        <v>0</v>
      </c>
      <c r="EA19" s="92">
        <v>0</v>
      </c>
      <c r="EB19" s="92">
        <v>0</v>
      </c>
      <c r="EC19" s="92">
        <v>0</v>
      </c>
      <c r="ED19" s="92">
        <v>1</v>
      </c>
      <c r="EE19" s="92">
        <v>0</v>
      </c>
      <c r="EF19" s="92">
        <v>0</v>
      </c>
      <c r="EG19" s="92">
        <v>0</v>
      </c>
      <c r="EH19" s="92">
        <v>0</v>
      </c>
      <c r="EI19" s="92">
        <v>32</v>
      </c>
      <c r="EJ19" s="92">
        <v>1</v>
      </c>
      <c r="EK19" s="92">
        <v>16</v>
      </c>
      <c r="EL19" s="92">
        <v>15</v>
      </c>
      <c r="EM19" s="94">
        <v>3.5</v>
      </c>
      <c r="EN19" s="94"/>
      <c r="EO19" s="94"/>
      <c r="EP19" s="94"/>
      <c r="EQ19" s="92"/>
      <c r="ER19" s="92"/>
      <c r="ES19" s="92"/>
      <c r="ET19" s="92"/>
      <c r="EU19" s="92"/>
      <c r="EV19" s="92"/>
      <c r="EW19" s="92"/>
      <c r="EX19" s="92"/>
      <c r="EY19" s="92"/>
      <c r="EZ19" s="92"/>
      <c r="FA19" s="92"/>
      <c r="FB19" s="92"/>
    </row>
    <row r="20" spans="1:158" hidden="1" x14ac:dyDescent="0.15">
      <c r="A20">
        <v>19</v>
      </c>
      <c r="B20" t="s">
        <v>678</v>
      </c>
      <c r="C20">
        <v>1851</v>
      </c>
      <c r="D20" s="92"/>
      <c r="E20" s="92"/>
      <c r="F20" s="92"/>
      <c r="G20" s="92"/>
      <c r="H20" s="92"/>
      <c r="I20" s="92"/>
      <c r="J20" s="93"/>
      <c r="K20" s="93"/>
      <c r="L20" s="93"/>
      <c r="M20" s="93"/>
      <c r="N20" s="93"/>
      <c r="O20" s="93"/>
      <c r="P20" s="93"/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2">
        <v>0</v>
      </c>
      <c r="AE20" s="92">
        <v>0</v>
      </c>
      <c r="AF20" s="92">
        <v>0</v>
      </c>
      <c r="AG20" s="92">
        <v>0</v>
      </c>
      <c r="AH20" s="92">
        <v>0</v>
      </c>
      <c r="AI20" s="92">
        <v>0</v>
      </c>
      <c r="AJ20" s="92">
        <v>0</v>
      </c>
      <c r="AK20" s="92">
        <v>0</v>
      </c>
      <c r="AL20" s="92">
        <v>0</v>
      </c>
      <c r="AM20" s="92">
        <v>0</v>
      </c>
      <c r="AN20" s="92">
        <v>0</v>
      </c>
      <c r="AO20" s="92">
        <v>0</v>
      </c>
      <c r="AP20" s="92">
        <v>0</v>
      </c>
      <c r="AQ20" s="92">
        <v>0</v>
      </c>
      <c r="AR20" s="92">
        <v>0</v>
      </c>
      <c r="AS20" s="92">
        <v>12</v>
      </c>
      <c r="AT20" s="92">
        <v>0</v>
      </c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  <c r="DQ20" s="92"/>
      <c r="DR20" s="92"/>
      <c r="DS20" s="92"/>
      <c r="DT20" s="92"/>
      <c r="DU20" s="92"/>
      <c r="DV20" s="92"/>
      <c r="DW20" s="92"/>
      <c r="DX20" s="92"/>
      <c r="DY20" s="92"/>
      <c r="DZ20" s="92"/>
      <c r="EA20" s="92"/>
      <c r="EB20" s="92"/>
      <c r="EC20" s="92"/>
      <c r="ED20" s="92"/>
      <c r="EE20" s="92"/>
      <c r="EF20" s="92"/>
      <c r="EG20" s="92"/>
      <c r="EH20" s="92"/>
      <c r="EI20" s="92"/>
      <c r="EJ20" s="92"/>
      <c r="EK20" s="92"/>
      <c r="EL20" s="92"/>
      <c r="EM20" s="94"/>
      <c r="EN20" s="94"/>
      <c r="EO20" s="94"/>
      <c r="EP20" s="94"/>
      <c r="EQ20" s="92"/>
      <c r="ER20" s="92"/>
      <c r="ES20" s="92"/>
      <c r="ET20" s="92"/>
      <c r="EU20" s="92"/>
      <c r="EV20" s="92"/>
      <c r="EW20" s="92"/>
      <c r="EX20" s="92"/>
      <c r="EY20" s="92"/>
      <c r="EZ20" s="92"/>
      <c r="FA20" s="92"/>
      <c r="FB20" s="92"/>
    </row>
    <row r="21" spans="1:158" x14ac:dyDescent="0.15">
      <c r="A21">
        <v>21</v>
      </c>
      <c r="B21" s="95" t="s">
        <v>26</v>
      </c>
      <c r="C21">
        <v>1851</v>
      </c>
      <c r="D21" s="92">
        <v>8</v>
      </c>
      <c r="E21" s="92">
        <v>10</v>
      </c>
      <c r="F21" s="92">
        <v>13</v>
      </c>
      <c r="G21" s="92">
        <v>12</v>
      </c>
      <c r="H21" s="92">
        <v>12</v>
      </c>
      <c r="I21" s="92">
        <v>37</v>
      </c>
      <c r="J21" s="93">
        <v>16935</v>
      </c>
      <c r="K21" s="93">
        <v>24996.06</v>
      </c>
      <c r="L21" s="93"/>
      <c r="M21" s="93">
        <v>45</v>
      </c>
      <c r="N21" s="93"/>
      <c r="O21" s="93">
        <v>2525</v>
      </c>
      <c r="P21" s="93">
        <v>730</v>
      </c>
      <c r="Q21" s="92">
        <v>47</v>
      </c>
      <c r="R21" s="92">
        <v>18</v>
      </c>
      <c r="S21" s="92">
        <v>32</v>
      </c>
      <c r="T21" s="92">
        <v>43</v>
      </c>
      <c r="U21" s="92">
        <v>4</v>
      </c>
      <c r="V21" s="92">
        <v>12</v>
      </c>
      <c r="W21" s="92">
        <v>1</v>
      </c>
      <c r="X21" s="92">
        <v>21</v>
      </c>
      <c r="Y21" s="92">
        <v>4</v>
      </c>
      <c r="Z21" s="92">
        <v>47</v>
      </c>
      <c r="AA21" s="92">
        <v>6</v>
      </c>
      <c r="AB21" s="92">
        <v>86</v>
      </c>
      <c r="AC21" s="92">
        <v>40</v>
      </c>
      <c r="AD21" s="92">
        <v>41</v>
      </c>
      <c r="AE21" s="92">
        <v>56</v>
      </c>
      <c r="AF21" s="92">
        <v>42</v>
      </c>
      <c r="AG21" s="92">
        <v>28</v>
      </c>
      <c r="AH21" s="92">
        <v>18</v>
      </c>
      <c r="AI21" s="92">
        <v>23</v>
      </c>
      <c r="AJ21" s="92">
        <v>12</v>
      </c>
      <c r="AK21" s="92">
        <v>26</v>
      </c>
      <c r="AL21" s="92">
        <v>45</v>
      </c>
      <c r="AM21" s="92">
        <v>23</v>
      </c>
      <c r="AN21" s="92">
        <v>10</v>
      </c>
      <c r="AO21" s="92">
        <v>10</v>
      </c>
      <c r="AP21" s="92">
        <v>36</v>
      </c>
      <c r="AQ21" s="92">
        <v>11</v>
      </c>
      <c r="AR21" s="92">
        <v>16</v>
      </c>
      <c r="AS21" s="92">
        <v>57</v>
      </c>
      <c r="AT21" s="92">
        <v>57</v>
      </c>
      <c r="AU21" s="92"/>
      <c r="AV21" s="92"/>
      <c r="AW21" s="92">
        <v>2</v>
      </c>
      <c r="AX21" s="92">
        <v>11</v>
      </c>
      <c r="AY21" s="92">
        <v>10</v>
      </c>
      <c r="AZ21" s="92">
        <v>0</v>
      </c>
      <c r="BA21" s="92">
        <v>15</v>
      </c>
      <c r="BB21" s="92">
        <v>8</v>
      </c>
      <c r="BC21" s="92">
        <v>0</v>
      </c>
      <c r="BD21" s="92">
        <v>2</v>
      </c>
      <c r="BE21" s="92">
        <v>6</v>
      </c>
      <c r="BF21" s="92">
        <v>0</v>
      </c>
      <c r="BG21" s="92">
        <v>11</v>
      </c>
      <c r="BH21" s="92">
        <v>27</v>
      </c>
      <c r="BI21" s="92">
        <v>0</v>
      </c>
      <c r="BJ21" s="92">
        <v>1</v>
      </c>
      <c r="BK21" s="92">
        <v>0</v>
      </c>
      <c r="BL21" s="92">
        <v>2</v>
      </c>
      <c r="BM21" s="92">
        <v>4</v>
      </c>
      <c r="BN21" s="92">
        <v>0</v>
      </c>
      <c r="BO21" s="92">
        <v>0</v>
      </c>
      <c r="BP21" s="92">
        <v>0</v>
      </c>
      <c r="BQ21" s="92">
        <v>0</v>
      </c>
      <c r="BR21" s="92">
        <v>0</v>
      </c>
      <c r="BS21" s="92">
        <v>0</v>
      </c>
      <c r="BT21" s="92">
        <v>3</v>
      </c>
      <c r="BU21" s="92">
        <v>0</v>
      </c>
      <c r="BV21" s="92">
        <v>0</v>
      </c>
      <c r="BW21" s="92">
        <v>0</v>
      </c>
      <c r="BX21" s="92">
        <v>1</v>
      </c>
      <c r="BY21" s="92">
        <v>13</v>
      </c>
      <c r="BZ21" s="92">
        <v>11</v>
      </c>
      <c r="CA21" s="92">
        <v>0</v>
      </c>
      <c r="CB21" s="92">
        <v>2</v>
      </c>
      <c r="CC21" s="92">
        <v>0</v>
      </c>
      <c r="CD21" s="92">
        <v>0</v>
      </c>
      <c r="CE21" s="92">
        <v>19</v>
      </c>
      <c r="CF21" s="92">
        <v>0</v>
      </c>
      <c r="CG21" s="92">
        <v>0</v>
      </c>
      <c r="CH21" s="92">
        <v>7</v>
      </c>
      <c r="CI21" s="92">
        <v>6</v>
      </c>
      <c r="CJ21" s="92">
        <v>0</v>
      </c>
      <c r="CK21" s="92">
        <v>4</v>
      </c>
      <c r="CL21" s="92">
        <v>6</v>
      </c>
      <c r="CM21" s="92">
        <v>0</v>
      </c>
      <c r="CN21" s="92">
        <v>9</v>
      </c>
      <c r="CO21" s="92">
        <v>8</v>
      </c>
      <c r="CP21" s="92">
        <v>0</v>
      </c>
      <c r="CQ21" s="92">
        <v>7</v>
      </c>
      <c r="CR21" s="92">
        <v>7</v>
      </c>
      <c r="CS21" s="92">
        <v>0</v>
      </c>
      <c r="CT21" s="92">
        <v>7</v>
      </c>
      <c r="CU21" s="92">
        <v>13</v>
      </c>
      <c r="CV21" s="92">
        <v>0</v>
      </c>
      <c r="CW21" s="92">
        <v>2</v>
      </c>
      <c r="CX21" s="92">
        <v>0</v>
      </c>
      <c r="CY21" s="92">
        <v>0</v>
      </c>
      <c r="CZ21" s="92">
        <v>4</v>
      </c>
      <c r="DA21" s="92">
        <v>9</v>
      </c>
      <c r="DB21" s="92">
        <v>0</v>
      </c>
      <c r="DC21" s="92">
        <v>2</v>
      </c>
      <c r="DD21" s="92">
        <v>3</v>
      </c>
      <c r="DE21" s="92">
        <v>0</v>
      </c>
      <c r="DF21" s="92">
        <v>4</v>
      </c>
      <c r="DG21" s="92">
        <v>5</v>
      </c>
      <c r="DH21" s="92">
        <v>1</v>
      </c>
      <c r="DI21" s="92">
        <v>20</v>
      </c>
      <c r="DJ21" s="92">
        <v>23</v>
      </c>
      <c r="DK21" s="92">
        <v>2</v>
      </c>
      <c r="DL21" s="92">
        <v>4</v>
      </c>
      <c r="DM21" s="92">
        <v>8</v>
      </c>
      <c r="DN21" s="92">
        <v>0</v>
      </c>
      <c r="DO21" s="92">
        <v>1</v>
      </c>
      <c r="DP21" s="92">
        <v>2</v>
      </c>
      <c r="DQ21" s="92">
        <v>0</v>
      </c>
      <c r="DR21" s="92">
        <v>3</v>
      </c>
      <c r="DS21" s="92">
        <v>3</v>
      </c>
      <c r="DT21" s="92">
        <v>0</v>
      </c>
      <c r="DU21" s="92">
        <v>2</v>
      </c>
      <c r="DV21" s="92">
        <v>1</v>
      </c>
      <c r="DW21" s="92">
        <v>0</v>
      </c>
      <c r="DX21" s="92">
        <v>1</v>
      </c>
      <c r="DY21" s="92">
        <v>6</v>
      </c>
      <c r="DZ21" s="92">
        <v>0</v>
      </c>
      <c r="EA21" s="92">
        <v>4</v>
      </c>
      <c r="EB21" s="92">
        <v>0</v>
      </c>
      <c r="EC21" s="92">
        <v>0</v>
      </c>
      <c r="ED21" s="92">
        <v>12</v>
      </c>
      <c r="EE21" s="92">
        <v>7</v>
      </c>
      <c r="EF21" s="92">
        <v>1</v>
      </c>
      <c r="EG21" s="92">
        <v>5</v>
      </c>
      <c r="EH21" s="92">
        <v>7</v>
      </c>
      <c r="EI21" s="92">
        <v>364</v>
      </c>
      <c r="EJ21" s="92">
        <v>9</v>
      </c>
      <c r="EK21" s="92">
        <v>176</v>
      </c>
      <c r="EL21" s="92">
        <v>180</v>
      </c>
      <c r="EM21" s="94"/>
      <c r="EN21" s="94"/>
      <c r="EO21" s="94"/>
      <c r="EP21" s="94"/>
      <c r="EQ21" s="92"/>
      <c r="ER21" s="92"/>
      <c r="ES21" s="92"/>
      <c r="ET21" s="92"/>
      <c r="EU21" s="92"/>
      <c r="EV21" s="92"/>
      <c r="EW21" s="92"/>
      <c r="EX21" s="92"/>
      <c r="EY21" s="92"/>
      <c r="EZ21" s="92"/>
      <c r="FA21" s="92"/>
      <c r="FB21" s="92"/>
    </row>
    <row r="22" spans="1:158" hidden="1" x14ac:dyDescent="0.15">
      <c r="A22">
        <v>22</v>
      </c>
      <c r="B22" t="s">
        <v>679</v>
      </c>
      <c r="C22">
        <v>1851</v>
      </c>
      <c r="D22" s="92"/>
      <c r="E22" s="92"/>
      <c r="F22" s="92"/>
      <c r="G22" s="92">
        <v>10</v>
      </c>
      <c r="H22" s="92">
        <v>10</v>
      </c>
      <c r="I22" s="92">
        <v>370</v>
      </c>
      <c r="J22" s="93"/>
      <c r="K22" s="93"/>
      <c r="L22" s="93"/>
      <c r="M22" s="93"/>
      <c r="N22" s="93"/>
      <c r="O22" s="93"/>
      <c r="P22" s="93">
        <v>124</v>
      </c>
      <c r="Q22" s="92">
        <v>5</v>
      </c>
      <c r="R22" s="92">
        <v>0</v>
      </c>
      <c r="S22" s="92">
        <v>0</v>
      </c>
      <c r="T22" s="92">
        <v>6</v>
      </c>
      <c r="U22" s="92">
        <v>0</v>
      </c>
      <c r="V22" s="92">
        <v>0</v>
      </c>
      <c r="W22" s="92">
        <v>0</v>
      </c>
      <c r="X22" s="92">
        <v>0</v>
      </c>
      <c r="Y22" s="92">
        <v>0</v>
      </c>
      <c r="Z22" s="92">
        <v>0</v>
      </c>
      <c r="AA22" s="92">
        <v>0</v>
      </c>
      <c r="AB22" s="92">
        <v>0</v>
      </c>
      <c r="AC22" s="92">
        <v>0</v>
      </c>
      <c r="AD22" s="92">
        <v>0</v>
      </c>
      <c r="AE22" s="92">
        <v>1</v>
      </c>
      <c r="AF22" s="92">
        <v>1</v>
      </c>
      <c r="AG22" s="92">
        <v>2</v>
      </c>
      <c r="AH22" s="92">
        <v>0</v>
      </c>
      <c r="AI22" s="92">
        <v>0</v>
      </c>
      <c r="AJ22" s="92">
        <v>0</v>
      </c>
      <c r="AK22" s="92">
        <v>0</v>
      </c>
      <c r="AL22" s="92">
        <v>0</v>
      </c>
      <c r="AM22" s="92">
        <v>0</v>
      </c>
      <c r="AN22" s="92">
        <v>0</v>
      </c>
      <c r="AO22" s="92">
        <v>0</v>
      </c>
      <c r="AP22" s="92">
        <v>0</v>
      </c>
      <c r="AQ22" s="92">
        <v>1</v>
      </c>
      <c r="AR22" s="92">
        <v>0</v>
      </c>
      <c r="AS22" s="92">
        <v>1</v>
      </c>
      <c r="AT22" s="92">
        <v>35</v>
      </c>
      <c r="AU22" s="92"/>
      <c r="AV22" s="92"/>
      <c r="AW22" s="92">
        <v>0</v>
      </c>
      <c r="AX22" s="92">
        <v>0</v>
      </c>
      <c r="AY22" s="92">
        <v>0</v>
      </c>
      <c r="AZ22" s="92">
        <v>0</v>
      </c>
      <c r="BA22" s="92">
        <v>0</v>
      </c>
      <c r="BB22" s="92">
        <v>0</v>
      </c>
      <c r="BC22" s="92">
        <v>0</v>
      </c>
      <c r="BD22" s="92">
        <v>0</v>
      </c>
      <c r="BE22" s="92">
        <v>0</v>
      </c>
      <c r="BF22" s="92">
        <v>0</v>
      </c>
      <c r="BG22" s="92">
        <v>0</v>
      </c>
      <c r="BH22" s="92">
        <v>2</v>
      </c>
      <c r="BI22" s="92">
        <v>0</v>
      </c>
      <c r="BJ22" s="92">
        <v>0</v>
      </c>
      <c r="BK22" s="92">
        <v>0</v>
      </c>
      <c r="BL22" s="92">
        <v>0</v>
      </c>
      <c r="BM22" s="92">
        <v>0</v>
      </c>
      <c r="BN22" s="92">
        <v>0</v>
      </c>
      <c r="BO22" s="92">
        <v>0</v>
      </c>
      <c r="BP22" s="92">
        <v>0</v>
      </c>
      <c r="BQ22" s="92">
        <v>0</v>
      </c>
      <c r="BR22" s="92">
        <v>0</v>
      </c>
      <c r="BS22" s="92">
        <v>0</v>
      </c>
      <c r="BT22" s="92">
        <v>0</v>
      </c>
      <c r="BU22" s="92">
        <v>0</v>
      </c>
      <c r="BV22" s="92">
        <v>0</v>
      </c>
      <c r="BW22" s="92">
        <v>0</v>
      </c>
      <c r="BX22" s="92">
        <v>0</v>
      </c>
      <c r="BY22" s="92">
        <v>0</v>
      </c>
      <c r="BZ22" s="92">
        <v>0</v>
      </c>
      <c r="CA22" s="92">
        <v>0</v>
      </c>
      <c r="CB22" s="92">
        <v>0</v>
      </c>
      <c r="CC22" s="92">
        <v>0</v>
      </c>
      <c r="CD22" s="92">
        <v>0</v>
      </c>
      <c r="CE22" s="92">
        <v>0</v>
      </c>
      <c r="CF22" s="92">
        <v>0</v>
      </c>
      <c r="CG22" s="92">
        <v>0</v>
      </c>
      <c r="CH22" s="92">
        <v>0</v>
      </c>
      <c r="CI22" s="92">
        <v>2</v>
      </c>
      <c r="CJ22" s="92">
        <v>0</v>
      </c>
      <c r="CK22" s="92">
        <v>0</v>
      </c>
      <c r="CL22" s="92">
        <v>0</v>
      </c>
      <c r="CM22" s="92">
        <v>0</v>
      </c>
      <c r="CN22" s="92">
        <v>0</v>
      </c>
      <c r="CO22" s="92">
        <v>0</v>
      </c>
      <c r="CP22" s="92">
        <v>0</v>
      </c>
      <c r="CQ22" s="92">
        <v>0</v>
      </c>
      <c r="CR22" s="92">
        <v>0</v>
      </c>
      <c r="CS22" s="92">
        <v>0</v>
      </c>
      <c r="CT22" s="92">
        <v>1</v>
      </c>
      <c r="CU22" s="92">
        <v>0</v>
      </c>
      <c r="CV22" s="92">
        <v>0</v>
      </c>
      <c r="CW22" s="92">
        <v>0</v>
      </c>
      <c r="CX22" s="92">
        <v>0</v>
      </c>
      <c r="CY22" s="92">
        <v>0</v>
      </c>
      <c r="CZ22" s="92">
        <v>0</v>
      </c>
      <c r="DA22" s="92">
        <v>0</v>
      </c>
      <c r="DB22" s="92">
        <v>0</v>
      </c>
      <c r="DC22" s="92">
        <v>0</v>
      </c>
      <c r="DD22" s="92">
        <v>0</v>
      </c>
      <c r="DE22" s="92">
        <v>0</v>
      </c>
      <c r="DF22" s="92">
        <v>0</v>
      </c>
      <c r="DG22" s="92">
        <v>0</v>
      </c>
      <c r="DH22" s="92">
        <v>0</v>
      </c>
      <c r="DI22" s="92">
        <v>0</v>
      </c>
      <c r="DJ22" s="92">
        <v>0</v>
      </c>
      <c r="DK22" s="92">
        <v>0</v>
      </c>
      <c r="DL22" s="92">
        <v>0</v>
      </c>
      <c r="DM22" s="92">
        <v>0</v>
      </c>
      <c r="DN22" s="92">
        <v>0</v>
      </c>
      <c r="DO22" s="92">
        <v>0</v>
      </c>
      <c r="DP22" s="92">
        <v>0</v>
      </c>
      <c r="DQ22" s="92">
        <v>0</v>
      </c>
      <c r="DR22" s="92">
        <v>0</v>
      </c>
      <c r="DS22" s="92">
        <v>0</v>
      </c>
      <c r="DT22" s="92">
        <v>0</v>
      </c>
      <c r="DU22" s="92">
        <v>0</v>
      </c>
      <c r="DV22" s="92">
        <v>0</v>
      </c>
      <c r="DW22" s="92">
        <v>1</v>
      </c>
      <c r="DX22" s="92">
        <v>3</v>
      </c>
      <c r="DY22" s="92">
        <v>4</v>
      </c>
      <c r="DZ22" s="92">
        <v>0</v>
      </c>
      <c r="EA22" s="92">
        <v>0</v>
      </c>
      <c r="EB22" s="92">
        <v>0</v>
      </c>
      <c r="EC22" s="92">
        <v>0</v>
      </c>
      <c r="ED22" s="92">
        <v>0</v>
      </c>
      <c r="EE22" s="92">
        <v>0</v>
      </c>
      <c r="EF22" s="92">
        <v>0</v>
      </c>
      <c r="EG22" s="92">
        <v>3</v>
      </c>
      <c r="EH22" s="92">
        <v>1</v>
      </c>
      <c r="EI22" s="92">
        <v>17</v>
      </c>
      <c r="EJ22" s="92">
        <v>1</v>
      </c>
      <c r="EK22" s="92">
        <v>7</v>
      </c>
      <c r="EL22" s="92">
        <v>9</v>
      </c>
      <c r="EM22" s="94"/>
      <c r="EN22" s="94"/>
      <c r="EO22" s="94"/>
      <c r="EP22" s="94"/>
      <c r="EQ22" s="92"/>
      <c r="ER22" s="92"/>
      <c r="ES22" s="92"/>
      <c r="ET22" s="92"/>
      <c r="EU22" s="92"/>
      <c r="EV22" s="92"/>
      <c r="EW22" s="92"/>
      <c r="EX22" s="92"/>
      <c r="EY22" s="92"/>
      <c r="EZ22" s="92"/>
      <c r="FA22" s="92"/>
      <c r="FB22" s="92"/>
    </row>
    <row r="23" spans="1:158" hidden="1" x14ac:dyDescent="0.15">
      <c r="A23">
        <v>23</v>
      </c>
      <c r="B23" t="s">
        <v>680</v>
      </c>
      <c r="C23">
        <v>1851</v>
      </c>
      <c r="D23" s="92">
        <v>3</v>
      </c>
      <c r="E23" s="92">
        <v>1</v>
      </c>
      <c r="F23" s="92">
        <v>1</v>
      </c>
      <c r="G23" s="92">
        <v>10</v>
      </c>
      <c r="H23" s="92">
        <v>10</v>
      </c>
      <c r="I23" s="92">
        <v>5433</v>
      </c>
      <c r="J23" s="93">
        <v>62408</v>
      </c>
      <c r="K23" s="93">
        <v>60759.5</v>
      </c>
      <c r="L23" s="93">
        <v>887</v>
      </c>
      <c r="M23" s="93"/>
      <c r="N23" s="93"/>
      <c r="O23" s="93"/>
      <c r="P23" s="93"/>
      <c r="Q23" s="92">
        <v>26</v>
      </c>
      <c r="R23" s="92">
        <v>1</v>
      </c>
      <c r="S23" s="92">
        <v>20</v>
      </c>
      <c r="T23" s="92">
        <v>52</v>
      </c>
      <c r="U23" s="92">
        <v>1</v>
      </c>
      <c r="V23" s="92">
        <v>2</v>
      </c>
      <c r="W23" s="92">
        <v>0</v>
      </c>
      <c r="X23" s="92">
        <v>8</v>
      </c>
      <c r="Y23" s="92">
        <v>0</v>
      </c>
      <c r="Z23" s="92">
        <v>7</v>
      </c>
      <c r="AA23" s="92">
        <v>2</v>
      </c>
      <c r="AB23" s="92">
        <v>12</v>
      </c>
      <c r="AC23" s="92">
        <v>15</v>
      </c>
      <c r="AD23" s="92">
        <v>15</v>
      </c>
      <c r="AE23" s="92">
        <v>5</v>
      </c>
      <c r="AF23" s="92">
        <v>40</v>
      </c>
      <c r="AG23" s="92">
        <v>3</v>
      </c>
      <c r="AH23" s="92">
        <v>5</v>
      </c>
      <c r="AI23" s="92">
        <v>10</v>
      </c>
      <c r="AJ23" s="92">
        <v>14</v>
      </c>
      <c r="AK23" s="92">
        <v>3</v>
      </c>
      <c r="AL23" s="92">
        <v>2</v>
      </c>
      <c r="AM23" s="92">
        <v>7</v>
      </c>
      <c r="AN23" s="92">
        <v>0</v>
      </c>
      <c r="AO23" s="92">
        <v>0</v>
      </c>
      <c r="AP23" s="92">
        <v>1</v>
      </c>
      <c r="AQ23" s="92">
        <v>3</v>
      </c>
      <c r="AR23" s="92">
        <v>0</v>
      </c>
      <c r="AS23" s="92">
        <v>4</v>
      </c>
      <c r="AT23" s="92">
        <v>5</v>
      </c>
      <c r="AU23" s="92"/>
      <c r="AV23" s="92"/>
      <c r="AW23" s="92">
        <v>0</v>
      </c>
      <c r="AX23" s="92">
        <v>3</v>
      </c>
      <c r="AY23" s="92">
        <v>3</v>
      </c>
      <c r="AZ23" s="92">
        <v>0</v>
      </c>
      <c r="BA23" s="92">
        <v>2</v>
      </c>
      <c r="BB23" s="92">
        <v>1</v>
      </c>
      <c r="BC23" s="92">
        <v>0</v>
      </c>
      <c r="BD23" s="92">
        <v>8</v>
      </c>
      <c r="BE23" s="92">
        <v>13</v>
      </c>
      <c r="BF23" s="92">
        <v>0</v>
      </c>
      <c r="BG23" s="92">
        <v>10</v>
      </c>
      <c r="BH23" s="92">
        <v>29</v>
      </c>
      <c r="BI23" s="92">
        <v>0</v>
      </c>
      <c r="BJ23" s="92">
        <v>0</v>
      </c>
      <c r="BK23" s="92">
        <v>0</v>
      </c>
      <c r="BL23" s="92">
        <v>0</v>
      </c>
      <c r="BM23" s="92">
        <v>0</v>
      </c>
      <c r="BN23" s="92">
        <v>0</v>
      </c>
      <c r="BO23" s="92">
        <v>0</v>
      </c>
      <c r="BP23" s="92">
        <v>0</v>
      </c>
      <c r="BQ23" s="92">
        <v>0</v>
      </c>
      <c r="BR23" s="92">
        <v>0</v>
      </c>
      <c r="BS23" s="92">
        <v>0</v>
      </c>
      <c r="BT23" s="92">
        <v>0</v>
      </c>
      <c r="BU23" s="92">
        <v>0</v>
      </c>
      <c r="BV23" s="92">
        <v>0</v>
      </c>
      <c r="BW23" s="92">
        <v>0</v>
      </c>
      <c r="BX23" s="92">
        <v>0</v>
      </c>
      <c r="BY23" s="92">
        <v>1</v>
      </c>
      <c r="BZ23" s="92">
        <v>1</v>
      </c>
      <c r="CA23" s="92">
        <v>0</v>
      </c>
      <c r="CB23" s="92">
        <v>0</v>
      </c>
      <c r="CC23" s="92">
        <v>0</v>
      </c>
      <c r="CD23" s="92">
        <v>0</v>
      </c>
      <c r="CE23" s="92">
        <v>6</v>
      </c>
      <c r="CF23" s="92">
        <v>0</v>
      </c>
      <c r="CG23" s="92">
        <v>0</v>
      </c>
      <c r="CH23" s="92">
        <v>4</v>
      </c>
      <c r="CI23" s="92">
        <v>5</v>
      </c>
      <c r="CJ23" s="92">
        <v>0</v>
      </c>
      <c r="CK23" s="92">
        <v>1</v>
      </c>
      <c r="CL23" s="92">
        <v>3</v>
      </c>
      <c r="CM23" s="92">
        <v>0</v>
      </c>
      <c r="CN23" s="92">
        <v>1</v>
      </c>
      <c r="CO23" s="92">
        <v>0</v>
      </c>
      <c r="CP23" s="92">
        <v>0</v>
      </c>
      <c r="CQ23" s="92">
        <v>3</v>
      </c>
      <c r="CR23" s="92">
        <v>0</v>
      </c>
      <c r="CS23" s="92">
        <v>0</v>
      </c>
      <c r="CT23" s="92">
        <v>1</v>
      </c>
      <c r="CU23" s="92">
        <v>1</v>
      </c>
      <c r="CV23" s="92">
        <v>0</v>
      </c>
      <c r="CW23" s="92">
        <v>0</v>
      </c>
      <c r="CX23" s="92">
        <v>0</v>
      </c>
      <c r="CY23" s="92">
        <v>0</v>
      </c>
      <c r="CZ23" s="92">
        <v>0</v>
      </c>
      <c r="DA23" s="92">
        <v>1</v>
      </c>
      <c r="DB23" s="92">
        <v>0</v>
      </c>
      <c r="DC23" s="92">
        <v>2</v>
      </c>
      <c r="DD23" s="92">
        <v>3</v>
      </c>
      <c r="DE23" s="92">
        <v>0</v>
      </c>
      <c r="DF23" s="92">
        <v>2</v>
      </c>
      <c r="DG23" s="92">
        <v>0</v>
      </c>
      <c r="DH23" s="92">
        <v>0</v>
      </c>
      <c r="DI23" s="92">
        <v>3</v>
      </c>
      <c r="DJ23" s="92">
        <v>1</v>
      </c>
      <c r="DK23" s="92">
        <v>2</v>
      </c>
      <c r="DL23" s="92">
        <v>1</v>
      </c>
      <c r="DM23" s="92">
        <v>0</v>
      </c>
      <c r="DN23" s="92">
        <v>0</v>
      </c>
      <c r="DO23" s="92">
        <v>0</v>
      </c>
      <c r="DP23" s="92">
        <v>1</v>
      </c>
      <c r="DQ23" s="92">
        <v>0</v>
      </c>
      <c r="DR23" s="92">
        <v>1</v>
      </c>
      <c r="DS23" s="92">
        <v>0</v>
      </c>
      <c r="DT23" s="92">
        <v>0</v>
      </c>
      <c r="DU23" s="92">
        <v>3</v>
      </c>
      <c r="DV23" s="92">
        <v>0</v>
      </c>
      <c r="DW23" s="92">
        <v>1</v>
      </c>
      <c r="DX23" s="92">
        <v>3</v>
      </c>
      <c r="DY23" s="92">
        <v>0</v>
      </c>
      <c r="DZ23" s="92">
        <v>0</v>
      </c>
      <c r="EA23" s="92">
        <v>1</v>
      </c>
      <c r="EB23" s="92">
        <v>0</v>
      </c>
      <c r="EC23" s="92">
        <v>0</v>
      </c>
      <c r="ED23" s="92">
        <v>3</v>
      </c>
      <c r="EE23" s="92">
        <v>1</v>
      </c>
      <c r="EF23" s="92">
        <v>0</v>
      </c>
      <c r="EG23" s="92">
        <v>1</v>
      </c>
      <c r="EH23" s="92">
        <v>2</v>
      </c>
      <c r="EI23" s="92">
        <v>128</v>
      </c>
      <c r="EJ23" s="92">
        <v>3</v>
      </c>
      <c r="EK23" s="92">
        <v>60</v>
      </c>
      <c r="EL23" s="92">
        <v>65</v>
      </c>
      <c r="EM23" s="94">
        <v>1.3</v>
      </c>
      <c r="EN23" s="94"/>
      <c r="EO23" s="94"/>
      <c r="EP23" s="94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</row>
    <row r="24" spans="1:158" hidden="1" x14ac:dyDescent="0.15">
      <c r="A24">
        <v>24</v>
      </c>
      <c r="B24" t="s">
        <v>681</v>
      </c>
      <c r="C24">
        <v>1851</v>
      </c>
      <c r="D24" s="92"/>
      <c r="E24" s="92"/>
      <c r="F24" s="92"/>
      <c r="G24" s="92">
        <v>15</v>
      </c>
      <c r="H24" s="92">
        <v>15</v>
      </c>
      <c r="I24" s="92">
        <v>740</v>
      </c>
      <c r="J24" s="93"/>
      <c r="K24" s="93"/>
      <c r="L24" s="93"/>
      <c r="M24" s="93"/>
      <c r="N24" s="93"/>
      <c r="O24" s="93"/>
      <c r="P24" s="93">
        <v>124</v>
      </c>
      <c r="Q24" s="92">
        <v>2</v>
      </c>
      <c r="R24" s="92">
        <v>10</v>
      </c>
      <c r="S24" s="92">
        <v>8</v>
      </c>
      <c r="T24" s="92">
        <v>17</v>
      </c>
      <c r="U24" s="92">
        <v>2</v>
      </c>
      <c r="V24" s="92">
        <v>0</v>
      </c>
      <c r="W24" s="92">
        <v>0</v>
      </c>
      <c r="X24" s="92">
        <v>0</v>
      </c>
      <c r="Y24" s="92">
        <v>0</v>
      </c>
      <c r="Z24" s="92">
        <v>2</v>
      </c>
      <c r="AA24" s="92">
        <v>1</v>
      </c>
      <c r="AB24" s="92">
        <v>2</v>
      </c>
      <c r="AC24" s="92">
        <v>7</v>
      </c>
      <c r="AD24" s="92">
        <v>1</v>
      </c>
      <c r="AE24" s="92">
        <v>0</v>
      </c>
      <c r="AF24" s="92">
        <v>2</v>
      </c>
      <c r="AG24" s="92">
        <v>2</v>
      </c>
      <c r="AH24" s="92">
        <v>0</v>
      </c>
      <c r="AI24" s="92">
        <v>3</v>
      </c>
      <c r="AJ24" s="92">
        <v>2</v>
      </c>
      <c r="AK24" s="92">
        <v>0</v>
      </c>
      <c r="AL24" s="92">
        <v>3</v>
      </c>
      <c r="AM24" s="92">
        <v>3</v>
      </c>
      <c r="AN24" s="92">
        <v>0</v>
      </c>
      <c r="AO24" s="92">
        <v>0</v>
      </c>
      <c r="AP24" s="92">
        <v>13</v>
      </c>
      <c r="AQ24" s="92">
        <v>1</v>
      </c>
      <c r="AR24" s="92">
        <v>2</v>
      </c>
      <c r="AS24" s="92">
        <v>7</v>
      </c>
      <c r="AT24" s="92">
        <v>5</v>
      </c>
      <c r="AU24" s="92"/>
      <c r="AV24" s="92"/>
      <c r="AW24" s="92">
        <v>0</v>
      </c>
      <c r="AX24" s="92">
        <v>0</v>
      </c>
      <c r="AY24" s="92">
        <v>3</v>
      </c>
      <c r="AZ24" s="92">
        <v>0</v>
      </c>
      <c r="BA24" s="92">
        <v>2</v>
      </c>
      <c r="BB24" s="92">
        <v>3</v>
      </c>
      <c r="BC24" s="92">
        <v>0</v>
      </c>
      <c r="BD24" s="92">
        <v>2</v>
      </c>
      <c r="BE24" s="92">
        <v>0</v>
      </c>
      <c r="BF24" s="92">
        <v>0</v>
      </c>
      <c r="BG24" s="92">
        <v>2</v>
      </c>
      <c r="BH24" s="92">
        <v>7</v>
      </c>
      <c r="BI24" s="92">
        <v>0</v>
      </c>
      <c r="BJ24" s="92">
        <v>0</v>
      </c>
      <c r="BK24" s="92">
        <v>0</v>
      </c>
      <c r="BL24" s="92">
        <v>0</v>
      </c>
      <c r="BM24" s="92">
        <v>0</v>
      </c>
      <c r="BN24" s="92">
        <v>0</v>
      </c>
      <c r="BO24" s="92">
        <v>0</v>
      </c>
      <c r="BP24" s="92">
        <v>0</v>
      </c>
      <c r="BQ24" s="92">
        <v>0</v>
      </c>
      <c r="BR24" s="92">
        <v>0</v>
      </c>
      <c r="BS24" s="92">
        <v>0</v>
      </c>
      <c r="BT24" s="92">
        <v>0</v>
      </c>
      <c r="BU24" s="92">
        <v>0</v>
      </c>
      <c r="BV24" s="92">
        <v>0</v>
      </c>
      <c r="BW24" s="92">
        <v>0</v>
      </c>
      <c r="BX24" s="92">
        <v>0</v>
      </c>
      <c r="BY24" s="92">
        <v>1</v>
      </c>
      <c r="BZ24" s="92">
        <v>0</v>
      </c>
      <c r="CA24" s="92">
        <v>0</v>
      </c>
      <c r="CB24" s="92">
        <v>0</v>
      </c>
      <c r="CC24" s="92">
        <v>0</v>
      </c>
      <c r="CD24" s="92">
        <v>0</v>
      </c>
      <c r="CE24" s="92">
        <v>0</v>
      </c>
      <c r="CF24" s="92">
        <v>0</v>
      </c>
      <c r="CG24" s="92">
        <v>0</v>
      </c>
      <c r="CH24" s="92">
        <v>6</v>
      </c>
      <c r="CI24" s="92">
        <v>1</v>
      </c>
      <c r="CJ24" s="92">
        <v>0</v>
      </c>
      <c r="CK24" s="92">
        <v>0</v>
      </c>
      <c r="CL24" s="92">
        <v>0</v>
      </c>
      <c r="CM24" s="92">
        <v>0</v>
      </c>
      <c r="CN24" s="92">
        <v>0</v>
      </c>
      <c r="CO24" s="92">
        <v>0</v>
      </c>
      <c r="CP24" s="92">
        <v>0</v>
      </c>
      <c r="CQ24" s="92">
        <v>0</v>
      </c>
      <c r="CR24" s="92">
        <v>0</v>
      </c>
      <c r="CS24" s="92">
        <v>0</v>
      </c>
      <c r="CT24" s="92">
        <v>1</v>
      </c>
      <c r="CU24" s="92">
        <v>1</v>
      </c>
      <c r="CV24" s="92">
        <v>0</v>
      </c>
      <c r="CW24" s="92">
        <v>0</v>
      </c>
      <c r="CX24" s="92">
        <v>0</v>
      </c>
      <c r="CY24" s="92">
        <v>0</v>
      </c>
      <c r="CZ24" s="92">
        <v>1</v>
      </c>
      <c r="DA24" s="92">
        <v>2</v>
      </c>
      <c r="DB24" s="92">
        <v>0</v>
      </c>
      <c r="DC24" s="92">
        <v>0</v>
      </c>
      <c r="DD24" s="92">
        <v>0</v>
      </c>
      <c r="DE24" s="92">
        <v>0</v>
      </c>
      <c r="DF24" s="92">
        <v>0</v>
      </c>
      <c r="DG24" s="92">
        <v>0</v>
      </c>
      <c r="DH24" s="92">
        <v>0</v>
      </c>
      <c r="DI24" s="92">
        <v>0</v>
      </c>
      <c r="DJ24" s="92">
        <v>0</v>
      </c>
      <c r="DK24" s="92">
        <v>0</v>
      </c>
      <c r="DL24" s="92">
        <v>2</v>
      </c>
      <c r="DM24" s="92">
        <v>0</v>
      </c>
      <c r="DN24" s="92">
        <v>0</v>
      </c>
      <c r="DO24" s="92">
        <v>0</v>
      </c>
      <c r="DP24" s="92">
        <v>0</v>
      </c>
      <c r="DQ24" s="92">
        <v>0</v>
      </c>
      <c r="DR24" s="92">
        <v>0</v>
      </c>
      <c r="DS24" s="92">
        <v>0</v>
      </c>
      <c r="DT24" s="92">
        <v>0</v>
      </c>
      <c r="DU24" s="92">
        <v>1</v>
      </c>
      <c r="DV24" s="92">
        <v>2</v>
      </c>
      <c r="DW24" s="92">
        <v>0</v>
      </c>
      <c r="DX24" s="92">
        <v>0</v>
      </c>
      <c r="DY24" s="92">
        <v>1</v>
      </c>
      <c r="DZ24" s="92">
        <v>0</v>
      </c>
      <c r="EA24" s="92">
        <v>1</v>
      </c>
      <c r="EB24" s="92">
        <v>0</v>
      </c>
      <c r="EC24" s="92">
        <v>0</v>
      </c>
      <c r="ED24" s="92">
        <v>3</v>
      </c>
      <c r="EE24" s="92">
        <v>1</v>
      </c>
      <c r="EF24" s="92">
        <v>0</v>
      </c>
      <c r="EG24" s="92">
        <v>0</v>
      </c>
      <c r="EH24" s="92">
        <v>0</v>
      </c>
      <c r="EI24" s="92">
        <v>43</v>
      </c>
      <c r="EJ24" s="92">
        <v>0</v>
      </c>
      <c r="EK24" s="92">
        <v>22</v>
      </c>
      <c r="EL24" s="92">
        <v>21</v>
      </c>
      <c r="EM24" s="94"/>
      <c r="EN24" s="94"/>
      <c r="EO24" s="94"/>
      <c r="EP24" s="94"/>
      <c r="EQ24" s="92"/>
      <c r="ER24" s="92"/>
      <c r="ES24" s="92"/>
      <c r="ET24" s="92"/>
      <c r="EU24" s="92"/>
      <c r="EV24" s="92"/>
      <c r="EW24" s="92"/>
      <c r="EX24" s="92"/>
      <c r="EY24" s="92"/>
      <c r="EZ24" s="92"/>
      <c r="FA24" s="92"/>
      <c r="FB24" s="92"/>
    </row>
    <row r="25" spans="1:158" x14ac:dyDescent="0.15">
      <c r="A25">
        <v>25</v>
      </c>
      <c r="B25" s="95" t="s">
        <v>23</v>
      </c>
      <c r="C25">
        <v>1851</v>
      </c>
      <c r="D25" s="92">
        <v>0</v>
      </c>
      <c r="E25" s="92">
        <v>2</v>
      </c>
      <c r="F25" s="92">
        <v>2</v>
      </c>
      <c r="G25" s="92">
        <v>12</v>
      </c>
      <c r="H25" s="92">
        <v>12</v>
      </c>
      <c r="I25" s="92">
        <v>370</v>
      </c>
      <c r="J25" s="93">
        <v>1988</v>
      </c>
      <c r="K25" s="93">
        <v>2934.288</v>
      </c>
      <c r="L25" s="93"/>
      <c r="M25" s="93"/>
      <c r="N25" s="93"/>
      <c r="O25" s="93"/>
      <c r="P25" s="93"/>
      <c r="Q25" s="92">
        <v>1</v>
      </c>
      <c r="R25" s="92">
        <v>2</v>
      </c>
      <c r="S25" s="92">
        <v>1</v>
      </c>
      <c r="T25" s="92">
        <v>6</v>
      </c>
      <c r="U25" s="92">
        <v>0</v>
      </c>
      <c r="V25" s="92">
        <v>2</v>
      </c>
      <c r="W25" s="92">
        <v>1</v>
      </c>
      <c r="X25" s="92">
        <v>1</v>
      </c>
      <c r="Y25" s="92">
        <v>0</v>
      </c>
      <c r="Z25" s="92">
        <v>11</v>
      </c>
      <c r="AA25" s="92">
        <v>10</v>
      </c>
      <c r="AB25" s="92">
        <v>42</v>
      </c>
      <c r="AC25" s="92">
        <v>1</v>
      </c>
      <c r="AD25" s="92">
        <v>6</v>
      </c>
      <c r="AE25" s="92">
        <v>24</v>
      </c>
      <c r="AF25" s="92">
        <v>3</v>
      </c>
      <c r="AG25" s="92">
        <v>7</v>
      </c>
      <c r="AH25" s="92">
        <v>2</v>
      </c>
      <c r="AI25" s="92">
        <v>32</v>
      </c>
      <c r="AJ25" s="92">
        <v>14</v>
      </c>
      <c r="AK25" s="92">
        <v>2</v>
      </c>
      <c r="AL25" s="92">
        <v>6</v>
      </c>
      <c r="AM25" s="92">
        <v>1</v>
      </c>
      <c r="AN25" s="92">
        <v>0</v>
      </c>
      <c r="AO25" s="92">
        <v>2</v>
      </c>
      <c r="AP25" s="92">
        <v>1</v>
      </c>
      <c r="AQ25" s="92">
        <v>0</v>
      </c>
      <c r="AR25" s="92">
        <v>1</v>
      </c>
      <c r="AS25" s="92">
        <v>4</v>
      </c>
      <c r="AT25" s="92">
        <v>7</v>
      </c>
      <c r="AU25" s="92"/>
      <c r="AV25" s="92"/>
      <c r="AW25" s="92">
        <v>0</v>
      </c>
      <c r="AX25" s="92">
        <v>0</v>
      </c>
      <c r="AY25" s="92">
        <v>0</v>
      </c>
      <c r="AZ25" s="92">
        <v>0</v>
      </c>
      <c r="BA25" s="92">
        <v>1</v>
      </c>
      <c r="BB25" s="92">
        <v>0</v>
      </c>
      <c r="BC25" s="92">
        <v>0</v>
      </c>
      <c r="BD25" s="92">
        <v>0</v>
      </c>
      <c r="BE25" s="92">
        <v>0</v>
      </c>
      <c r="BF25" s="92">
        <v>0</v>
      </c>
      <c r="BG25" s="92">
        <v>0</v>
      </c>
      <c r="BH25" s="92">
        <v>4</v>
      </c>
      <c r="BI25" s="92">
        <v>0</v>
      </c>
      <c r="BJ25" s="92">
        <v>0</v>
      </c>
      <c r="BK25" s="92">
        <v>0</v>
      </c>
      <c r="BL25" s="92">
        <v>0</v>
      </c>
      <c r="BM25" s="92">
        <v>0</v>
      </c>
      <c r="BN25" s="92">
        <v>0</v>
      </c>
      <c r="BO25" s="92">
        <v>0</v>
      </c>
      <c r="BP25" s="92">
        <v>0</v>
      </c>
      <c r="BQ25" s="92">
        <v>0</v>
      </c>
      <c r="BR25" s="92">
        <v>0</v>
      </c>
      <c r="BS25" s="92">
        <v>0</v>
      </c>
      <c r="BT25" s="92">
        <v>0</v>
      </c>
      <c r="BU25" s="92">
        <v>0</v>
      </c>
      <c r="BV25" s="92">
        <v>0</v>
      </c>
      <c r="BW25" s="92">
        <v>0</v>
      </c>
      <c r="BX25" s="92">
        <v>0</v>
      </c>
      <c r="BY25" s="92">
        <v>2</v>
      </c>
      <c r="BZ25" s="92">
        <v>1</v>
      </c>
      <c r="CA25" s="92">
        <v>0</v>
      </c>
      <c r="CB25" s="92">
        <v>2</v>
      </c>
      <c r="CC25" s="92">
        <v>0</v>
      </c>
      <c r="CD25" s="92">
        <v>0</v>
      </c>
      <c r="CE25" s="92">
        <v>14</v>
      </c>
      <c r="CF25" s="92">
        <v>0</v>
      </c>
      <c r="CG25" s="92">
        <v>0</v>
      </c>
      <c r="CH25" s="92">
        <v>0</v>
      </c>
      <c r="CI25" s="92">
        <v>0</v>
      </c>
      <c r="CJ25" s="92">
        <v>0</v>
      </c>
      <c r="CK25" s="92">
        <v>2</v>
      </c>
      <c r="CL25" s="92">
        <v>1</v>
      </c>
      <c r="CM25" s="92">
        <v>0</v>
      </c>
      <c r="CN25" s="92">
        <v>0</v>
      </c>
      <c r="CO25" s="92">
        <v>0</v>
      </c>
      <c r="CP25" s="92">
        <v>0</v>
      </c>
      <c r="CQ25" s="92">
        <v>0</v>
      </c>
      <c r="CR25" s="92">
        <v>0</v>
      </c>
      <c r="CS25" s="92">
        <v>0</v>
      </c>
      <c r="CT25" s="92">
        <v>2</v>
      </c>
      <c r="CU25" s="92">
        <v>1</v>
      </c>
      <c r="CV25" s="92">
        <v>0</v>
      </c>
      <c r="CW25" s="92">
        <v>0</v>
      </c>
      <c r="CX25" s="92">
        <v>0</v>
      </c>
      <c r="CY25" s="92">
        <v>0</v>
      </c>
      <c r="CZ25" s="92">
        <v>5</v>
      </c>
      <c r="DA25" s="92">
        <v>3</v>
      </c>
      <c r="DB25" s="92">
        <v>0</v>
      </c>
      <c r="DC25" s="92">
        <v>7</v>
      </c>
      <c r="DD25" s="92">
        <v>0</v>
      </c>
      <c r="DE25" s="92">
        <v>0</v>
      </c>
      <c r="DF25" s="92">
        <v>0</v>
      </c>
      <c r="DG25" s="92">
        <v>2</v>
      </c>
      <c r="DH25" s="92">
        <v>0</v>
      </c>
      <c r="DI25" s="92">
        <v>1</v>
      </c>
      <c r="DJ25" s="92">
        <v>0</v>
      </c>
      <c r="DK25" s="92">
        <v>0</v>
      </c>
      <c r="DL25" s="92">
        <v>1</v>
      </c>
      <c r="DM25" s="92">
        <v>0</v>
      </c>
      <c r="DN25" s="92">
        <v>0</v>
      </c>
      <c r="DO25" s="92">
        <v>0</v>
      </c>
      <c r="DP25" s="92">
        <v>0</v>
      </c>
      <c r="DQ25" s="92">
        <v>0</v>
      </c>
      <c r="DR25" s="92">
        <v>1</v>
      </c>
      <c r="DS25" s="92">
        <v>0</v>
      </c>
      <c r="DT25" s="92">
        <v>0</v>
      </c>
      <c r="DU25" s="92">
        <v>0</v>
      </c>
      <c r="DV25" s="92">
        <v>0</v>
      </c>
      <c r="DW25" s="92">
        <v>0</v>
      </c>
      <c r="DX25" s="92">
        <v>0</v>
      </c>
      <c r="DY25" s="92">
        <v>0</v>
      </c>
      <c r="DZ25" s="92">
        <v>0</v>
      </c>
      <c r="EA25" s="92">
        <v>0</v>
      </c>
      <c r="EB25" s="92">
        <v>0</v>
      </c>
      <c r="EC25" s="92">
        <v>0</v>
      </c>
      <c r="ED25" s="92">
        <v>0</v>
      </c>
      <c r="EE25" s="92">
        <v>0</v>
      </c>
      <c r="EF25" s="92">
        <v>0</v>
      </c>
      <c r="EG25" s="92">
        <v>2</v>
      </c>
      <c r="EH25" s="92">
        <v>1</v>
      </c>
      <c r="EI25" s="92">
        <v>53</v>
      </c>
      <c r="EJ25" s="92">
        <v>0</v>
      </c>
      <c r="EK25" s="92">
        <v>40</v>
      </c>
      <c r="EL25" s="92">
        <v>13</v>
      </c>
      <c r="EM25" s="94"/>
      <c r="EN25" s="94"/>
      <c r="EO25" s="94"/>
      <c r="EP25" s="94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</row>
    <row r="26" spans="1:158" hidden="1" x14ac:dyDescent="0.15">
      <c r="A26">
        <v>26</v>
      </c>
      <c r="B26" t="s">
        <v>682</v>
      </c>
      <c r="C26">
        <v>1851</v>
      </c>
      <c r="D26" s="92"/>
      <c r="E26" s="92"/>
      <c r="F26" s="92"/>
      <c r="G26" s="92"/>
      <c r="H26" s="92"/>
      <c r="I26" s="92"/>
      <c r="J26" s="93">
        <v>22829</v>
      </c>
      <c r="K26" s="93" t="s">
        <v>671</v>
      </c>
      <c r="L26" s="93"/>
      <c r="M26" s="93"/>
      <c r="N26" s="93"/>
      <c r="O26" s="93"/>
      <c r="P26" s="93"/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0</v>
      </c>
      <c r="AE26" s="92">
        <v>0</v>
      </c>
      <c r="AF26" s="92">
        <v>0</v>
      </c>
      <c r="AG26" s="92">
        <v>0</v>
      </c>
      <c r="AH26" s="92">
        <v>0</v>
      </c>
      <c r="AI26" s="92">
        <v>0</v>
      </c>
      <c r="AJ26" s="92">
        <v>0</v>
      </c>
      <c r="AK26" s="92">
        <v>0</v>
      </c>
      <c r="AL26" s="92">
        <v>0</v>
      </c>
      <c r="AM26" s="92">
        <v>0</v>
      </c>
      <c r="AN26" s="92">
        <v>0</v>
      </c>
      <c r="AO26" s="92">
        <v>0</v>
      </c>
      <c r="AP26" s="92">
        <v>0</v>
      </c>
      <c r="AQ26" s="92">
        <v>0</v>
      </c>
      <c r="AR26" s="92">
        <v>0</v>
      </c>
      <c r="AS26" s="92">
        <v>12</v>
      </c>
      <c r="AT26" s="92">
        <v>0</v>
      </c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DZ26" s="92"/>
      <c r="EA26" s="92"/>
      <c r="EB26" s="92"/>
      <c r="EC26" s="92"/>
      <c r="ED26" s="92"/>
      <c r="EE26" s="92"/>
      <c r="EF26" s="92"/>
      <c r="EG26" s="92"/>
      <c r="EH26" s="92"/>
      <c r="EI26" s="92"/>
      <c r="EJ26" s="92"/>
      <c r="EK26" s="92"/>
      <c r="EL26" s="92"/>
      <c r="EM26" s="94"/>
      <c r="EN26" s="94"/>
      <c r="EO26" s="94"/>
      <c r="EP26" s="94"/>
      <c r="EQ26" s="92"/>
      <c r="ER26" s="92"/>
      <c r="ES26" s="92"/>
      <c r="ET26" s="92"/>
      <c r="EU26" s="92"/>
      <c r="EV26" s="92"/>
      <c r="EW26" s="92"/>
      <c r="EX26" s="92"/>
      <c r="EY26" s="92"/>
      <c r="EZ26" s="92"/>
      <c r="FA26" s="92"/>
      <c r="FB26" s="92"/>
    </row>
    <row r="27" spans="1:158" hidden="1" x14ac:dyDescent="0.15">
      <c r="A27">
        <v>27</v>
      </c>
      <c r="B27" t="s">
        <v>683</v>
      </c>
      <c r="C27">
        <v>1851</v>
      </c>
      <c r="D27" s="92"/>
      <c r="E27" s="92"/>
      <c r="F27" s="92"/>
      <c r="G27" s="92">
        <v>15</v>
      </c>
      <c r="H27" s="92">
        <v>15</v>
      </c>
      <c r="I27" s="92">
        <v>6234</v>
      </c>
      <c r="J27" s="93">
        <v>14779</v>
      </c>
      <c r="K27" s="93">
        <v>16949</v>
      </c>
      <c r="L27" s="93">
        <v>1147</v>
      </c>
      <c r="M27" s="93"/>
      <c r="N27" s="93">
        <v>69.91</v>
      </c>
      <c r="O27" s="93"/>
      <c r="P27" s="93">
        <v>401</v>
      </c>
      <c r="Q27" s="92">
        <v>43</v>
      </c>
      <c r="R27" s="92">
        <v>18</v>
      </c>
      <c r="S27" s="92">
        <v>80</v>
      </c>
      <c r="T27" s="92">
        <v>72</v>
      </c>
      <c r="U27" s="92">
        <v>0</v>
      </c>
      <c r="V27" s="92">
        <v>3</v>
      </c>
      <c r="W27" s="92">
        <v>0</v>
      </c>
      <c r="X27" s="92">
        <v>8</v>
      </c>
      <c r="Y27" s="92">
        <v>0</v>
      </c>
      <c r="Z27" s="92">
        <v>5</v>
      </c>
      <c r="AA27" s="92">
        <v>0</v>
      </c>
      <c r="AB27" s="92">
        <v>6</v>
      </c>
      <c r="AC27" s="92">
        <v>8</v>
      </c>
      <c r="AD27" s="92">
        <v>4</v>
      </c>
      <c r="AE27" s="92">
        <v>1</v>
      </c>
      <c r="AF27" s="92">
        <v>6</v>
      </c>
      <c r="AG27" s="92">
        <v>0</v>
      </c>
      <c r="AH27" s="92">
        <v>0</v>
      </c>
      <c r="AI27" s="92">
        <v>8</v>
      </c>
      <c r="AJ27" s="92">
        <v>2</v>
      </c>
      <c r="AK27" s="92">
        <v>0</v>
      </c>
      <c r="AL27" s="92">
        <v>4</v>
      </c>
      <c r="AM27" s="92">
        <v>3</v>
      </c>
      <c r="AN27" s="92">
        <v>0</v>
      </c>
      <c r="AO27" s="92">
        <v>0</v>
      </c>
      <c r="AP27" s="92">
        <v>2</v>
      </c>
      <c r="AQ27" s="92">
        <v>2</v>
      </c>
      <c r="AR27" s="92">
        <v>0</v>
      </c>
      <c r="AS27" s="92">
        <v>3</v>
      </c>
      <c r="AT27" s="92">
        <v>8</v>
      </c>
      <c r="AU27" s="92"/>
      <c r="AV27" s="92"/>
      <c r="AW27" s="92">
        <v>0</v>
      </c>
      <c r="AX27" s="92">
        <v>1</v>
      </c>
      <c r="AY27" s="92">
        <v>4</v>
      </c>
      <c r="AZ27" s="92">
        <v>0</v>
      </c>
      <c r="BA27" s="92">
        <v>0</v>
      </c>
      <c r="BB27" s="92">
        <v>1</v>
      </c>
      <c r="BC27" s="92">
        <v>0</v>
      </c>
      <c r="BD27" s="92">
        <v>8</v>
      </c>
      <c r="BE27" s="92">
        <v>7</v>
      </c>
      <c r="BF27" s="92">
        <v>1</v>
      </c>
      <c r="BG27" s="92">
        <v>13</v>
      </c>
      <c r="BH27" s="92">
        <v>18</v>
      </c>
      <c r="BI27" s="92">
        <v>0</v>
      </c>
      <c r="BJ27" s="92">
        <v>0</v>
      </c>
      <c r="BK27" s="92">
        <v>0</v>
      </c>
      <c r="BL27" s="92">
        <v>0</v>
      </c>
      <c r="BM27" s="92">
        <v>0</v>
      </c>
      <c r="BN27" s="92">
        <v>0</v>
      </c>
      <c r="BO27" s="92">
        <v>0</v>
      </c>
      <c r="BP27" s="92">
        <v>0</v>
      </c>
      <c r="BQ27" s="92">
        <v>0</v>
      </c>
      <c r="BR27" s="92">
        <v>0</v>
      </c>
      <c r="BS27" s="92">
        <v>1</v>
      </c>
      <c r="BT27" s="92">
        <v>0</v>
      </c>
      <c r="BU27" s="92">
        <v>0</v>
      </c>
      <c r="BV27" s="92">
        <v>0</v>
      </c>
      <c r="BW27" s="92">
        <v>0</v>
      </c>
      <c r="BX27" s="92">
        <v>0</v>
      </c>
      <c r="BY27" s="92">
        <v>1</v>
      </c>
      <c r="BZ27" s="92">
        <v>0</v>
      </c>
      <c r="CA27" s="92">
        <v>0</v>
      </c>
      <c r="CB27" s="92">
        <v>0</v>
      </c>
      <c r="CC27" s="92">
        <v>0</v>
      </c>
      <c r="CD27" s="92">
        <v>0</v>
      </c>
      <c r="CE27" s="92">
        <v>0</v>
      </c>
      <c r="CF27" s="92">
        <v>0</v>
      </c>
      <c r="CG27" s="92">
        <v>0</v>
      </c>
      <c r="CH27" s="92">
        <v>1</v>
      </c>
      <c r="CI27" s="92">
        <v>0</v>
      </c>
      <c r="CJ27" s="92">
        <v>0</v>
      </c>
      <c r="CK27" s="92">
        <v>1</v>
      </c>
      <c r="CL27" s="92">
        <v>1</v>
      </c>
      <c r="CM27" s="92">
        <v>0</v>
      </c>
      <c r="CN27" s="92">
        <v>0</v>
      </c>
      <c r="CO27" s="92">
        <v>0</v>
      </c>
      <c r="CP27" s="92">
        <v>0</v>
      </c>
      <c r="CQ27" s="92">
        <v>0</v>
      </c>
      <c r="CR27" s="92">
        <v>2</v>
      </c>
      <c r="CS27" s="92">
        <v>0</v>
      </c>
      <c r="CT27" s="92">
        <v>0</v>
      </c>
      <c r="CU27" s="92">
        <v>0</v>
      </c>
      <c r="CV27" s="92">
        <v>0</v>
      </c>
      <c r="CW27" s="92">
        <v>0</v>
      </c>
      <c r="CX27" s="92">
        <v>0</v>
      </c>
      <c r="CY27" s="92">
        <v>0</v>
      </c>
      <c r="CZ27" s="92">
        <v>3</v>
      </c>
      <c r="DA27" s="92">
        <v>1</v>
      </c>
      <c r="DB27" s="92">
        <v>0</v>
      </c>
      <c r="DC27" s="92">
        <v>0</v>
      </c>
      <c r="DD27" s="92">
        <v>0</v>
      </c>
      <c r="DE27" s="92">
        <v>0</v>
      </c>
      <c r="DF27" s="92">
        <v>0</v>
      </c>
      <c r="DG27" s="92">
        <v>1</v>
      </c>
      <c r="DH27" s="92">
        <v>0</v>
      </c>
      <c r="DI27" s="92">
        <v>3</v>
      </c>
      <c r="DJ27" s="92">
        <v>0</v>
      </c>
      <c r="DK27" s="92">
        <v>0</v>
      </c>
      <c r="DL27" s="92">
        <v>2</v>
      </c>
      <c r="DM27" s="92">
        <v>0</v>
      </c>
      <c r="DN27" s="92">
        <v>0</v>
      </c>
      <c r="DO27" s="92">
        <v>0</v>
      </c>
      <c r="DP27" s="92">
        <v>0</v>
      </c>
      <c r="DQ27" s="92">
        <v>0</v>
      </c>
      <c r="DR27" s="92">
        <v>0</v>
      </c>
      <c r="DS27" s="92">
        <v>0</v>
      </c>
      <c r="DT27" s="92">
        <v>0</v>
      </c>
      <c r="DU27" s="92">
        <v>0</v>
      </c>
      <c r="DV27" s="92">
        <v>1</v>
      </c>
      <c r="DW27" s="92">
        <v>0</v>
      </c>
      <c r="DX27" s="92">
        <v>0</v>
      </c>
      <c r="DY27" s="92">
        <v>1</v>
      </c>
      <c r="DZ27" s="92">
        <v>0</v>
      </c>
      <c r="EA27" s="92">
        <v>3</v>
      </c>
      <c r="EB27" s="92">
        <v>0</v>
      </c>
      <c r="EC27" s="92">
        <v>0</v>
      </c>
      <c r="ED27" s="92">
        <v>5</v>
      </c>
      <c r="EE27" s="92">
        <v>3</v>
      </c>
      <c r="EF27" s="92">
        <v>0</v>
      </c>
      <c r="EG27" s="92">
        <v>1</v>
      </c>
      <c r="EH27" s="92">
        <v>1</v>
      </c>
      <c r="EI27" s="92">
        <v>85</v>
      </c>
      <c r="EJ27" s="92">
        <v>1</v>
      </c>
      <c r="EK27" s="92">
        <v>43</v>
      </c>
      <c r="EL27" s="92">
        <v>41</v>
      </c>
      <c r="EM27" s="94"/>
      <c r="EN27" s="94"/>
      <c r="EO27" s="94"/>
      <c r="EP27" s="94"/>
      <c r="EQ27" s="92"/>
      <c r="ER27" s="92"/>
      <c r="ES27" s="92"/>
      <c r="ET27" s="92"/>
      <c r="EU27" s="92"/>
      <c r="EV27" s="92"/>
      <c r="EW27" s="92"/>
      <c r="EX27" s="92"/>
      <c r="EY27" s="92"/>
      <c r="EZ27" s="92"/>
      <c r="FA27" s="92"/>
      <c r="FB27" s="92"/>
    </row>
    <row r="28" spans="1:158" x14ac:dyDescent="0.15">
      <c r="A28">
        <v>28</v>
      </c>
      <c r="B28" s="95" t="s">
        <v>34</v>
      </c>
      <c r="C28">
        <v>1851</v>
      </c>
      <c r="D28" s="92">
        <v>0</v>
      </c>
      <c r="E28" s="92">
        <v>2</v>
      </c>
      <c r="F28" s="92">
        <v>0</v>
      </c>
      <c r="G28" s="92">
        <v>15</v>
      </c>
      <c r="H28" s="92">
        <v>25</v>
      </c>
      <c r="I28" s="92">
        <v>0</v>
      </c>
      <c r="J28" s="93">
        <v>4875</v>
      </c>
      <c r="K28" s="93">
        <v>5993</v>
      </c>
      <c r="L28" s="93">
        <v>1229.3333333333333</v>
      </c>
      <c r="M28" s="93"/>
      <c r="N28" s="93">
        <v>52.52</v>
      </c>
      <c r="O28" s="93">
        <v>658</v>
      </c>
      <c r="P28" s="93">
        <v>615</v>
      </c>
      <c r="Q28" s="92">
        <v>14</v>
      </c>
      <c r="R28" s="92">
        <v>7</v>
      </c>
      <c r="S28" s="92">
        <v>2</v>
      </c>
      <c r="T28" s="92">
        <v>3</v>
      </c>
      <c r="U28" s="92">
        <v>1</v>
      </c>
      <c r="V28" s="92">
        <v>1</v>
      </c>
      <c r="W28" s="92">
        <v>2</v>
      </c>
      <c r="X28" s="92">
        <v>7</v>
      </c>
      <c r="Y28" s="92">
        <v>0</v>
      </c>
      <c r="Z28" s="92">
        <v>10</v>
      </c>
      <c r="AA28" s="92">
        <v>1</v>
      </c>
      <c r="AB28" s="92">
        <v>1</v>
      </c>
      <c r="AC28" s="92">
        <v>5</v>
      </c>
      <c r="AD28" s="92">
        <v>5</v>
      </c>
      <c r="AE28" s="92">
        <v>0</v>
      </c>
      <c r="AF28" s="92">
        <v>3</v>
      </c>
      <c r="AG28" s="92">
        <v>3</v>
      </c>
      <c r="AH28" s="92">
        <v>0</v>
      </c>
      <c r="AI28" s="92">
        <v>5</v>
      </c>
      <c r="AJ28" s="92">
        <v>2</v>
      </c>
      <c r="AK28" s="92">
        <v>7</v>
      </c>
      <c r="AL28" s="92">
        <v>7</v>
      </c>
      <c r="AM28" s="92">
        <v>6</v>
      </c>
      <c r="AN28" s="92">
        <v>0</v>
      </c>
      <c r="AO28" s="92">
        <v>0</v>
      </c>
      <c r="AP28" s="92">
        <v>8</v>
      </c>
      <c r="AQ28" s="92">
        <v>5</v>
      </c>
      <c r="AR28" s="92">
        <v>1</v>
      </c>
      <c r="AS28" s="92">
        <v>7</v>
      </c>
      <c r="AT28" s="92">
        <v>4</v>
      </c>
      <c r="AU28" s="92"/>
      <c r="AV28" s="92"/>
      <c r="AW28" s="92">
        <v>0</v>
      </c>
      <c r="AX28" s="92">
        <v>2</v>
      </c>
      <c r="AY28" s="92">
        <v>3</v>
      </c>
      <c r="AZ28" s="92">
        <v>0</v>
      </c>
      <c r="BA28" s="92">
        <v>0</v>
      </c>
      <c r="BB28" s="92">
        <v>0</v>
      </c>
      <c r="BC28" s="92">
        <v>0</v>
      </c>
      <c r="BD28" s="92">
        <v>0</v>
      </c>
      <c r="BE28" s="92">
        <v>0</v>
      </c>
      <c r="BF28" s="92">
        <v>0</v>
      </c>
      <c r="BG28" s="92">
        <v>0</v>
      </c>
      <c r="BH28" s="92">
        <v>1</v>
      </c>
      <c r="BI28" s="92">
        <v>0</v>
      </c>
      <c r="BJ28" s="92">
        <v>0</v>
      </c>
      <c r="BK28" s="92">
        <v>0</v>
      </c>
      <c r="BL28" s="92">
        <v>0</v>
      </c>
      <c r="BM28" s="92">
        <v>0</v>
      </c>
      <c r="BN28" s="92">
        <v>0</v>
      </c>
      <c r="BO28" s="92">
        <v>0</v>
      </c>
      <c r="BP28" s="92">
        <v>0</v>
      </c>
      <c r="BQ28" s="92">
        <v>0</v>
      </c>
      <c r="BR28" s="92">
        <v>0</v>
      </c>
      <c r="BS28" s="92">
        <v>0</v>
      </c>
      <c r="BT28" s="92">
        <v>0</v>
      </c>
      <c r="BU28" s="92">
        <v>0</v>
      </c>
      <c r="BV28" s="92">
        <v>0</v>
      </c>
      <c r="BW28" s="92">
        <v>0</v>
      </c>
      <c r="BX28" s="92">
        <v>0</v>
      </c>
      <c r="BY28" s="92">
        <v>0</v>
      </c>
      <c r="BZ28" s="92">
        <v>2</v>
      </c>
      <c r="CA28" s="92">
        <v>0</v>
      </c>
      <c r="CB28" s="92">
        <v>0</v>
      </c>
      <c r="CC28" s="92">
        <v>0</v>
      </c>
      <c r="CD28" s="92">
        <v>0</v>
      </c>
      <c r="CE28" s="92">
        <v>0</v>
      </c>
      <c r="CF28" s="92">
        <v>0</v>
      </c>
      <c r="CG28" s="92">
        <v>0</v>
      </c>
      <c r="CH28" s="92">
        <v>0</v>
      </c>
      <c r="CI28" s="92">
        <v>0</v>
      </c>
      <c r="CJ28" s="92">
        <v>0</v>
      </c>
      <c r="CK28" s="92">
        <v>0</v>
      </c>
      <c r="CL28" s="92">
        <v>0</v>
      </c>
      <c r="CM28" s="92">
        <v>0</v>
      </c>
      <c r="CN28" s="92">
        <v>0</v>
      </c>
      <c r="CO28" s="92">
        <v>0</v>
      </c>
      <c r="CP28" s="92">
        <v>0</v>
      </c>
      <c r="CQ28" s="92">
        <v>0</v>
      </c>
      <c r="CR28" s="92">
        <v>0</v>
      </c>
      <c r="CS28" s="92">
        <v>0</v>
      </c>
      <c r="CT28" s="92">
        <v>0</v>
      </c>
      <c r="CU28" s="92">
        <v>0</v>
      </c>
      <c r="CV28" s="92">
        <v>0</v>
      </c>
      <c r="CW28" s="92">
        <v>0</v>
      </c>
      <c r="CX28" s="92">
        <v>0</v>
      </c>
      <c r="CY28" s="92">
        <v>0</v>
      </c>
      <c r="CZ28" s="92">
        <v>4</v>
      </c>
      <c r="DA28" s="92">
        <v>0</v>
      </c>
      <c r="DB28" s="92">
        <v>0</v>
      </c>
      <c r="DC28" s="92">
        <v>0</v>
      </c>
      <c r="DD28" s="92">
        <v>0</v>
      </c>
      <c r="DE28" s="92">
        <v>0</v>
      </c>
      <c r="DF28" s="92">
        <v>1</v>
      </c>
      <c r="DG28" s="92">
        <v>1</v>
      </c>
      <c r="DH28" s="92">
        <v>0</v>
      </c>
      <c r="DI28" s="92">
        <v>0</v>
      </c>
      <c r="DJ28" s="92">
        <v>1</v>
      </c>
      <c r="DK28" s="92">
        <v>0</v>
      </c>
      <c r="DL28" s="92">
        <v>0</v>
      </c>
      <c r="DM28" s="92">
        <v>0</v>
      </c>
      <c r="DN28" s="92">
        <v>0</v>
      </c>
      <c r="DO28" s="92">
        <v>0</v>
      </c>
      <c r="DP28" s="92">
        <v>0</v>
      </c>
      <c r="DQ28" s="92">
        <v>0</v>
      </c>
      <c r="DR28" s="92">
        <v>0</v>
      </c>
      <c r="DS28" s="92">
        <v>0</v>
      </c>
      <c r="DT28" s="92">
        <v>0</v>
      </c>
      <c r="DU28" s="92">
        <v>0</v>
      </c>
      <c r="DV28" s="92">
        <v>0</v>
      </c>
      <c r="DW28" s="92">
        <v>0</v>
      </c>
      <c r="DX28" s="92">
        <v>1</v>
      </c>
      <c r="DY28" s="92">
        <v>1</v>
      </c>
      <c r="DZ28" s="92">
        <v>0</v>
      </c>
      <c r="EA28" s="92">
        <v>1</v>
      </c>
      <c r="EB28" s="92">
        <v>0</v>
      </c>
      <c r="EC28" s="92">
        <v>0</v>
      </c>
      <c r="ED28" s="92">
        <v>1</v>
      </c>
      <c r="EE28" s="92">
        <v>0</v>
      </c>
      <c r="EF28" s="92">
        <v>0</v>
      </c>
      <c r="EG28" s="92">
        <v>0</v>
      </c>
      <c r="EH28" s="92">
        <v>0</v>
      </c>
      <c r="EI28" s="92">
        <v>19</v>
      </c>
      <c r="EJ28" s="92">
        <v>0</v>
      </c>
      <c r="EK28" s="92">
        <v>10</v>
      </c>
      <c r="EL28" s="92">
        <v>9</v>
      </c>
      <c r="EM28" s="94"/>
      <c r="EN28" s="94"/>
      <c r="EO28" s="94"/>
      <c r="EP28" s="94"/>
      <c r="EQ28" s="92"/>
      <c r="ER28" s="92"/>
      <c r="ES28" s="92"/>
      <c r="ET28" s="92"/>
      <c r="EU28" s="92"/>
      <c r="EV28" s="92"/>
      <c r="EW28" s="92"/>
      <c r="EX28" s="92"/>
      <c r="EY28" s="92"/>
      <c r="EZ28" s="92"/>
      <c r="FA28" s="92"/>
      <c r="FB28" s="92"/>
    </row>
    <row r="29" spans="1:158" x14ac:dyDescent="0.15">
      <c r="A29">
        <v>29</v>
      </c>
      <c r="B29" s="95" t="s">
        <v>18</v>
      </c>
      <c r="C29">
        <v>1851</v>
      </c>
      <c r="D29" s="92">
        <v>2</v>
      </c>
      <c r="E29" s="92">
        <v>14</v>
      </c>
      <c r="F29" s="92">
        <v>17</v>
      </c>
      <c r="G29" s="92">
        <v>0</v>
      </c>
      <c r="H29" s="92">
        <v>0</v>
      </c>
      <c r="I29" s="92"/>
      <c r="J29" s="93">
        <v>2379</v>
      </c>
      <c r="K29" s="93">
        <v>5239.3367117117123</v>
      </c>
      <c r="L29" s="93" t="s">
        <v>671</v>
      </c>
      <c r="M29" s="93"/>
      <c r="N29" s="93"/>
      <c r="O29" s="93">
        <v>368</v>
      </c>
      <c r="P29" s="93"/>
      <c r="Q29" s="92">
        <v>2</v>
      </c>
      <c r="R29" s="92">
        <v>2</v>
      </c>
      <c r="S29" s="92">
        <v>3</v>
      </c>
      <c r="T29" s="92">
        <v>5</v>
      </c>
      <c r="U29" s="92">
        <v>1</v>
      </c>
      <c r="V29" s="92">
        <v>4</v>
      </c>
      <c r="W29" s="92">
        <v>0</v>
      </c>
      <c r="X29" s="92">
        <v>5</v>
      </c>
      <c r="Y29" s="92">
        <v>3</v>
      </c>
      <c r="Z29" s="92">
        <v>71</v>
      </c>
      <c r="AA29" s="92">
        <v>17</v>
      </c>
      <c r="AB29" s="92">
        <v>0</v>
      </c>
      <c r="AC29" s="92">
        <v>13</v>
      </c>
      <c r="AD29" s="92">
        <v>13</v>
      </c>
      <c r="AE29" s="92">
        <v>14</v>
      </c>
      <c r="AF29" s="92">
        <v>15</v>
      </c>
      <c r="AG29" s="92">
        <v>2</v>
      </c>
      <c r="AH29" s="92">
        <v>14</v>
      </c>
      <c r="AI29" s="92">
        <v>24</v>
      </c>
      <c r="AJ29" s="92">
        <v>1</v>
      </c>
      <c r="AK29" s="92">
        <v>8</v>
      </c>
      <c r="AL29" s="92">
        <v>4</v>
      </c>
      <c r="AM29" s="92">
        <v>7</v>
      </c>
      <c r="AN29" s="92">
        <v>1</v>
      </c>
      <c r="AO29" s="92">
        <v>1</v>
      </c>
      <c r="AP29" s="92">
        <v>2</v>
      </c>
      <c r="AQ29" s="92">
        <v>0</v>
      </c>
      <c r="AR29" s="92">
        <v>5</v>
      </c>
      <c r="AS29" s="92">
        <v>7</v>
      </c>
      <c r="AT29" s="92">
        <v>19</v>
      </c>
      <c r="AU29" s="92"/>
      <c r="AV29" s="92"/>
      <c r="AW29" s="92">
        <v>0</v>
      </c>
      <c r="AX29" s="92">
        <v>1</v>
      </c>
      <c r="AY29" s="92">
        <v>1</v>
      </c>
      <c r="AZ29" s="92">
        <v>0</v>
      </c>
      <c r="BA29" s="92">
        <v>0</v>
      </c>
      <c r="BB29" s="92">
        <v>0</v>
      </c>
      <c r="BC29" s="92">
        <v>0</v>
      </c>
      <c r="BD29" s="92">
        <v>1</v>
      </c>
      <c r="BE29" s="92">
        <v>1</v>
      </c>
      <c r="BF29" s="92">
        <v>0</v>
      </c>
      <c r="BG29" s="92">
        <v>0</v>
      </c>
      <c r="BH29" s="92">
        <v>0</v>
      </c>
      <c r="BI29" s="92">
        <v>0</v>
      </c>
      <c r="BJ29" s="92">
        <v>0</v>
      </c>
      <c r="BK29" s="92">
        <v>0</v>
      </c>
      <c r="BL29" s="92">
        <v>0</v>
      </c>
      <c r="BM29" s="92">
        <v>1</v>
      </c>
      <c r="BN29" s="92">
        <v>0</v>
      </c>
      <c r="BO29" s="92">
        <v>0</v>
      </c>
      <c r="BP29" s="92">
        <v>2</v>
      </c>
      <c r="BQ29" s="92">
        <v>1</v>
      </c>
      <c r="BR29" s="92">
        <v>0</v>
      </c>
      <c r="BS29" s="92">
        <v>1</v>
      </c>
      <c r="BT29" s="92">
        <v>1</v>
      </c>
      <c r="BU29" s="92">
        <v>0</v>
      </c>
      <c r="BV29" s="92">
        <v>0</v>
      </c>
      <c r="BW29" s="92">
        <v>0</v>
      </c>
      <c r="BX29" s="92">
        <v>1</v>
      </c>
      <c r="BY29" s="92">
        <v>12</v>
      </c>
      <c r="BZ29" s="92">
        <v>11</v>
      </c>
      <c r="CA29" s="92">
        <v>0</v>
      </c>
      <c r="CB29" s="92">
        <v>7</v>
      </c>
      <c r="CC29" s="92">
        <v>2</v>
      </c>
      <c r="CD29" s="92">
        <v>0</v>
      </c>
      <c r="CE29" s="92">
        <v>0</v>
      </c>
      <c r="CF29" s="92">
        <v>0</v>
      </c>
      <c r="CG29" s="92">
        <v>0</v>
      </c>
      <c r="CH29" s="92">
        <v>17</v>
      </c>
      <c r="CI29" s="92">
        <v>10</v>
      </c>
      <c r="CJ29" s="92">
        <v>0</v>
      </c>
      <c r="CK29" s="92">
        <v>0</v>
      </c>
      <c r="CL29" s="92">
        <v>1</v>
      </c>
      <c r="CM29" s="92">
        <v>0</v>
      </c>
      <c r="CN29" s="92">
        <v>0</v>
      </c>
      <c r="CO29" s="92">
        <v>0</v>
      </c>
      <c r="CP29" s="92">
        <v>0</v>
      </c>
      <c r="CQ29" s="92">
        <v>1</v>
      </c>
      <c r="CR29" s="92">
        <v>1</v>
      </c>
      <c r="CS29" s="92">
        <v>0</v>
      </c>
      <c r="CT29" s="92">
        <v>0</v>
      </c>
      <c r="CU29" s="92">
        <v>0</v>
      </c>
      <c r="CV29" s="92">
        <v>0</v>
      </c>
      <c r="CW29" s="92">
        <v>3</v>
      </c>
      <c r="CX29" s="92">
        <v>0</v>
      </c>
      <c r="CY29" s="92">
        <v>0</v>
      </c>
      <c r="CZ29" s="92">
        <v>11</v>
      </c>
      <c r="DA29" s="92">
        <v>3</v>
      </c>
      <c r="DB29" s="92">
        <v>0</v>
      </c>
      <c r="DC29" s="92">
        <v>2</v>
      </c>
      <c r="DD29" s="92">
        <v>2</v>
      </c>
      <c r="DE29" s="92">
        <v>0</v>
      </c>
      <c r="DF29" s="92">
        <v>1</v>
      </c>
      <c r="DG29" s="92">
        <v>2</v>
      </c>
      <c r="DH29" s="92">
        <v>0</v>
      </c>
      <c r="DI29" s="92">
        <v>1</v>
      </c>
      <c r="DJ29" s="92">
        <v>0</v>
      </c>
      <c r="DK29" s="92">
        <v>0</v>
      </c>
      <c r="DL29" s="92">
        <v>4</v>
      </c>
      <c r="DM29" s="92">
        <v>2</v>
      </c>
      <c r="DN29" s="92">
        <v>0</v>
      </c>
      <c r="DO29" s="92">
        <v>0</v>
      </c>
      <c r="DP29" s="92">
        <v>0</v>
      </c>
      <c r="DQ29" s="92">
        <v>0</v>
      </c>
      <c r="DR29" s="92">
        <v>0</v>
      </c>
      <c r="DS29" s="92">
        <v>1</v>
      </c>
      <c r="DT29" s="92">
        <v>0</v>
      </c>
      <c r="DU29" s="92">
        <v>0</v>
      </c>
      <c r="DV29" s="92">
        <v>2</v>
      </c>
      <c r="DW29" s="92">
        <v>0</v>
      </c>
      <c r="DX29" s="92">
        <v>0</v>
      </c>
      <c r="DY29" s="92">
        <v>0</v>
      </c>
      <c r="DZ29" s="92">
        <v>0</v>
      </c>
      <c r="EA29" s="92">
        <v>4</v>
      </c>
      <c r="EB29" s="92">
        <v>1</v>
      </c>
      <c r="EC29" s="92">
        <v>0</v>
      </c>
      <c r="ED29" s="92">
        <v>1</v>
      </c>
      <c r="EE29" s="92">
        <v>0</v>
      </c>
      <c r="EF29" s="92">
        <v>0</v>
      </c>
      <c r="EG29" s="92">
        <v>0</v>
      </c>
      <c r="EH29" s="92">
        <v>1</v>
      </c>
      <c r="EI29" s="92">
        <v>114</v>
      </c>
      <c r="EJ29" s="92">
        <v>1</v>
      </c>
      <c r="EK29" s="92">
        <v>70</v>
      </c>
      <c r="EL29" s="92">
        <v>43</v>
      </c>
      <c r="EM29" s="94"/>
      <c r="EN29" s="94"/>
      <c r="EO29" s="94"/>
      <c r="EP29" s="94"/>
      <c r="EQ29" s="92"/>
      <c r="ER29" s="92"/>
      <c r="ES29" s="92"/>
      <c r="ET29" s="92"/>
      <c r="EU29" s="92"/>
      <c r="EV29" s="92"/>
      <c r="EW29" s="92"/>
      <c r="EX29" s="92"/>
      <c r="EY29" s="92"/>
      <c r="EZ29" s="92"/>
      <c r="FA29" s="92"/>
      <c r="FB29" s="92"/>
    </row>
    <row r="30" spans="1:158" hidden="1" x14ac:dyDescent="0.15">
      <c r="A30">
        <v>30</v>
      </c>
      <c r="B30" t="s">
        <v>684</v>
      </c>
      <c r="C30">
        <v>1851</v>
      </c>
      <c r="D30" s="92"/>
      <c r="E30" s="92"/>
      <c r="F30" s="92"/>
      <c r="G30" s="92">
        <v>5</v>
      </c>
      <c r="H30" s="92">
        <v>15</v>
      </c>
      <c r="I30" s="92">
        <v>857</v>
      </c>
      <c r="J30" s="93"/>
      <c r="K30" s="93"/>
      <c r="L30" s="93"/>
      <c r="M30" s="93"/>
      <c r="N30" s="93"/>
      <c r="O30" s="93"/>
      <c r="P30" s="93">
        <v>124</v>
      </c>
      <c r="Q30" s="92">
        <v>8</v>
      </c>
      <c r="R30" s="92">
        <v>1</v>
      </c>
      <c r="S30" s="92">
        <v>4</v>
      </c>
      <c r="T30" s="92">
        <v>25</v>
      </c>
      <c r="U30" s="92">
        <v>3</v>
      </c>
      <c r="V30" s="92">
        <v>1</v>
      </c>
      <c r="W30" s="92">
        <v>0</v>
      </c>
      <c r="X30" s="92">
        <v>0</v>
      </c>
      <c r="Y30" s="92">
        <v>0</v>
      </c>
      <c r="Z30" s="92">
        <v>2</v>
      </c>
      <c r="AA30" s="92">
        <v>0</v>
      </c>
      <c r="AB30" s="92">
        <v>0</v>
      </c>
      <c r="AC30" s="92">
        <v>1</v>
      </c>
      <c r="AD30" s="92">
        <v>1</v>
      </c>
      <c r="AE30" s="92">
        <v>4</v>
      </c>
      <c r="AF30" s="92">
        <v>1</v>
      </c>
      <c r="AG30" s="92">
        <v>1</v>
      </c>
      <c r="AH30" s="92">
        <v>1</v>
      </c>
      <c r="AI30" s="92">
        <v>1</v>
      </c>
      <c r="AJ30" s="92">
        <v>2</v>
      </c>
      <c r="AK30" s="92">
        <v>0</v>
      </c>
      <c r="AL30" s="92">
        <v>2</v>
      </c>
      <c r="AM30" s="92">
        <v>3</v>
      </c>
      <c r="AN30" s="92">
        <v>0</v>
      </c>
      <c r="AO30" s="92">
        <v>1</v>
      </c>
      <c r="AP30" s="92">
        <v>3</v>
      </c>
      <c r="AQ30" s="92">
        <v>8</v>
      </c>
      <c r="AR30" s="92">
        <v>3</v>
      </c>
      <c r="AS30" s="92">
        <v>2</v>
      </c>
      <c r="AT30" s="92">
        <v>21</v>
      </c>
      <c r="AU30" s="92"/>
      <c r="AV30" s="92"/>
      <c r="AW30" s="92">
        <v>0</v>
      </c>
      <c r="AX30" s="92">
        <v>2</v>
      </c>
      <c r="AY30" s="92">
        <v>0</v>
      </c>
      <c r="AZ30" s="92">
        <v>1</v>
      </c>
      <c r="BA30" s="92">
        <v>2</v>
      </c>
      <c r="BB30" s="92">
        <v>1</v>
      </c>
      <c r="BC30" s="92">
        <v>0</v>
      </c>
      <c r="BD30" s="92">
        <v>1</v>
      </c>
      <c r="BE30" s="92">
        <v>0</v>
      </c>
      <c r="BF30" s="92">
        <v>0</v>
      </c>
      <c r="BG30" s="92">
        <v>9</v>
      </c>
      <c r="BH30" s="92">
        <v>12</v>
      </c>
      <c r="BI30" s="92">
        <v>0</v>
      </c>
      <c r="BJ30" s="92">
        <v>0</v>
      </c>
      <c r="BK30" s="92">
        <v>0</v>
      </c>
      <c r="BL30" s="92">
        <v>0</v>
      </c>
      <c r="BM30" s="92">
        <v>1</v>
      </c>
      <c r="BN30" s="92">
        <v>0</v>
      </c>
      <c r="BO30" s="92">
        <v>0</v>
      </c>
      <c r="BP30" s="92">
        <v>0</v>
      </c>
      <c r="BQ30" s="92">
        <v>0</v>
      </c>
      <c r="BR30" s="92">
        <v>0</v>
      </c>
      <c r="BS30" s="92">
        <v>0</v>
      </c>
      <c r="BT30" s="92">
        <v>0</v>
      </c>
      <c r="BU30" s="92">
        <v>0</v>
      </c>
      <c r="BV30" s="92">
        <v>0</v>
      </c>
      <c r="BW30" s="92">
        <v>0</v>
      </c>
      <c r="BX30" s="92">
        <v>1</v>
      </c>
      <c r="BY30" s="92">
        <v>2</v>
      </c>
      <c r="BZ30" s="92">
        <v>0</v>
      </c>
      <c r="CA30" s="92">
        <v>0</v>
      </c>
      <c r="CB30" s="92">
        <v>0</v>
      </c>
      <c r="CC30" s="92">
        <v>0</v>
      </c>
      <c r="CD30" s="92">
        <v>0</v>
      </c>
      <c r="CE30" s="92">
        <v>0</v>
      </c>
      <c r="CF30" s="92">
        <v>0</v>
      </c>
      <c r="CG30" s="92">
        <v>0</v>
      </c>
      <c r="CH30" s="92">
        <v>0</v>
      </c>
      <c r="CI30" s="92">
        <v>0</v>
      </c>
      <c r="CJ30" s="92">
        <v>0</v>
      </c>
      <c r="CK30" s="92">
        <v>1</v>
      </c>
      <c r="CL30" s="92">
        <v>0</v>
      </c>
      <c r="CM30" s="92">
        <v>0</v>
      </c>
      <c r="CN30" s="92">
        <v>0</v>
      </c>
      <c r="CO30" s="92">
        <v>0</v>
      </c>
      <c r="CP30" s="92">
        <v>0</v>
      </c>
      <c r="CQ30" s="92">
        <v>0</v>
      </c>
      <c r="CR30" s="92">
        <v>0</v>
      </c>
      <c r="CS30" s="92">
        <v>0</v>
      </c>
      <c r="CT30" s="92">
        <v>0</v>
      </c>
      <c r="CU30" s="92">
        <v>0</v>
      </c>
      <c r="CV30" s="92">
        <v>0</v>
      </c>
      <c r="CW30" s="92">
        <v>0</v>
      </c>
      <c r="CX30" s="92">
        <v>0</v>
      </c>
      <c r="CY30" s="92">
        <v>0</v>
      </c>
      <c r="CZ30" s="92">
        <v>1</v>
      </c>
      <c r="DA30" s="92">
        <v>0</v>
      </c>
      <c r="DB30" s="92">
        <v>0</v>
      </c>
      <c r="DC30" s="92">
        <v>2</v>
      </c>
      <c r="DD30" s="92">
        <v>0</v>
      </c>
      <c r="DE30" s="92">
        <v>0</v>
      </c>
      <c r="DF30" s="92">
        <v>0</v>
      </c>
      <c r="DG30" s="92">
        <v>0</v>
      </c>
      <c r="DH30" s="92">
        <v>0</v>
      </c>
      <c r="DI30" s="92">
        <v>1</v>
      </c>
      <c r="DJ30" s="92">
        <v>0</v>
      </c>
      <c r="DK30" s="92">
        <v>0</v>
      </c>
      <c r="DL30" s="92">
        <v>0</v>
      </c>
      <c r="DM30" s="92">
        <v>0</v>
      </c>
      <c r="DN30" s="92">
        <v>0</v>
      </c>
      <c r="DO30" s="92">
        <v>0</v>
      </c>
      <c r="DP30" s="92">
        <v>0</v>
      </c>
      <c r="DQ30" s="92">
        <v>0</v>
      </c>
      <c r="DR30" s="92">
        <v>0</v>
      </c>
      <c r="DS30" s="92">
        <v>0</v>
      </c>
      <c r="DT30" s="92">
        <v>0</v>
      </c>
      <c r="DU30" s="92">
        <v>3</v>
      </c>
      <c r="DV30" s="92">
        <v>2</v>
      </c>
      <c r="DW30" s="92">
        <v>0</v>
      </c>
      <c r="DX30" s="92">
        <v>4</v>
      </c>
      <c r="DY30" s="92">
        <v>3</v>
      </c>
      <c r="DZ30" s="92">
        <v>0</v>
      </c>
      <c r="EA30" s="92">
        <v>0</v>
      </c>
      <c r="EB30" s="92">
        <v>1</v>
      </c>
      <c r="EC30" s="92">
        <v>0</v>
      </c>
      <c r="ED30" s="92">
        <v>1</v>
      </c>
      <c r="EE30" s="92">
        <v>2</v>
      </c>
      <c r="EF30" s="92">
        <v>0</v>
      </c>
      <c r="EG30" s="92">
        <v>0</v>
      </c>
      <c r="EH30" s="92">
        <v>4</v>
      </c>
      <c r="EI30" s="92">
        <v>57</v>
      </c>
      <c r="EJ30" s="92">
        <v>2</v>
      </c>
      <c r="EK30" s="92">
        <v>30</v>
      </c>
      <c r="EL30" s="92">
        <v>25</v>
      </c>
      <c r="EM30" s="94"/>
      <c r="EN30" s="94"/>
      <c r="EO30" s="94"/>
      <c r="EP30" s="94"/>
      <c r="EQ30" s="92"/>
      <c r="ER30" s="92"/>
      <c r="ES30" s="92"/>
      <c r="ET30" s="92"/>
      <c r="EU30" s="92"/>
      <c r="EV30" s="92"/>
      <c r="EW30" s="92"/>
      <c r="EX30" s="92"/>
      <c r="EY30" s="92"/>
      <c r="EZ30" s="92"/>
      <c r="FA30" s="92"/>
      <c r="FB30" s="92"/>
    </row>
    <row r="31" spans="1:158" x14ac:dyDescent="0.15">
      <c r="A31">
        <v>31</v>
      </c>
      <c r="B31" s="95" t="s">
        <v>25</v>
      </c>
      <c r="C31">
        <v>1851</v>
      </c>
      <c r="D31" s="92">
        <v>5</v>
      </c>
      <c r="E31" s="92">
        <v>8</v>
      </c>
      <c r="F31" s="92">
        <v>23</v>
      </c>
      <c r="G31" s="92">
        <v>14</v>
      </c>
      <c r="H31" s="92">
        <v>19</v>
      </c>
      <c r="I31" s="92">
        <v>618</v>
      </c>
      <c r="J31" s="93">
        <v>23352</v>
      </c>
      <c r="K31" s="93">
        <v>42475</v>
      </c>
      <c r="L31" s="93">
        <v>1819</v>
      </c>
      <c r="M31" s="93"/>
      <c r="N31" s="93">
        <v>63.96</v>
      </c>
      <c r="O31" s="93">
        <v>4175</v>
      </c>
      <c r="P31" s="93">
        <v>681</v>
      </c>
      <c r="Q31" s="92">
        <v>39</v>
      </c>
      <c r="R31" s="92">
        <v>9</v>
      </c>
      <c r="S31" s="92">
        <v>62</v>
      </c>
      <c r="T31" s="92">
        <v>27</v>
      </c>
      <c r="U31" s="92">
        <v>18</v>
      </c>
      <c r="V31" s="92">
        <v>16</v>
      </c>
      <c r="W31" s="92">
        <v>8</v>
      </c>
      <c r="X31" s="92">
        <v>10</v>
      </c>
      <c r="Y31" s="92">
        <v>17</v>
      </c>
      <c r="Z31" s="92">
        <v>66</v>
      </c>
      <c r="AA31" s="92">
        <v>16</v>
      </c>
      <c r="AB31" s="92">
        <v>5</v>
      </c>
      <c r="AC31" s="92">
        <v>4</v>
      </c>
      <c r="AD31" s="92">
        <v>1</v>
      </c>
      <c r="AE31" s="92">
        <v>2</v>
      </c>
      <c r="AF31" s="92">
        <v>20</v>
      </c>
      <c r="AG31" s="92">
        <v>29</v>
      </c>
      <c r="AH31" s="92">
        <v>2</v>
      </c>
      <c r="AI31" s="92">
        <v>5</v>
      </c>
      <c r="AJ31" s="92">
        <v>15</v>
      </c>
      <c r="AK31" s="92">
        <v>7</v>
      </c>
      <c r="AL31" s="92">
        <v>24</v>
      </c>
      <c r="AM31" s="92">
        <v>3</v>
      </c>
      <c r="AN31" s="92">
        <v>3</v>
      </c>
      <c r="AO31" s="92">
        <v>1</v>
      </c>
      <c r="AP31" s="92">
        <v>20</v>
      </c>
      <c r="AQ31" s="92">
        <v>2</v>
      </c>
      <c r="AR31" s="92">
        <v>11</v>
      </c>
      <c r="AS31" s="92">
        <v>42</v>
      </c>
      <c r="AT31" s="92">
        <v>15</v>
      </c>
      <c r="AU31" s="92"/>
      <c r="AV31" s="92"/>
      <c r="AW31" s="92">
        <v>0</v>
      </c>
      <c r="AX31" s="92">
        <v>4</v>
      </c>
      <c r="AY31" s="92">
        <v>2</v>
      </c>
      <c r="AZ31" s="92">
        <v>0</v>
      </c>
      <c r="BA31" s="92">
        <v>1</v>
      </c>
      <c r="BB31" s="92">
        <v>1</v>
      </c>
      <c r="BC31" s="92">
        <v>1</v>
      </c>
      <c r="BD31" s="92">
        <v>13</v>
      </c>
      <c r="BE31" s="92">
        <v>9</v>
      </c>
      <c r="BF31" s="92">
        <v>0</v>
      </c>
      <c r="BG31" s="92">
        <v>20</v>
      </c>
      <c r="BH31" s="92">
        <v>15</v>
      </c>
      <c r="BI31" s="92">
        <v>0</v>
      </c>
      <c r="BJ31" s="92">
        <v>2</v>
      </c>
      <c r="BK31" s="92">
        <v>0</v>
      </c>
      <c r="BL31" s="92">
        <v>1</v>
      </c>
      <c r="BM31" s="92">
        <v>7</v>
      </c>
      <c r="BN31" s="92">
        <v>0</v>
      </c>
      <c r="BO31" s="92">
        <v>0</v>
      </c>
      <c r="BP31" s="92">
        <v>1</v>
      </c>
      <c r="BQ31" s="92">
        <v>0</v>
      </c>
      <c r="BR31" s="92">
        <v>0</v>
      </c>
      <c r="BS31" s="92">
        <v>2</v>
      </c>
      <c r="BT31" s="92">
        <v>3</v>
      </c>
      <c r="BU31" s="92">
        <v>1</v>
      </c>
      <c r="BV31" s="92">
        <v>1</v>
      </c>
      <c r="BW31" s="92">
        <v>0</v>
      </c>
      <c r="BX31" s="92">
        <v>1</v>
      </c>
      <c r="BY31" s="92">
        <v>13</v>
      </c>
      <c r="BZ31" s="92">
        <v>6</v>
      </c>
      <c r="CA31" s="92">
        <v>0</v>
      </c>
      <c r="CB31" s="92">
        <v>2</v>
      </c>
      <c r="CC31" s="92">
        <v>0</v>
      </c>
      <c r="CD31" s="92">
        <v>0</v>
      </c>
      <c r="CE31" s="92">
        <v>1</v>
      </c>
      <c r="CF31" s="92">
        <v>0</v>
      </c>
      <c r="CG31" s="92">
        <v>0</v>
      </c>
      <c r="CH31" s="92">
        <v>0</v>
      </c>
      <c r="CI31" s="92">
        <v>0</v>
      </c>
      <c r="CJ31" s="92">
        <v>0</v>
      </c>
      <c r="CK31" s="92">
        <v>0</v>
      </c>
      <c r="CL31" s="92">
        <v>0</v>
      </c>
      <c r="CM31" s="92">
        <v>0</v>
      </c>
      <c r="CN31" s="92">
        <v>1</v>
      </c>
      <c r="CO31" s="92">
        <v>0</v>
      </c>
      <c r="CP31" s="92">
        <v>0</v>
      </c>
      <c r="CQ31" s="92">
        <v>5</v>
      </c>
      <c r="CR31" s="92">
        <v>1</v>
      </c>
      <c r="CS31" s="92">
        <v>0</v>
      </c>
      <c r="CT31" s="92">
        <v>2</v>
      </c>
      <c r="CU31" s="92">
        <v>6</v>
      </c>
      <c r="CV31" s="92">
        <v>0</v>
      </c>
      <c r="CW31" s="92">
        <v>0</v>
      </c>
      <c r="CX31" s="92">
        <v>0</v>
      </c>
      <c r="CY31" s="92">
        <v>0</v>
      </c>
      <c r="CZ31" s="92">
        <v>1</v>
      </c>
      <c r="DA31" s="92">
        <v>1</v>
      </c>
      <c r="DB31" s="92">
        <v>0</v>
      </c>
      <c r="DC31" s="92">
        <v>3</v>
      </c>
      <c r="DD31" s="92">
        <v>3</v>
      </c>
      <c r="DE31" s="92">
        <v>0</v>
      </c>
      <c r="DF31" s="92">
        <v>3</v>
      </c>
      <c r="DG31" s="92">
        <v>1</v>
      </c>
      <c r="DH31" s="92">
        <v>0</v>
      </c>
      <c r="DI31" s="92">
        <v>8</v>
      </c>
      <c r="DJ31" s="92">
        <v>1</v>
      </c>
      <c r="DK31" s="92">
        <v>0</v>
      </c>
      <c r="DL31" s="92">
        <v>0</v>
      </c>
      <c r="DM31" s="92">
        <v>0</v>
      </c>
      <c r="DN31" s="92">
        <v>0</v>
      </c>
      <c r="DO31" s="92">
        <v>1</v>
      </c>
      <c r="DP31" s="92">
        <v>0</v>
      </c>
      <c r="DQ31" s="92">
        <v>0</v>
      </c>
      <c r="DR31" s="92">
        <v>0</v>
      </c>
      <c r="DS31" s="92">
        <v>0</v>
      </c>
      <c r="DT31" s="92">
        <v>0</v>
      </c>
      <c r="DU31" s="92">
        <v>0</v>
      </c>
      <c r="DV31" s="92">
        <v>1</v>
      </c>
      <c r="DW31" s="92">
        <v>0</v>
      </c>
      <c r="DX31" s="92">
        <v>0</v>
      </c>
      <c r="DY31" s="92">
        <v>1</v>
      </c>
      <c r="DZ31" s="92">
        <v>1</v>
      </c>
      <c r="EA31" s="92">
        <v>5</v>
      </c>
      <c r="EB31" s="92">
        <v>2</v>
      </c>
      <c r="EC31" s="92">
        <v>0</v>
      </c>
      <c r="ED31" s="92">
        <v>5</v>
      </c>
      <c r="EE31" s="92">
        <v>0</v>
      </c>
      <c r="EF31" s="92">
        <v>0</v>
      </c>
      <c r="EG31" s="92">
        <v>1</v>
      </c>
      <c r="EH31" s="92">
        <v>0</v>
      </c>
      <c r="EI31" s="92">
        <v>160</v>
      </c>
      <c r="EJ31" s="92">
        <v>5</v>
      </c>
      <c r="EK31" s="92">
        <v>102</v>
      </c>
      <c r="EL31" s="92">
        <v>53</v>
      </c>
      <c r="EM31" s="94">
        <v>14</v>
      </c>
      <c r="EN31" s="94"/>
      <c r="EO31" s="94"/>
      <c r="EP31" s="94"/>
      <c r="EQ31" s="92"/>
      <c r="ER31" s="92"/>
      <c r="ES31" s="92"/>
      <c r="ET31" s="92"/>
      <c r="EU31" s="92"/>
      <c r="EV31" s="92"/>
      <c r="EW31" s="92"/>
      <c r="EX31" s="92"/>
      <c r="EY31" s="92"/>
      <c r="EZ31" s="92"/>
      <c r="FA31" s="92"/>
      <c r="FB31" s="92"/>
    </row>
    <row r="32" spans="1:158" hidden="1" x14ac:dyDescent="0.15">
      <c r="A32">
        <v>32</v>
      </c>
      <c r="B32" t="s">
        <v>685</v>
      </c>
      <c r="C32">
        <v>1851</v>
      </c>
      <c r="D32" s="92"/>
      <c r="E32" s="92"/>
      <c r="F32" s="92"/>
      <c r="G32" s="92"/>
      <c r="H32" s="92"/>
      <c r="I32" s="92"/>
      <c r="J32" s="93"/>
      <c r="K32" s="93"/>
      <c r="L32" s="93"/>
      <c r="M32" s="93"/>
      <c r="N32" s="93"/>
      <c r="O32" s="93"/>
      <c r="P32" s="93"/>
      <c r="Q32" s="92">
        <v>3</v>
      </c>
      <c r="R32" s="92">
        <v>2</v>
      </c>
      <c r="S32" s="92">
        <v>14</v>
      </c>
      <c r="T32" s="92">
        <v>14</v>
      </c>
      <c r="U32" s="92">
        <v>0</v>
      </c>
      <c r="V32" s="92">
        <v>0</v>
      </c>
      <c r="W32" s="92">
        <v>0</v>
      </c>
      <c r="X32" s="92">
        <v>1</v>
      </c>
      <c r="Y32" s="92">
        <v>0</v>
      </c>
      <c r="Z32" s="92">
        <v>0</v>
      </c>
      <c r="AA32" s="92">
        <v>0</v>
      </c>
      <c r="AB32" s="92">
        <v>0</v>
      </c>
      <c r="AC32" s="92">
        <v>0</v>
      </c>
      <c r="AD32" s="92">
        <v>0</v>
      </c>
      <c r="AE32" s="92">
        <v>0</v>
      </c>
      <c r="AF32" s="92">
        <v>0</v>
      </c>
      <c r="AG32" s="92">
        <v>0</v>
      </c>
      <c r="AH32" s="92">
        <v>0</v>
      </c>
      <c r="AI32" s="92">
        <v>0</v>
      </c>
      <c r="AJ32" s="92">
        <v>1</v>
      </c>
      <c r="AK32" s="92">
        <v>0</v>
      </c>
      <c r="AL32" s="92">
        <v>2</v>
      </c>
      <c r="AM32" s="92">
        <v>0</v>
      </c>
      <c r="AN32" s="92">
        <v>0</v>
      </c>
      <c r="AO32" s="92">
        <v>0</v>
      </c>
      <c r="AP32" s="92">
        <v>0</v>
      </c>
      <c r="AQ32" s="92">
        <v>0</v>
      </c>
      <c r="AR32" s="92">
        <v>2</v>
      </c>
      <c r="AS32" s="92">
        <v>16</v>
      </c>
      <c r="AT32" s="92">
        <v>0</v>
      </c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DZ32" s="92"/>
      <c r="EA32" s="92"/>
      <c r="EB32" s="92"/>
      <c r="EC32" s="92"/>
      <c r="ED32" s="92"/>
      <c r="EE32" s="92"/>
      <c r="EF32" s="92"/>
      <c r="EG32" s="92"/>
      <c r="EH32" s="92"/>
      <c r="EI32" s="92"/>
      <c r="EJ32" s="92"/>
      <c r="EK32" s="92"/>
      <c r="EL32" s="92"/>
      <c r="EM32" s="94"/>
      <c r="EN32" s="94"/>
      <c r="EO32" s="94"/>
      <c r="EP32" s="94"/>
      <c r="EQ32" s="92"/>
      <c r="ER32" s="92"/>
      <c r="ES32" s="92"/>
      <c r="ET32" s="92"/>
      <c r="EU32" s="92"/>
      <c r="EV32" s="92"/>
      <c r="EW32" s="92"/>
      <c r="EX32" s="92"/>
      <c r="EY32" s="92"/>
      <c r="EZ32" s="92"/>
      <c r="FA32" s="92"/>
      <c r="FB32" s="92"/>
    </row>
    <row r="33" spans="1:158" hidden="1" x14ac:dyDescent="0.15">
      <c r="A33">
        <v>33</v>
      </c>
      <c r="B33" t="s">
        <v>30</v>
      </c>
      <c r="C33">
        <v>1851</v>
      </c>
      <c r="D33" s="92">
        <v>0</v>
      </c>
      <c r="E33" s="92">
        <v>4</v>
      </c>
      <c r="F33" s="92">
        <v>2</v>
      </c>
      <c r="G33" s="92">
        <v>10</v>
      </c>
      <c r="H33" s="92">
        <v>10</v>
      </c>
      <c r="I33" s="92">
        <v>740</v>
      </c>
      <c r="J33" s="93">
        <v>1733</v>
      </c>
      <c r="K33" s="93">
        <v>2557.9079999999999</v>
      </c>
      <c r="L33" s="93"/>
      <c r="M33" s="93"/>
      <c r="N33" s="93"/>
      <c r="O33" s="93"/>
      <c r="P33" s="93"/>
      <c r="Q33" s="92">
        <v>2</v>
      </c>
      <c r="R33" s="92">
        <v>5</v>
      </c>
      <c r="S33" s="92">
        <v>3</v>
      </c>
      <c r="T33" s="92">
        <v>1</v>
      </c>
      <c r="U33" s="92">
        <v>0</v>
      </c>
      <c r="V33" s="92">
        <v>2</v>
      </c>
      <c r="W33" s="92">
        <v>0</v>
      </c>
      <c r="X33" s="92">
        <v>2</v>
      </c>
      <c r="Y33" s="92">
        <v>0</v>
      </c>
      <c r="Z33" s="92">
        <v>11</v>
      </c>
      <c r="AA33" s="92">
        <v>3</v>
      </c>
      <c r="AB33" s="92">
        <v>3</v>
      </c>
      <c r="AC33" s="92">
        <v>0</v>
      </c>
      <c r="AD33" s="92">
        <v>4</v>
      </c>
      <c r="AE33" s="92">
        <v>0</v>
      </c>
      <c r="AF33" s="92">
        <v>4</v>
      </c>
      <c r="AG33" s="92">
        <v>5</v>
      </c>
      <c r="AH33" s="92">
        <v>3</v>
      </c>
      <c r="AI33" s="92">
        <v>6</v>
      </c>
      <c r="AJ33" s="92">
        <v>0</v>
      </c>
      <c r="AK33" s="92">
        <v>4</v>
      </c>
      <c r="AL33" s="92">
        <v>6</v>
      </c>
      <c r="AM33" s="92">
        <v>4</v>
      </c>
      <c r="AN33" s="92">
        <v>1</v>
      </c>
      <c r="AO33" s="92">
        <v>0</v>
      </c>
      <c r="AP33" s="92">
        <v>3</v>
      </c>
      <c r="AQ33" s="92">
        <v>1</v>
      </c>
      <c r="AR33" s="92">
        <v>3</v>
      </c>
      <c r="AS33" s="92">
        <v>29</v>
      </c>
      <c r="AT33" s="92">
        <v>4</v>
      </c>
      <c r="AU33" s="92"/>
      <c r="AV33" s="92"/>
      <c r="AW33" s="92">
        <v>0</v>
      </c>
      <c r="AX33" s="92">
        <v>0</v>
      </c>
      <c r="AY33" s="92">
        <v>1</v>
      </c>
      <c r="AZ33" s="92">
        <v>0</v>
      </c>
      <c r="BA33" s="92">
        <v>2</v>
      </c>
      <c r="BB33" s="92">
        <v>0</v>
      </c>
      <c r="BC33" s="92">
        <v>0</v>
      </c>
      <c r="BD33" s="92">
        <v>0</v>
      </c>
      <c r="BE33" s="92">
        <v>0</v>
      </c>
      <c r="BF33" s="92">
        <v>0</v>
      </c>
      <c r="BG33" s="92">
        <v>1</v>
      </c>
      <c r="BH33" s="92">
        <v>0</v>
      </c>
      <c r="BI33" s="92">
        <v>0</v>
      </c>
      <c r="BJ33" s="92">
        <v>0</v>
      </c>
      <c r="BK33" s="92">
        <v>0</v>
      </c>
      <c r="BL33" s="92">
        <v>0</v>
      </c>
      <c r="BM33" s="92">
        <v>0</v>
      </c>
      <c r="BN33" s="92">
        <v>0</v>
      </c>
      <c r="BO33" s="92">
        <v>0</v>
      </c>
      <c r="BP33" s="92">
        <v>0</v>
      </c>
      <c r="BQ33" s="92">
        <v>0</v>
      </c>
      <c r="BR33" s="92">
        <v>0</v>
      </c>
      <c r="BS33" s="92">
        <v>0</v>
      </c>
      <c r="BT33" s="92">
        <v>0</v>
      </c>
      <c r="BU33" s="92">
        <v>0</v>
      </c>
      <c r="BV33" s="92">
        <v>0</v>
      </c>
      <c r="BW33" s="92">
        <v>0</v>
      </c>
      <c r="BX33" s="92">
        <v>0</v>
      </c>
      <c r="BY33" s="92">
        <v>2</v>
      </c>
      <c r="BZ33" s="92">
        <v>5</v>
      </c>
      <c r="CA33" s="92">
        <v>0</v>
      </c>
      <c r="CB33" s="92">
        <v>1</v>
      </c>
      <c r="CC33" s="92">
        <v>0</v>
      </c>
      <c r="CD33" s="92">
        <v>0</v>
      </c>
      <c r="CE33" s="92">
        <v>0</v>
      </c>
      <c r="CF33" s="92">
        <v>0</v>
      </c>
      <c r="CG33" s="92">
        <v>0</v>
      </c>
      <c r="CH33" s="92">
        <v>0</v>
      </c>
      <c r="CI33" s="92">
        <v>0</v>
      </c>
      <c r="CJ33" s="92">
        <v>0</v>
      </c>
      <c r="CK33" s="92">
        <v>0</v>
      </c>
      <c r="CL33" s="92">
        <v>1</v>
      </c>
      <c r="CM33" s="92">
        <v>0</v>
      </c>
      <c r="CN33" s="92">
        <v>0</v>
      </c>
      <c r="CO33" s="92">
        <v>0</v>
      </c>
      <c r="CP33" s="92">
        <v>0</v>
      </c>
      <c r="CQ33" s="92">
        <v>0</v>
      </c>
      <c r="CR33" s="92">
        <v>0</v>
      </c>
      <c r="CS33" s="92">
        <v>0</v>
      </c>
      <c r="CT33" s="92">
        <v>2</v>
      </c>
      <c r="CU33" s="92">
        <v>1</v>
      </c>
      <c r="CV33" s="92">
        <v>0</v>
      </c>
      <c r="CW33" s="92">
        <v>0</v>
      </c>
      <c r="CX33" s="92">
        <v>0</v>
      </c>
      <c r="CY33" s="92">
        <v>0</v>
      </c>
      <c r="CZ33" s="92">
        <v>0</v>
      </c>
      <c r="DA33" s="92">
        <v>0</v>
      </c>
      <c r="DB33" s="92">
        <v>0</v>
      </c>
      <c r="DC33" s="92">
        <v>0</v>
      </c>
      <c r="DD33" s="92">
        <v>0</v>
      </c>
      <c r="DE33" s="92">
        <v>0</v>
      </c>
      <c r="DF33" s="92">
        <v>2</v>
      </c>
      <c r="DG33" s="92">
        <v>0</v>
      </c>
      <c r="DH33" s="92">
        <v>0</v>
      </c>
      <c r="DI33" s="92">
        <v>4</v>
      </c>
      <c r="DJ33" s="92">
        <v>2</v>
      </c>
      <c r="DK33" s="92">
        <v>0</v>
      </c>
      <c r="DL33" s="92">
        <v>0</v>
      </c>
      <c r="DM33" s="92">
        <v>0</v>
      </c>
      <c r="DN33" s="92">
        <v>0</v>
      </c>
      <c r="DO33" s="92">
        <v>0</v>
      </c>
      <c r="DP33" s="92">
        <v>0</v>
      </c>
      <c r="DQ33" s="92">
        <v>0</v>
      </c>
      <c r="DR33" s="92">
        <v>0</v>
      </c>
      <c r="DS33" s="92">
        <v>0</v>
      </c>
      <c r="DT33" s="92">
        <v>0</v>
      </c>
      <c r="DU33" s="92">
        <v>0</v>
      </c>
      <c r="DV33" s="92">
        <v>1</v>
      </c>
      <c r="DW33" s="92">
        <v>0</v>
      </c>
      <c r="DX33" s="92">
        <v>0</v>
      </c>
      <c r="DY33" s="92">
        <v>1</v>
      </c>
      <c r="DZ33" s="92">
        <v>0</v>
      </c>
      <c r="EA33" s="92">
        <v>1</v>
      </c>
      <c r="EB33" s="92">
        <v>0</v>
      </c>
      <c r="EC33" s="92">
        <v>0</v>
      </c>
      <c r="ED33" s="92">
        <v>5</v>
      </c>
      <c r="EE33" s="92">
        <v>2</v>
      </c>
      <c r="EF33" s="92">
        <v>0</v>
      </c>
      <c r="EG33" s="92">
        <v>0</v>
      </c>
      <c r="EH33" s="92">
        <v>1</v>
      </c>
      <c r="EI33" s="92">
        <v>35</v>
      </c>
      <c r="EJ33" s="92">
        <v>0</v>
      </c>
      <c r="EK33" s="92">
        <v>20</v>
      </c>
      <c r="EL33" s="92">
        <v>15</v>
      </c>
      <c r="EM33" s="94"/>
      <c r="EN33" s="94"/>
      <c r="EO33" s="94"/>
      <c r="EP33" s="94"/>
      <c r="EQ33" s="92"/>
      <c r="ER33" s="92"/>
      <c r="ES33" s="92"/>
      <c r="ET33" s="92"/>
      <c r="EU33" s="92"/>
      <c r="EV33" s="92"/>
      <c r="EW33" s="92"/>
      <c r="EX33" s="92"/>
      <c r="EY33" s="92"/>
      <c r="EZ33" s="92"/>
      <c r="FA33" s="92"/>
      <c r="FB33" s="92"/>
    </row>
    <row r="34" spans="1:158" hidden="1" x14ac:dyDescent="0.15">
      <c r="A34">
        <v>34</v>
      </c>
      <c r="B34" t="s">
        <v>667</v>
      </c>
      <c r="C34">
        <v>1876</v>
      </c>
      <c r="D34" s="92"/>
      <c r="E34" s="92"/>
      <c r="F34" s="92"/>
      <c r="G34" s="92"/>
      <c r="H34" s="92"/>
      <c r="I34" s="92"/>
      <c r="J34" s="93"/>
      <c r="K34" s="93"/>
      <c r="L34" s="93"/>
      <c r="M34" s="93"/>
      <c r="N34" s="93"/>
      <c r="O34" s="93"/>
      <c r="P34" s="93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4"/>
      <c r="EN34" s="94"/>
      <c r="EO34" s="94"/>
      <c r="EP34" s="94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</row>
    <row r="35" spans="1:158" hidden="1" x14ac:dyDescent="0.15">
      <c r="A35">
        <v>35</v>
      </c>
      <c r="B35" t="s">
        <v>686</v>
      </c>
      <c r="C35">
        <v>1876</v>
      </c>
      <c r="D35" s="92"/>
      <c r="E35" s="92"/>
      <c r="F35" s="92"/>
      <c r="G35" s="92"/>
      <c r="H35" s="92"/>
      <c r="I35" s="92"/>
      <c r="J35" s="93">
        <v>1770</v>
      </c>
      <c r="K35" s="93">
        <v>6452</v>
      </c>
      <c r="L35" s="93">
        <v>3645</v>
      </c>
      <c r="M35" s="93"/>
      <c r="N35" s="93"/>
      <c r="O35" s="93"/>
      <c r="P35" s="93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92"/>
      <c r="DC35" s="92"/>
      <c r="DD35" s="92"/>
      <c r="DE35" s="92"/>
      <c r="DF35" s="92"/>
      <c r="DG35" s="92"/>
      <c r="DH35" s="92"/>
      <c r="DI35" s="92"/>
      <c r="DJ35" s="92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DZ35" s="92"/>
      <c r="EA35" s="92"/>
      <c r="EB35" s="92"/>
      <c r="EC35" s="92"/>
      <c r="ED35" s="92"/>
      <c r="EE35" s="92"/>
      <c r="EF35" s="92"/>
      <c r="EG35" s="92"/>
      <c r="EH35" s="92"/>
      <c r="EI35" s="92"/>
      <c r="EJ35" s="92"/>
      <c r="EK35" s="92"/>
      <c r="EL35" s="92"/>
      <c r="EM35" s="94">
        <v>15</v>
      </c>
      <c r="EN35" s="94">
        <v>19</v>
      </c>
      <c r="EO35" s="94"/>
      <c r="EP35" s="94"/>
      <c r="EQ35" s="92"/>
      <c r="ER35" s="92"/>
      <c r="ES35" s="92"/>
      <c r="ET35" s="92"/>
      <c r="EU35" s="92"/>
      <c r="EV35" s="92"/>
      <c r="EW35" s="92"/>
      <c r="EX35" s="92"/>
      <c r="EY35" s="92"/>
      <c r="EZ35" s="92"/>
      <c r="FA35" s="92"/>
      <c r="FB35" s="92"/>
    </row>
    <row r="36" spans="1:158" hidden="1" x14ac:dyDescent="0.15">
      <c r="A36">
        <v>36</v>
      </c>
      <c r="B36" t="s">
        <v>32</v>
      </c>
      <c r="C36">
        <v>1876</v>
      </c>
      <c r="D36" s="92"/>
      <c r="E36" s="92"/>
      <c r="F36" s="92"/>
      <c r="G36" s="92">
        <v>15</v>
      </c>
      <c r="H36" s="92">
        <v>15</v>
      </c>
      <c r="I36" s="92"/>
      <c r="J36" s="93">
        <v>4520</v>
      </c>
      <c r="K36" s="93">
        <v>8419</v>
      </c>
      <c r="L36" s="93">
        <v>1863</v>
      </c>
      <c r="M36" s="93"/>
      <c r="N36" s="93">
        <v>51.91</v>
      </c>
      <c r="O36" s="93">
        <v>1821</v>
      </c>
      <c r="P36" s="93">
        <v>426</v>
      </c>
      <c r="Q36" s="92">
        <v>12</v>
      </c>
      <c r="R36" s="92">
        <v>34</v>
      </c>
      <c r="S36" s="92">
        <v>60</v>
      </c>
      <c r="T36" s="92">
        <v>3</v>
      </c>
      <c r="U36" s="92">
        <v>9</v>
      </c>
      <c r="V36" s="92">
        <v>4</v>
      </c>
      <c r="W36" s="92">
        <v>0</v>
      </c>
      <c r="X36" s="92">
        <v>1</v>
      </c>
      <c r="Y36" s="92">
        <v>5</v>
      </c>
      <c r="Z36" s="92">
        <v>24</v>
      </c>
      <c r="AA36" s="92">
        <v>1</v>
      </c>
      <c r="AB36" s="92">
        <v>13</v>
      </c>
      <c r="AC36" s="92">
        <v>7</v>
      </c>
      <c r="AD36" s="92">
        <v>8</v>
      </c>
      <c r="AE36" s="92">
        <v>0</v>
      </c>
      <c r="AF36" s="92">
        <v>19</v>
      </c>
      <c r="AG36" s="92">
        <v>10</v>
      </c>
      <c r="AH36" s="92">
        <v>1</v>
      </c>
      <c r="AI36" s="92">
        <v>0</v>
      </c>
      <c r="AJ36" s="92">
        <v>57</v>
      </c>
      <c r="AK36" s="92">
        <v>5</v>
      </c>
      <c r="AL36" s="92">
        <v>0</v>
      </c>
      <c r="AM36" s="92">
        <v>13</v>
      </c>
      <c r="AN36" s="92">
        <v>22</v>
      </c>
      <c r="AO36" s="92">
        <v>33</v>
      </c>
      <c r="AP36" s="92">
        <v>15</v>
      </c>
      <c r="AQ36" s="92">
        <v>0</v>
      </c>
      <c r="AR36" s="92">
        <v>4</v>
      </c>
      <c r="AS36" s="92">
        <v>43</v>
      </c>
      <c r="AT36" s="92">
        <v>184</v>
      </c>
      <c r="AU36" s="92">
        <v>65</v>
      </c>
      <c r="AV36" s="92">
        <v>1</v>
      </c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  <c r="CW36" s="92"/>
      <c r="CX36" s="92"/>
      <c r="CY36" s="92"/>
      <c r="CZ36" s="92"/>
      <c r="DA36" s="92"/>
      <c r="DB36" s="92"/>
      <c r="DC36" s="92"/>
      <c r="DD36" s="92"/>
      <c r="DE36" s="92"/>
      <c r="DF36" s="92"/>
      <c r="DG36" s="92"/>
      <c r="DH36" s="92"/>
      <c r="DI36" s="92"/>
      <c r="DJ36" s="92"/>
      <c r="DK36" s="92"/>
      <c r="DL36" s="92"/>
      <c r="DM36" s="92"/>
      <c r="DN36" s="92"/>
      <c r="DO36" s="92"/>
      <c r="DP36" s="92"/>
      <c r="DQ36" s="92"/>
      <c r="DR36" s="92"/>
      <c r="DS36" s="92"/>
      <c r="DT36" s="92"/>
      <c r="DU36" s="92"/>
      <c r="DV36" s="92"/>
      <c r="DW36" s="92"/>
      <c r="DX36" s="92"/>
      <c r="DY36" s="92"/>
      <c r="DZ36" s="92"/>
      <c r="EA36" s="92"/>
      <c r="EB36" s="92"/>
      <c r="EC36" s="92"/>
      <c r="ED36" s="92"/>
      <c r="EE36" s="92"/>
      <c r="EF36" s="92"/>
      <c r="EG36" s="92"/>
      <c r="EH36" s="92"/>
      <c r="EI36" s="92"/>
      <c r="EJ36" s="92"/>
      <c r="EK36" s="92"/>
      <c r="EL36" s="92"/>
      <c r="EM36" s="94"/>
      <c r="EN36" s="94"/>
      <c r="EO36" s="94"/>
      <c r="EP36" s="94"/>
      <c r="EQ36" s="92"/>
      <c r="ER36" s="92"/>
      <c r="ES36" s="92"/>
      <c r="ET36" s="92"/>
      <c r="EU36" s="92"/>
      <c r="EV36" s="92"/>
      <c r="EW36" s="92"/>
      <c r="EX36" s="92"/>
      <c r="EY36" s="92"/>
      <c r="EZ36" s="92"/>
      <c r="FA36" s="92"/>
      <c r="FB36" s="92"/>
    </row>
    <row r="37" spans="1:158" hidden="1" x14ac:dyDescent="0.15">
      <c r="A37">
        <v>37</v>
      </c>
      <c r="B37" t="s">
        <v>22</v>
      </c>
      <c r="C37">
        <v>1876</v>
      </c>
      <c r="D37" s="92"/>
      <c r="E37" s="92"/>
      <c r="F37" s="92"/>
      <c r="G37" s="92">
        <v>20</v>
      </c>
      <c r="H37" s="92">
        <v>20</v>
      </c>
      <c r="I37" s="92"/>
      <c r="J37" s="93">
        <v>5096</v>
      </c>
      <c r="K37" s="93">
        <v>13746</v>
      </c>
      <c r="L37" s="93">
        <v>2967</v>
      </c>
      <c r="M37" s="93"/>
      <c r="N37" s="93">
        <v>44.79</v>
      </c>
      <c r="O37" s="93">
        <v>579</v>
      </c>
      <c r="P37" s="93">
        <v>582</v>
      </c>
      <c r="Q37" s="92">
        <v>20</v>
      </c>
      <c r="R37" s="92">
        <v>18</v>
      </c>
      <c r="S37" s="92">
        <v>18</v>
      </c>
      <c r="T37" s="92">
        <v>0</v>
      </c>
      <c r="U37" s="92">
        <v>16</v>
      </c>
      <c r="V37" s="92">
        <v>11</v>
      </c>
      <c r="W37" s="92">
        <v>1</v>
      </c>
      <c r="X37" s="92">
        <v>6</v>
      </c>
      <c r="Y37" s="92">
        <v>3</v>
      </c>
      <c r="Z37" s="92">
        <v>7</v>
      </c>
      <c r="AA37" s="92">
        <v>6</v>
      </c>
      <c r="AB37" s="92">
        <v>27</v>
      </c>
      <c r="AC37" s="92">
        <v>3</v>
      </c>
      <c r="AD37" s="92">
        <v>12</v>
      </c>
      <c r="AE37" s="92">
        <v>0</v>
      </c>
      <c r="AF37" s="92">
        <v>7</v>
      </c>
      <c r="AG37" s="92">
        <v>6</v>
      </c>
      <c r="AH37" s="92">
        <v>0</v>
      </c>
      <c r="AI37" s="92">
        <v>0</v>
      </c>
      <c r="AJ37" s="92">
        <v>28</v>
      </c>
      <c r="AK37" s="92">
        <v>10</v>
      </c>
      <c r="AL37" s="92">
        <v>0</v>
      </c>
      <c r="AM37" s="92">
        <v>0</v>
      </c>
      <c r="AN37" s="92">
        <v>27</v>
      </c>
      <c r="AO37" s="92">
        <v>2</v>
      </c>
      <c r="AP37" s="92">
        <v>19</v>
      </c>
      <c r="AQ37" s="92">
        <v>0</v>
      </c>
      <c r="AR37" s="92">
        <v>1</v>
      </c>
      <c r="AS37" s="92">
        <v>2</v>
      </c>
      <c r="AT37" s="92">
        <v>272</v>
      </c>
      <c r="AU37" s="92">
        <v>56</v>
      </c>
      <c r="AV37" s="92">
        <v>0</v>
      </c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  <c r="BM37" s="92"/>
      <c r="BN37" s="92"/>
      <c r="BO37" s="92"/>
      <c r="BP37" s="92"/>
      <c r="BQ37" s="92"/>
      <c r="BR37" s="92"/>
      <c r="BS37" s="92"/>
      <c r="BT37" s="92"/>
      <c r="BU37" s="92"/>
      <c r="BV37" s="92"/>
      <c r="BW37" s="92"/>
      <c r="BX37" s="92"/>
      <c r="BY37" s="92"/>
      <c r="BZ37" s="92"/>
      <c r="CA37" s="92"/>
      <c r="CB37" s="92"/>
      <c r="CC37" s="92"/>
      <c r="CD37" s="92"/>
      <c r="CE37" s="92"/>
      <c r="CF37" s="92"/>
      <c r="CG37" s="92"/>
      <c r="CH37" s="92"/>
      <c r="CI37" s="92"/>
      <c r="CJ37" s="92"/>
      <c r="CK37" s="92"/>
      <c r="CL37" s="92"/>
      <c r="CM37" s="92"/>
      <c r="CN37" s="92"/>
      <c r="CO37" s="92"/>
      <c r="CP37" s="92"/>
      <c r="CQ37" s="92"/>
      <c r="CR37" s="92"/>
      <c r="CS37" s="92"/>
      <c r="CT37" s="92"/>
      <c r="CU37" s="92"/>
      <c r="CV37" s="92"/>
      <c r="CW37" s="92"/>
      <c r="CX37" s="92"/>
      <c r="CY37" s="92"/>
      <c r="CZ37" s="92"/>
      <c r="DA37" s="92"/>
      <c r="DB37" s="92"/>
      <c r="DC37" s="92"/>
      <c r="DD37" s="92"/>
      <c r="DE37" s="92"/>
      <c r="DF37" s="92"/>
      <c r="DG37" s="92"/>
      <c r="DH37" s="92"/>
      <c r="DI37" s="92"/>
      <c r="DJ37" s="92"/>
      <c r="DK37" s="92"/>
      <c r="DL37" s="92"/>
      <c r="DM37" s="92"/>
      <c r="DN37" s="92"/>
      <c r="DO37" s="92"/>
      <c r="DP37" s="92"/>
      <c r="DQ37" s="92"/>
      <c r="DR37" s="92"/>
      <c r="DS37" s="92"/>
      <c r="DT37" s="92"/>
      <c r="DU37" s="92"/>
      <c r="DV37" s="92"/>
      <c r="DW37" s="92"/>
      <c r="DX37" s="92"/>
      <c r="DY37" s="92"/>
      <c r="DZ37" s="92"/>
      <c r="EA37" s="92"/>
      <c r="EB37" s="92"/>
      <c r="EC37" s="92"/>
      <c r="ED37" s="92"/>
      <c r="EE37" s="92"/>
      <c r="EF37" s="92"/>
      <c r="EG37" s="92"/>
      <c r="EH37" s="92"/>
      <c r="EI37" s="92"/>
      <c r="EJ37" s="92"/>
      <c r="EK37" s="92"/>
      <c r="EL37" s="92"/>
      <c r="EM37" s="94"/>
      <c r="EN37" s="94"/>
      <c r="EO37" s="94"/>
      <c r="EP37" s="94"/>
      <c r="EQ37" s="92"/>
      <c r="ER37" s="92"/>
      <c r="ES37" s="92"/>
      <c r="ET37" s="92"/>
      <c r="EU37" s="92"/>
      <c r="EV37" s="92"/>
      <c r="EW37" s="92"/>
      <c r="EX37" s="92"/>
      <c r="EY37" s="92"/>
      <c r="EZ37" s="92"/>
      <c r="FA37" s="92"/>
      <c r="FB37" s="92"/>
    </row>
    <row r="38" spans="1:158" hidden="1" x14ac:dyDescent="0.15">
      <c r="A38">
        <v>38</v>
      </c>
      <c r="B38" t="s">
        <v>28</v>
      </c>
      <c r="C38">
        <v>1876</v>
      </c>
      <c r="D38" s="92"/>
      <c r="E38" s="92"/>
      <c r="F38" s="92"/>
      <c r="G38" s="92">
        <v>14</v>
      </c>
      <c r="H38" s="92">
        <v>24</v>
      </c>
      <c r="I38" s="92"/>
      <c r="J38" s="93">
        <v>31393</v>
      </c>
      <c r="K38" s="93">
        <v>100179</v>
      </c>
      <c r="L38" s="93">
        <v>3191</v>
      </c>
      <c r="M38" s="93">
        <v>15</v>
      </c>
      <c r="N38" s="93">
        <v>20.43</v>
      </c>
      <c r="O38" s="93">
        <v>4006</v>
      </c>
      <c r="P38" s="93">
        <v>680</v>
      </c>
      <c r="Q38" s="92">
        <v>71</v>
      </c>
      <c r="R38" s="92">
        <v>76</v>
      </c>
      <c r="S38" s="92">
        <v>61</v>
      </c>
      <c r="T38" s="92">
        <v>1</v>
      </c>
      <c r="U38" s="92">
        <v>81</v>
      </c>
      <c r="V38" s="92">
        <v>35</v>
      </c>
      <c r="W38" s="92">
        <v>7</v>
      </c>
      <c r="X38" s="92">
        <v>23</v>
      </c>
      <c r="Y38" s="92">
        <v>26</v>
      </c>
      <c r="Z38" s="92">
        <v>48</v>
      </c>
      <c r="AA38" s="92">
        <v>20</v>
      </c>
      <c r="AB38" s="92">
        <v>7</v>
      </c>
      <c r="AC38" s="92">
        <v>15</v>
      </c>
      <c r="AD38" s="92">
        <v>14</v>
      </c>
      <c r="AE38" s="92">
        <v>0</v>
      </c>
      <c r="AF38" s="92">
        <v>7</v>
      </c>
      <c r="AG38" s="92">
        <v>16</v>
      </c>
      <c r="AH38" s="92">
        <v>4</v>
      </c>
      <c r="AI38" s="92">
        <v>5</v>
      </c>
      <c r="AJ38" s="92">
        <v>25</v>
      </c>
      <c r="AK38" s="92">
        <v>21</v>
      </c>
      <c r="AL38" s="92">
        <v>0</v>
      </c>
      <c r="AM38" s="92">
        <v>9</v>
      </c>
      <c r="AN38" s="92">
        <v>7</v>
      </c>
      <c r="AO38" s="92">
        <v>63</v>
      </c>
      <c r="AP38" s="92">
        <v>59</v>
      </c>
      <c r="AQ38" s="92">
        <v>0</v>
      </c>
      <c r="AR38" s="92">
        <v>7</v>
      </c>
      <c r="AS38" s="92">
        <v>0</v>
      </c>
      <c r="AT38" s="92">
        <v>369</v>
      </c>
      <c r="AU38" s="92">
        <v>38</v>
      </c>
      <c r="AV38" s="92">
        <v>6</v>
      </c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  <c r="CW38" s="92"/>
      <c r="CX38" s="92"/>
      <c r="CY38" s="92"/>
      <c r="CZ38" s="92"/>
      <c r="DA38" s="92"/>
      <c r="DB38" s="92"/>
      <c r="DC38" s="92"/>
      <c r="DD38" s="92"/>
      <c r="DE38" s="92"/>
      <c r="DF38" s="92"/>
      <c r="DG38" s="92"/>
      <c r="DH38" s="92"/>
      <c r="DI38" s="92"/>
      <c r="DJ38" s="92"/>
      <c r="DK38" s="92"/>
      <c r="DL38" s="92"/>
      <c r="DM38" s="92"/>
      <c r="DN38" s="92"/>
      <c r="DO38" s="92"/>
      <c r="DP38" s="92"/>
      <c r="DQ38" s="92"/>
      <c r="DR38" s="92"/>
      <c r="DS38" s="92"/>
      <c r="DT38" s="92"/>
      <c r="DU38" s="92"/>
      <c r="DV38" s="92"/>
      <c r="DW38" s="92"/>
      <c r="DX38" s="92"/>
      <c r="DY38" s="92"/>
      <c r="DZ38" s="92"/>
      <c r="EA38" s="92"/>
      <c r="EB38" s="92"/>
      <c r="EC38" s="92"/>
      <c r="ED38" s="92"/>
      <c r="EE38" s="92"/>
      <c r="EF38" s="92"/>
      <c r="EG38" s="92"/>
      <c r="EH38" s="92"/>
      <c r="EI38" s="92"/>
      <c r="EJ38" s="92"/>
      <c r="EK38" s="92"/>
      <c r="EL38" s="92"/>
      <c r="EM38" s="94"/>
      <c r="EN38" s="94"/>
      <c r="EO38" s="94">
        <v>123</v>
      </c>
      <c r="EP38" s="94">
        <v>336</v>
      </c>
      <c r="EQ38" s="92"/>
      <c r="ER38" s="92"/>
      <c r="ES38" s="92"/>
      <c r="ET38" s="92"/>
      <c r="EU38" s="92"/>
      <c r="EV38" s="92"/>
      <c r="EW38" s="92"/>
      <c r="EX38" s="92"/>
      <c r="EY38" s="92"/>
      <c r="EZ38" s="92"/>
      <c r="FA38" s="92"/>
      <c r="FB38" s="92"/>
    </row>
    <row r="39" spans="1:158" hidden="1" x14ac:dyDescent="0.15">
      <c r="A39">
        <v>39</v>
      </c>
      <c r="B39" t="s">
        <v>669</v>
      </c>
      <c r="C39">
        <v>1876</v>
      </c>
      <c r="D39" s="92"/>
      <c r="E39" s="92"/>
      <c r="F39" s="92"/>
      <c r="G39" s="92"/>
      <c r="H39" s="92"/>
      <c r="I39" s="92"/>
      <c r="J39" s="93"/>
      <c r="K39" s="93"/>
      <c r="L39" s="93"/>
      <c r="M39" s="93"/>
      <c r="N39" s="93"/>
      <c r="O39" s="93"/>
      <c r="P39" s="93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  <c r="BM39" s="92"/>
      <c r="BN39" s="92"/>
      <c r="BO39" s="92"/>
      <c r="BP39" s="92"/>
      <c r="BQ39" s="92"/>
      <c r="BR39" s="92"/>
      <c r="BS39" s="92"/>
      <c r="BT39" s="92"/>
      <c r="BU39" s="92"/>
      <c r="BV39" s="92"/>
      <c r="BW39" s="92"/>
      <c r="BX39" s="92"/>
      <c r="BY39" s="92"/>
      <c r="BZ39" s="92"/>
      <c r="CA39" s="92"/>
      <c r="CB39" s="92"/>
      <c r="CC39" s="92"/>
      <c r="CD39" s="92"/>
      <c r="CE39" s="92"/>
      <c r="CF39" s="92"/>
      <c r="CG39" s="92"/>
      <c r="CH39" s="92"/>
      <c r="CI39" s="92"/>
      <c r="CJ39" s="92"/>
      <c r="CK39" s="92"/>
      <c r="CL39" s="92"/>
      <c r="CM39" s="92"/>
      <c r="CN39" s="92"/>
      <c r="CO39" s="92"/>
      <c r="CP39" s="92"/>
      <c r="CQ39" s="92"/>
      <c r="CR39" s="92"/>
      <c r="CS39" s="92"/>
      <c r="CT39" s="92"/>
      <c r="CU39" s="92"/>
      <c r="CV39" s="92"/>
      <c r="CW39" s="92"/>
      <c r="CX39" s="92"/>
      <c r="CY39" s="92"/>
      <c r="CZ39" s="92"/>
      <c r="DA39" s="92"/>
      <c r="DB39" s="92"/>
      <c r="DC39" s="92"/>
      <c r="DD39" s="92"/>
      <c r="DE39" s="92"/>
      <c r="DF39" s="92"/>
      <c r="DG39" s="92"/>
      <c r="DH39" s="92"/>
      <c r="DI39" s="92"/>
      <c r="DJ39" s="92"/>
      <c r="DK39" s="92"/>
      <c r="DL39" s="92"/>
      <c r="DM39" s="92"/>
      <c r="DN39" s="92"/>
      <c r="DO39" s="92"/>
      <c r="DP39" s="92"/>
      <c r="DQ39" s="92"/>
      <c r="DR39" s="92"/>
      <c r="DS39" s="92"/>
      <c r="DT39" s="92"/>
      <c r="DU39" s="92"/>
      <c r="DV39" s="92"/>
      <c r="DW39" s="92"/>
      <c r="DX39" s="92"/>
      <c r="DY39" s="92"/>
      <c r="DZ39" s="92"/>
      <c r="EA39" s="92"/>
      <c r="EB39" s="92"/>
      <c r="EC39" s="92"/>
      <c r="ED39" s="92"/>
      <c r="EE39" s="92"/>
      <c r="EF39" s="92"/>
      <c r="EG39" s="92"/>
      <c r="EH39" s="92"/>
      <c r="EI39" s="92"/>
      <c r="EJ39" s="92"/>
      <c r="EK39" s="92"/>
      <c r="EL39" s="92"/>
      <c r="EM39" s="94"/>
      <c r="EN39" s="94"/>
      <c r="EO39" s="94"/>
      <c r="EP39" s="94"/>
      <c r="EQ39" s="92"/>
      <c r="ER39" s="92"/>
      <c r="ES39" s="92"/>
      <c r="ET39" s="92"/>
      <c r="EU39" s="92"/>
      <c r="EV39" s="92"/>
      <c r="EW39" s="92"/>
      <c r="EX39" s="92"/>
      <c r="EY39" s="92"/>
      <c r="EZ39" s="92"/>
      <c r="FA39" s="92"/>
      <c r="FB39" s="92"/>
    </row>
    <row r="40" spans="1:158" hidden="1" x14ac:dyDescent="0.15">
      <c r="A40">
        <v>40</v>
      </c>
      <c r="B40" t="s">
        <v>670</v>
      </c>
      <c r="C40">
        <v>1876</v>
      </c>
      <c r="D40" s="92"/>
      <c r="E40" s="92"/>
      <c r="F40" s="92"/>
      <c r="G40" s="92"/>
      <c r="H40" s="92"/>
      <c r="I40" s="92"/>
      <c r="J40" s="93">
        <v>3781</v>
      </c>
      <c r="K40" s="93">
        <v>6407</v>
      </c>
      <c r="L40" s="93">
        <v>1695</v>
      </c>
      <c r="M40" s="93"/>
      <c r="N40" s="93">
        <v>54.32</v>
      </c>
      <c r="O40" s="93"/>
      <c r="P40" s="93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  <c r="CW40" s="92"/>
      <c r="CX40" s="92"/>
      <c r="CY40" s="92"/>
      <c r="CZ40" s="92"/>
      <c r="DA40" s="92"/>
      <c r="DB40" s="92"/>
      <c r="DC40" s="92"/>
      <c r="DD40" s="92"/>
      <c r="DE40" s="92"/>
      <c r="DF40" s="92"/>
      <c r="DG40" s="92"/>
      <c r="DH40" s="92"/>
      <c r="DI40" s="92"/>
      <c r="DJ40" s="92"/>
      <c r="DK40" s="92"/>
      <c r="DL40" s="92"/>
      <c r="DM40" s="92"/>
      <c r="DN40" s="92"/>
      <c r="DO40" s="92"/>
      <c r="DP40" s="92"/>
      <c r="DQ40" s="92"/>
      <c r="DR40" s="92"/>
      <c r="DS40" s="92"/>
      <c r="DT40" s="92"/>
      <c r="DU40" s="92"/>
      <c r="DV40" s="92"/>
      <c r="DW40" s="92"/>
      <c r="DX40" s="92"/>
      <c r="DY40" s="92"/>
      <c r="DZ40" s="92"/>
      <c r="EA40" s="92"/>
      <c r="EB40" s="92"/>
      <c r="EC40" s="92"/>
      <c r="ED40" s="92"/>
      <c r="EE40" s="92"/>
      <c r="EF40" s="92"/>
      <c r="EG40" s="92"/>
      <c r="EH40" s="92"/>
      <c r="EI40" s="92"/>
      <c r="EJ40" s="92"/>
      <c r="EK40" s="92"/>
      <c r="EL40" s="92"/>
      <c r="EM40" s="94">
        <v>7.4</v>
      </c>
      <c r="EN40" s="94">
        <v>11</v>
      </c>
      <c r="EO40" s="94">
        <v>29</v>
      </c>
      <c r="EP40" s="94">
        <v>33</v>
      </c>
      <c r="EQ40" s="92"/>
      <c r="ER40" s="92"/>
      <c r="ES40" s="92"/>
      <c r="ET40" s="92"/>
      <c r="EU40" s="92"/>
      <c r="EV40" s="92"/>
      <c r="EW40" s="92"/>
      <c r="EX40" s="92"/>
      <c r="EY40" s="92"/>
      <c r="EZ40" s="92"/>
      <c r="FA40" s="92"/>
      <c r="FB40" s="92"/>
    </row>
    <row r="41" spans="1:158" hidden="1" x14ac:dyDescent="0.15">
      <c r="A41">
        <v>41</v>
      </c>
      <c r="B41" t="s">
        <v>24</v>
      </c>
      <c r="C41">
        <v>1876</v>
      </c>
      <c r="D41" s="92"/>
      <c r="E41" s="92"/>
      <c r="F41" s="92"/>
      <c r="G41" s="92">
        <v>5</v>
      </c>
      <c r="H41" s="92">
        <v>10</v>
      </c>
      <c r="I41" s="92"/>
      <c r="J41" s="93">
        <v>1888</v>
      </c>
      <c r="K41" s="93">
        <v>3782</v>
      </c>
      <c r="L41" s="93">
        <v>2003</v>
      </c>
      <c r="M41" s="93">
        <v>44</v>
      </c>
      <c r="N41" s="93">
        <v>57.48</v>
      </c>
      <c r="O41" s="93"/>
      <c r="P41" s="93"/>
      <c r="Q41" s="92">
        <v>1</v>
      </c>
      <c r="R41" s="92">
        <v>8</v>
      </c>
      <c r="S41" s="92">
        <v>21</v>
      </c>
      <c r="T41" s="92">
        <v>1</v>
      </c>
      <c r="U41" s="92">
        <v>1</v>
      </c>
      <c r="V41" s="92">
        <v>3</v>
      </c>
      <c r="W41" s="92">
        <v>1</v>
      </c>
      <c r="X41" s="92">
        <v>0</v>
      </c>
      <c r="Y41" s="92">
        <v>1</v>
      </c>
      <c r="Z41" s="92">
        <v>2</v>
      </c>
      <c r="AA41" s="92">
        <v>0</v>
      </c>
      <c r="AB41" s="92">
        <v>2</v>
      </c>
      <c r="AC41" s="92">
        <v>0</v>
      </c>
      <c r="AD41" s="92">
        <v>1</v>
      </c>
      <c r="AE41" s="92">
        <v>0</v>
      </c>
      <c r="AF41" s="92">
        <v>2</v>
      </c>
      <c r="AG41" s="92">
        <v>2</v>
      </c>
      <c r="AH41" s="92">
        <v>0</v>
      </c>
      <c r="AI41" s="92">
        <v>0</v>
      </c>
      <c r="AJ41" s="92">
        <v>3</v>
      </c>
      <c r="AK41" s="92">
        <v>0</v>
      </c>
      <c r="AL41" s="92">
        <v>0</v>
      </c>
      <c r="AM41" s="92">
        <v>1</v>
      </c>
      <c r="AN41" s="92">
        <v>0</v>
      </c>
      <c r="AO41" s="92">
        <v>5</v>
      </c>
      <c r="AP41" s="92">
        <v>3</v>
      </c>
      <c r="AQ41" s="92">
        <v>0</v>
      </c>
      <c r="AR41" s="92">
        <v>0</v>
      </c>
      <c r="AS41" s="92">
        <v>2</v>
      </c>
      <c r="AT41" s="92">
        <v>36</v>
      </c>
      <c r="AU41" s="92">
        <v>5</v>
      </c>
      <c r="AV41" s="92">
        <v>0</v>
      </c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92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92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92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92"/>
      <c r="DB41" s="92"/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92"/>
      <c r="DO41" s="92"/>
      <c r="DP41" s="92"/>
      <c r="DQ41" s="92"/>
      <c r="DR41" s="92"/>
      <c r="DS41" s="92"/>
      <c r="DT41" s="92"/>
      <c r="DU41" s="92"/>
      <c r="DV41" s="92"/>
      <c r="DW41" s="92"/>
      <c r="DX41" s="92"/>
      <c r="DY41" s="92"/>
      <c r="DZ41" s="92"/>
      <c r="EA41" s="92"/>
      <c r="EB41" s="92"/>
      <c r="EC41" s="92"/>
      <c r="ED41" s="92"/>
      <c r="EE41" s="92"/>
      <c r="EF41" s="92"/>
      <c r="EG41" s="92"/>
      <c r="EH41" s="92"/>
      <c r="EI41" s="92"/>
      <c r="EJ41" s="92"/>
      <c r="EK41" s="92"/>
      <c r="EL41" s="92"/>
      <c r="EM41" s="94"/>
      <c r="EN41" s="94"/>
      <c r="EO41" s="94"/>
      <c r="EP41" s="94"/>
      <c r="EQ41" s="92"/>
      <c r="ER41" s="92"/>
      <c r="ES41" s="92"/>
      <c r="ET41" s="92"/>
      <c r="EU41" s="92"/>
      <c r="EV41" s="92"/>
      <c r="EW41" s="92"/>
      <c r="EX41" s="92"/>
      <c r="EY41" s="92"/>
      <c r="EZ41" s="92"/>
      <c r="FA41" s="92"/>
      <c r="FB41" s="92"/>
    </row>
    <row r="42" spans="1:158" hidden="1" x14ac:dyDescent="0.15">
      <c r="A42">
        <v>42</v>
      </c>
      <c r="B42" t="s">
        <v>687</v>
      </c>
      <c r="C42">
        <v>1876</v>
      </c>
      <c r="D42" s="92"/>
      <c r="E42" s="92"/>
      <c r="F42" s="92"/>
      <c r="G42" s="92"/>
      <c r="H42" s="92"/>
      <c r="I42" s="92"/>
      <c r="J42" s="93">
        <v>1754</v>
      </c>
      <c r="K42" s="93">
        <v>1999</v>
      </c>
      <c r="L42" s="93">
        <v>1140</v>
      </c>
      <c r="M42" s="93"/>
      <c r="N42" s="93">
        <v>71.31</v>
      </c>
      <c r="O42" s="93"/>
      <c r="P42" s="93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92"/>
      <c r="CW42" s="92"/>
      <c r="CX42" s="92"/>
      <c r="CY42" s="92"/>
      <c r="CZ42" s="92"/>
      <c r="DA42" s="92"/>
      <c r="DB42" s="92"/>
      <c r="DC42" s="92"/>
      <c r="DD42" s="92"/>
      <c r="DE42" s="92"/>
      <c r="DF42" s="92"/>
      <c r="DG42" s="92"/>
      <c r="DH42" s="92"/>
      <c r="DI42" s="92"/>
      <c r="DJ42" s="92"/>
      <c r="DK42" s="92"/>
      <c r="DL42" s="92"/>
      <c r="DM42" s="92"/>
      <c r="DN42" s="92"/>
      <c r="DO42" s="92"/>
      <c r="DP42" s="92"/>
      <c r="DQ42" s="92"/>
      <c r="DR42" s="92"/>
      <c r="DS42" s="92"/>
      <c r="DT42" s="92"/>
      <c r="DU42" s="92"/>
      <c r="DV42" s="92"/>
      <c r="DW42" s="92"/>
      <c r="DX42" s="92"/>
      <c r="DY42" s="92"/>
      <c r="DZ42" s="92"/>
      <c r="EA42" s="92"/>
      <c r="EB42" s="92"/>
      <c r="EC42" s="92"/>
      <c r="ED42" s="92"/>
      <c r="EE42" s="92"/>
      <c r="EF42" s="92"/>
      <c r="EG42" s="92"/>
      <c r="EH42" s="92"/>
      <c r="EI42" s="92"/>
      <c r="EJ42" s="92"/>
      <c r="EK42" s="92"/>
      <c r="EL42" s="92"/>
      <c r="EM42" s="94"/>
      <c r="EN42" s="94"/>
      <c r="EO42" s="94"/>
      <c r="EP42" s="94"/>
      <c r="EQ42" s="92"/>
      <c r="ER42" s="92"/>
      <c r="ES42" s="92"/>
      <c r="ET42" s="92"/>
      <c r="EU42" s="92"/>
      <c r="EV42" s="92"/>
      <c r="EW42" s="92"/>
      <c r="EX42" s="92"/>
      <c r="EY42" s="92"/>
      <c r="EZ42" s="92"/>
      <c r="FA42" s="92"/>
      <c r="FB42" s="92"/>
    </row>
    <row r="43" spans="1:158" hidden="1" x14ac:dyDescent="0.15">
      <c r="A43">
        <v>43</v>
      </c>
      <c r="B43" t="s">
        <v>17</v>
      </c>
      <c r="C43">
        <v>1876</v>
      </c>
      <c r="D43" s="92"/>
      <c r="E43" s="92"/>
      <c r="F43" s="92"/>
      <c r="G43" s="92">
        <v>15</v>
      </c>
      <c r="H43" s="92">
        <v>15</v>
      </c>
      <c r="I43" s="92"/>
      <c r="J43" s="93">
        <v>38440</v>
      </c>
      <c r="K43" s="93">
        <v>72100</v>
      </c>
      <c r="L43" s="93">
        <v>1876</v>
      </c>
      <c r="M43" s="93">
        <v>40</v>
      </c>
      <c r="N43" s="93">
        <v>47.43</v>
      </c>
      <c r="O43" s="93">
        <v>4723</v>
      </c>
      <c r="P43" s="93">
        <v>737</v>
      </c>
      <c r="Q43" s="92">
        <v>43</v>
      </c>
      <c r="R43" s="92">
        <v>92</v>
      </c>
      <c r="S43" s="92">
        <v>194</v>
      </c>
      <c r="T43" s="92">
        <v>2</v>
      </c>
      <c r="U43" s="92">
        <v>79</v>
      </c>
      <c r="V43" s="92">
        <v>28</v>
      </c>
      <c r="W43" s="92">
        <v>15</v>
      </c>
      <c r="X43" s="92">
        <v>3</v>
      </c>
      <c r="Y43" s="92">
        <v>46</v>
      </c>
      <c r="Z43" s="92">
        <v>82</v>
      </c>
      <c r="AA43" s="92">
        <v>6</v>
      </c>
      <c r="AB43" s="92">
        <v>42</v>
      </c>
      <c r="AC43" s="92">
        <v>71</v>
      </c>
      <c r="AD43" s="92">
        <v>5</v>
      </c>
      <c r="AE43" s="92">
        <v>0</v>
      </c>
      <c r="AF43" s="92">
        <v>19</v>
      </c>
      <c r="AG43" s="92">
        <v>28</v>
      </c>
      <c r="AH43" s="92">
        <v>3</v>
      </c>
      <c r="AI43" s="92">
        <v>0</v>
      </c>
      <c r="AJ43" s="92">
        <v>62</v>
      </c>
      <c r="AK43" s="92">
        <v>50</v>
      </c>
      <c r="AL43" s="92">
        <v>0</v>
      </c>
      <c r="AM43" s="92">
        <v>26</v>
      </c>
      <c r="AN43" s="92">
        <v>7</v>
      </c>
      <c r="AO43" s="92">
        <v>26</v>
      </c>
      <c r="AP43" s="92">
        <v>74</v>
      </c>
      <c r="AQ43" s="92">
        <v>0</v>
      </c>
      <c r="AR43" s="92">
        <v>17</v>
      </c>
      <c r="AS43" s="92">
        <v>46</v>
      </c>
      <c r="AT43" s="92">
        <v>472</v>
      </c>
      <c r="AU43" s="92">
        <v>108</v>
      </c>
      <c r="AV43" s="92">
        <v>10</v>
      </c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  <c r="CC43" s="92"/>
      <c r="CD43" s="92"/>
      <c r="CE43" s="92"/>
      <c r="CF43" s="92"/>
      <c r="CG43" s="92"/>
      <c r="CH43" s="92"/>
      <c r="CI43" s="92"/>
      <c r="CJ43" s="92"/>
      <c r="CK43" s="92"/>
      <c r="CL43" s="92"/>
      <c r="CM43" s="92"/>
      <c r="CN43" s="92"/>
      <c r="CO43" s="92"/>
      <c r="CP43" s="92"/>
      <c r="CQ43" s="92"/>
      <c r="CR43" s="92"/>
      <c r="CS43" s="92"/>
      <c r="CT43" s="92"/>
      <c r="CU43" s="92"/>
      <c r="CV43" s="92"/>
      <c r="CW43" s="92"/>
      <c r="CX43" s="92"/>
      <c r="CY43" s="92"/>
      <c r="CZ43" s="92"/>
      <c r="DA43" s="92"/>
      <c r="DB43" s="92"/>
      <c r="DC43" s="92"/>
      <c r="DD43" s="92"/>
      <c r="DE43" s="92"/>
      <c r="DF43" s="92"/>
      <c r="DG43" s="92"/>
      <c r="DH43" s="92"/>
      <c r="DI43" s="92"/>
      <c r="DJ43" s="92"/>
      <c r="DK43" s="92"/>
      <c r="DL43" s="92"/>
      <c r="DM43" s="92"/>
      <c r="DN43" s="92"/>
      <c r="DO43" s="92"/>
      <c r="DP43" s="92"/>
      <c r="DQ43" s="92"/>
      <c r="DR43" s="92"/>
      <c r="DS43" s="92"/>
      <c r="DT43" s="92"/>
      <c r="DU43" s="92"/>
      <c r="DV43" s="92"/>
      <c r="DW43" s="92"/>
      <c r="DX43" s="92"/>
      <c r="DY43" s="92"/>
      <c r="DZ43" s="92"/>
      <c r="EA43" s="92"/>
      <c r="EB43" s="92"/>
      <c r="EC43" s="92"/>
      <c r="ED43" s="92"/>
      <c r="EE43" s="92"/>
      <c r="EF43" s="92"/>
      <c r="EG43" s="92"/>
      <c r="EH43" s="92"/>
      <c r="EI43" s="92"/>
      <c r="EJ43" s="92"/>
      <c r="EK43" s="92"/>
      <c r="EL43" s="92"/>
      <c r="EM43" s="94">
        <v>16</v>
      </c>
      <c r="EN43" s="94">
        <v>45</v>
      </c>
      <c r="EO43" s="94">
        <v>51</v>
      </c>
      <c r="EP43" s="94">
        <v>40</v>
      </c>
      <c r="EQ43" s="92"/>
      <c r="ER43" s="92"/>
      <c r="ES43" s="92"/>
      <c r="ET43" s="92"/>
      <c r="EU43" s="92"/>
      <c r="EV43" s="92"/>
      <c r="EW43" s="92"/>
      <c r="EX43" s="92"/>
      <c r="EY43" s="92"/>
      <c r="EZ43" s="92"/>
      <c r="FA43" s="92"/>
      <c r="FB43" s="92"/>
    </row>
    <row r="44" spans="1:158" hidden="1" x14ac:dyDescent="0.15">
      <c r="A44">
        <v>44</v>
      </c>
      <c r="B44" t="s">
        <v>688</v>
      </c>
      <c r="C44">
        <v>1876</v>
      </c>
      <c r="D44" s="92"/>
      <c r="E44" s="92"/>
      <c r="F44" s="92"/>
      <c r="G44" s="92">
        <v>15</v>
      </c>
      <c r="H44" s="92">
        <v>15</v>
      </c>
      <c r="I44" s="92"/>
      <c r="J44" s="93">
        <v>39231</v>
      </c>
      <c r="K44" s="93">
        <v>71429</v>
      </c>
      <c r="L44" s="93">
        <v>1821</v>
      </c>
      <c r="M44" s="93">
        <v>38</v>
      </c>
      <c r="N44" s="93">
        <v>42.63</v>
      </c>
      <c r="O44" s="93">
        <v>6783</v>
      </c>
      <c r="P44" s="93">
        <v>732</v>
      </c>
      <c r="Q44" s="92">
        <v>45</v>
      </c>
      <c r="R44" s="92">
        <v>68</v>
      </c>
      <c r="S44" s="92">
        <v>139</v>
      </c>
      <c r="T44" s="92">
        <v>1</v>
      </c>
      <c r="U44" s="92">
        <v>35</v>
      </c>
      <c r="V44" s="92">
        <v>22</v>
      </c>
      <c r="W44" s="92">
        <v>3</v>
      </c>
      <c r="X44" s="92">
        <v>2</v>
      </c>
      <c r="Y44" s="92">
        <v>4</v>
      </c>
      <c r="Z44" s="92">
        <v>77</v>
      </c>
      <c r="AA44" s="92">
        <v>28</v>
      </c>
      <c r="AB44" s="92">
        <v>29</v>
      </c>
      <c r="AC44" s="92">
        <v>6</v>
      </c>
      <c r="AD44" s="92">
        <v>9</v>
      </c>
      <c r="AE44" s="92">
        <v>0</v>
      </c>
      <c r="AF44" s="92">
        <v>12</v>
      </c>
      <c r="AG44" s="92">
        <v>19</v>
      </c>
      <c r="AH44" s="92">
        <v>3</v>
      </c>
      <c r="AI44" s="92">
        <v>1</v>
      </c>
      <c r="AJ44" s="92">
        <v>26</v>
      </c>
      <c r="AK44" s="92">
        <v>16</v>
      </c>
      <c r="AL44" s="92">
        <v>0</v>
      </c>
      <c r="AM44" s="92">
        <v>61</v>
      </c>
      <c r="AN44" s="92">
        <v>10</v>
      </c>
      <c r="AO44" s="92">
        <v>13</v>
      </c>
      <c r="AP44" s="92">
        <v>21</v>
      </c>
      <c r="AQ44" s="92">
        <v>0</v>
      </c>
      <c r="AR44" s="92">
        <v>8</v>
      </c>
      <c r="AS44" s="92">
        <v>40</v>
      </c>
      <c r="AT44" s="92">
        <v>205</v>
      </c>
      <c r="AU44" s="92">
        <v>21</v>
      </c>
      <c r="AV44" s="92">
        <v>0</v>
      </c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92"/>
      <c r="DS44" s="92"/>
      <c r="DT44" s="92"/>
      <c r="DU44" s="92"/>
      <c r="DV44" s="92"/>
      <c r="DW44" s="92"/>
      <c r="DX44" s="92"/>
      <c r="DY44" s="92"/>
      <c r="DZ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4">
        <v>20</v>
      </c>
      <c r="EN44" s="94">
        <v>21</v>
      </c>
      <c r="EO44" s="94">
        <v>35</v>
      </c>
      <c r="EP44" s="94">
        <v>51</v>
      </c>
      <c r="EQ44" s="92"/>
      <c r="ER44" s="92"/>
      <c r="ES44" s="92"/>
      <c r="ET44" s="92"/>
      <c r="EU44" s="92"/>
      <c r="EV44" s="92"/>
      <c r="EW44" s="92"/>
      <c r="EX44" s="92"/>
      <c r="EY44" s="92"/>
      <c r="EZ44" s="92"/>
      <c r="FA44" s="92"/>
      <c r="FB44" s="92"/>
    </row>
    <row r="45" spans="1:158" hidden="1" x14ac:dyDescent="0.15">
      <c r="A45">
        <v>45</v>
      </c>
      <c r="B45" t="s">
        <v>673</v>
      </c>
      <c r="C45">
        <v>1876</v>
      </c>
      <c r="D45" s="92"/>
      <c r="E45" s="92"/>
      <c r="F45" s="92"/>
      <c r="G45" s="92">
        <v>0</v>
      </c>
      <c r="H45" s="92">
        <v>0</v>
      </c>
      <c r="I45" s="92"/>
      <c r="J45" s="93">
        <v>3657</v>
      </c>
      <c r="K45" s="93">
        <v>3338</v>
      </c>
      <c r="L45" s="93">
        <v>913</v>
      </c>
      <c r="M45" s="93"/>
      <c r="N45" s="93"/>
      <c r="O45" s="93">
        <v>86</v>
      </c>
      <c r="P45" s="93">
        <v>253</v>
      </c>
      <c r="Q45" s="92">
        <v>0</v>
      </c>
      <c r="R45" s="92">
        <v>0</v>
      </c>
      <c r="S45" s="92">
        <v>0</v>
      </c>
      <c r="T45" s="92">
        <v>0</v>
      </c>
      <c r="U45" s="92">
        <v>0</v>
      </c>
      <c r="V45" s="92">
        <v>0</v>
      </c>
      <c r="W45" s="92">
        <v>0</v>
      </c>
      <c r="X45" s="92">
        <v>0</v>
      </c>
      <c r="Y45" s="92">
        <v>0</v>
      </c>
      <c r="Z45" s="92">
        <v>0</v>
      </c>
      <c r="AA45" s="92">
        <v>0</v>
      </c>
      <c r="AB45" s="92">
        <v>0</v>
      </c>
      <c r="AC45" s="92">
        <v>0</v>
      </c>
      <c r="AD45" s="92">
        <v>0</v>
      </c>
      <c r="AE45" s="92">
        <v>0</v>
      </c>
      <c r="AF45" s="92">
        <v>0</v>
      </c>
      <c r="AG45" s="92">
        <v>0</v>
      </c>
      <c r="AH45" s="92">
        <v>0</v>
      </c>
      <c r="AI45" s="92">
        <v>0</v>
      </c>
      <c r="AJ45" s="92">
        <v>0</v>
      </c>
      <c r="AK45" s="92">
        <v>0</v>
      </c>
      <c r="AL45" s="92">
        <v>0</v>
      </c>
      <c r="AM45" s="92">
        <v>0</v>
      </c>
      <c r="AN45" s="92">
        <v>0</v>
      </c>
      <c r="AO45" s="92">
        <v>0</v>
      </c>
      <c r="AP45" s="92">
        <v>0</v>
      </c>
      <c r="AQ45" s="92">
        <v>0</v>
      </c>
      <c r="AR45" s="92">
        <v>0</v>
      </c>
      <c r="AS45" s="92">
        <v>0</v>
      </c>
      <c r="AT45" s="92">
        <v>0</v>
      </c>
      <c r="AU45" s="92">
        <v>0</v>
      </c>
      <c r="AV45" s="92">
        <v>0</v>
      </c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  <c r="DQ45" s="92"/>
      <c r="DR45" s="92"/>
      <c r="DS45" s="92"/>
      <c r="DT45" s="92"/>
      <c r="DU45" s="92"/>
      <c r="DV45" s="92"/>
      <c r="DW45" s="92"/>
      <c r="DX45" s="92"/>
      <c r="DY45" s="92"/>
      <c r="DZ45" s="92"/>
      <c r="EA45" s="92"/>
      <c r="EB45" s="92"/>
      <c r="EC45" s="92"/>
      <c r="ED45" s="92"/>
      <c r="EE45" s="92"/>
      <c r="EF45" s="92"/>
      <c r="EG45" s="92"/>
      <c r="EH45" s="92"/>
      <c r="EI45" s="92"/>
      <c r="EJ45" s="92"/>
      <c r="EK45" s="92"/>
      <c r="EL45" s="92"/>
      <c r="EM45" s="94"/>
      <c r="EN45" s="94"/>
      <c r="EO45" s="94"/>
      <c r="EP45" s="94"/>
      <c r="EQ45" s="92"/>
      <c r="ER45" s="92"/>
      <c r="ES45" s="92"/>
      <c r="ET45" s="92"/>
      <c r="EU45" s="92"/>
      <c r="EV45" s="92"/>
      <c r="EW45" s="92"/>
      <c r="EX45" s="92"/>
      <c r="EY45" s="92"/>
      <c r="EZ45" s="92"/>
      <c r="FA45" s="92"/>
      <c r="FB45" s="92"/>
    </row>
    <row r="46" spans="1:158" hidden="1" x14ac:dyDescent="0.15">
      <c r="A46">
        <v>46</v>
      </c>
      <c r="B46" t="s">
        <v>689</v>
      </c>
      <c r="C46">
        <v>1876</v>
      </c>
      <c r="D46" s="92"/>
      <c r="E46" s="92"/>
      <c r="F46" s="92"/>
      <c r="G46" s="92">
        <v>15</v>
      </c>
      <c r="H46" s="92">
        <v>15</v>
      </c>
      <c r="I46" s="92"/>
      <c r="J46" s="93">
        <v>27888</v>
      </c>
      <c r="K46" s="93">
        <v>41814</v>
      </c>
      <c r="L46" s="93">
        <v>1499</v>
      </c>
      <c r="M46" s="93">
        <v>55</v>
      </c>
      <c r="N46" s="93">
        <v>61.21</v>
      </c>
      <c r="O46" s="93">
        <v>1605</v>
      </c>
      <c r="P46" s="93">
        <v>286</v>
      </c>
      <c r="Q46" s="92">
        <v>24</v>
      </c>
      <c r="R46" s="92">
        <v>136</v>
      </c>
      <c r="S46" s="92">
        <v>216</v>
      </c>
      <c r="T46" s="92">
        <v>13</v>
      </c>
      <c r="U46" s="92">
        <v>26</v>
      </c>
      <c r="V46" s="92">
        <v>3</v>
      </c>
      <c r="W46" s="92">
        <v>1</v>
      </c>
      <c r="X46" s="92">
        <v>3</v>
      </c>
      <c r="Y46" s="92">
        <v>11</v>
      </c>
      <c r="Z46" s="92">
        <v>18</v>
      </c>
      <c r="AA46" s="92">
        <v>6</v>
      </c>
      <c r="AB46" s="92">
        <v>13</v>
      </c>
      <c r="AC46" s="92">
        <v>19</v>
      </c>
      <c r="AD46" s="92">
        <v>24</v>
      </c>
      <c r="AE46" s="92">
        <v>0</v>
      </c>
      <c r="AF46" s="92">
        <v>12</v>
      </c>
      <c r="AG46" s="92">
        <v>12</v>
      </c>
      <c r="AH46" s="92">
        <v>2</v>
      </c>
      <c r="AI46" s="92">
        <v>0</v>
      </c>
      <c r="AJ46" s="92">
        <v>35</v>
      </c>
      <c r="AK46" s="92">
        <v>11</v>
      </c>
      <c r="AL46" s="92">
        <v>0</v>
      </c>
      <c r="AM46" s="92">
        <v>9</v>
      </c>
      <c r="AN46" s="92">
        <v>0</v>
      </c>
      <c r="AO46" s="92">
        <v>12</v>
      </c>
      <c r="AP46" s="92">
        <v>21</v>
      </c>
      <c r="AQ46" s="92">
        <v>0</v>
      </c>
      <c r="AR46" s="92">
        <v>5</v>
      </c>
      <c r="AS46" s="92">
        <v>7</v>
      </c>
      <c r="AT46" s="92">
        <v>547</v>
      </c>
      <c r="AU46" s="92">
        <v>34</v>
      </c>
      <c r="AV46" s="92">
        <v>0</v>
      </c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  <c r="DQ46" s="92"/>
      <c r="DR46" s="92"/>
      <c r="DS46" s="92"/>
      <c r="DT46" s="92"/>
      <c r="DU46" s="92"/>
      <c r="DV46" s="92"/>
      <c r="DW46" s="92"/>
      <c r="DX46" s="92"/>
      <c r="DY46" s="92"/>
      <c r="DZ46" s="92"/>
      <c r="EA46" s="92"/>
      <c r="EB46" s="92"/>
      <c r="EC46" s="92"/>
      <c r="ED46" s="92"/>
      <c r="EE46" s="92"/>
      <c r="EF46" s="92"/>
      <c r="EG46" s="92"/>
      <c r="EH46" s="92"/>
      <c r="EI46" s="92"/>
      <c r="EJ46" s="92"/>
      <c r="EK46" s="92"/>
      <c r="EL46" s="92"/>
      <c r="EM46" s="94"/>
      <c r="EN46" s="94"/>
      <c r="EO46" s="94"/>
      <c r="EP46" s="94"/>
      <c r="EQ46" s="92"/>
      <c r="ER46" s="92"/>
      <c r="ES46" s="92"/>
      <c r="ET46" s="92"/>
      <c r="EU46" s="92"/>
      <c r="EV46" s="92"/>
      <c r="EW46" s="92"/>
      <c r="EX46" s="92"/>
      <c r="EY46" s="92"/>
      <c r="EZ46" s="92"/>
      <c r="FA46" s="92"/>
      <c r="FB46" s="92"/>
    </row>
    <row r="47" spans="1:158" hidden="1" x14ac:dyDescent="0.15">
      <c r="A47">
        <v>47</v>
      </c>
      <c r="B47" t="s">
        <v>676</v>
      </c>
      <c r="C47">
        <v>1876</v>
      </c>
      <c r="D47" s="92"/>
      <c r="E47" s="92"/>
      <c r="F47" s="92"/>
      <c r="G47" s="92"/>
      <c r="H47" s="92"/>
      <c r="I47" s="92"/>
      <c r="J47" s="93"/>
      <c r="K47" s="93"/>
      <c r="L47" s="93"/>
      <c r="M47" s="93"/>
      <c r="N47" s="93"/>
      <c r="O47" s="93"/>
      <c r="P47" s="93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  <c r="DR47" s="92"/>
      <c r="DS47" s="92"/>
      <c r="DT47" s="92"/>
      <c r="DU47" s="92"/>
      <c r="DV47" s="92"/>
      <c r="DW47" s="92"/>
      <c r="DX47" s="92"/>
      <c r="DY47" s="92"/>
      <c r="DZ47" s="92"/>
      <c r="EA47" s="92"/>
      <c r="EB47" s="92"/>
      <c r="EC47" s="92"/>
      <c r="ED47" s="92"/>
      <c r="EE47" s="92"/>
      <c r="EF47" s="92"/>
      <c r="EG47" s="92"/>
      <c r="EH47" s="92"/>
      <c r="EI47" s="92"/>
      <c r="EJ47" s="92"/>
      <c r="EK47" s="92"/>
      <c r="EL47" s="92"/>
      <c r="EM47" s="94"/>
      <c r="EN47" s="94"/>
      <c r="EO47" s="94"/>
      <c r="EP47" s="94"/>
      <c r="EQ47" s="92"/>
      <c r="ER47" s="92"/>
      <c r="ES47" s="92"/>
      <c r="ET47" s="92"/>
      <c r="EU47" s="92"/>
      <c r="EV47" s="92"/>
      <c r="EW47" s="92"/>
      <c r="EX47" s="92"/>
      <c r="EY47" s="92"/>
      <c r="EZ47" s="92"/>
      <c r="FA47" s="92"/>
      <c r="FB47" s="92"/>
    </row>
    <row r="48" spans="1:158" hidden="1" x14ac:dyDescent="0.15">
      <c r="A48">
        <v>48</v>
      </c>
      <c r="B48" t="s">
        <v>33</v>
      </c>
      <c r="C48">
        <v>1876</v>
      </c>
      <c r="D48" s="92"/>
      <c r="E48" s="92"/>
      <c r="F48" s="92"/>
      <c r="G48" s="92">
        <v>0</v>
      </c>
      <c r="H48" s="92">
        <v>0</v>
      </c>
      <c r="I48" s="92"/>
      <c r="J48" s="93">
        <v>3615</v>
      </c>
      <c r="K48" s="93">
        <v>9952</v>
      </c>
      <c r="L48" s="93">
        <v>2753</v>
      </c>
      <c r="M48" s="93"/>
      <c r="N48" s="93">
        <v>41.34</v>
      </c>
      <c r="O48" s="93">
        <v>474</v>
      </c>
      <c r="P48" s="93">
        <v>639</v>
      </c>
      <c r="Q48" s="92">
        <v>3</v>
      </c>
      <c r="R48" s="92">
        <v>13</v>
      </c>
      <c r="S48" s="92">
        <v>68</v>
      </c>
      <c r="T48" s="92">
        <v>3</v>
      </c>
      <c r="U48" s="92">
        <v>14</v>
      </c>
      <c r="V48" s="92">
        <v>2</v>
      </c>
      <c r="W48" s="92">
        <v>0</v>
      </c>
      <c r="X48" s="92">
        <v>2</v>
      </c>
      <c r="Y48" s="92">
        <v>8</v>
      </c>
      <c r="Z48" s="92">
        <v>14</v>
      </c>
      <c r="AA48" s="92">
        <v>9</v>
      </c>
      <c r="AB48" s="92">
        <v>8</v>
      </c>
      <c r="AC48" s="92">
        <v>1</v>
      </c>
      <c r="AD48" s="92">
        <v>3</v>
      </c>
      <c r="AE48" s="92">
        <v>0</v>
      </c>
      <c r="AF48" s="92">
        <v>3</v>
      </c>
      <c r="AG48" s="92">
        <v>9</v>
      </c>
      <c r="AH48" s="92">
        <v>2</v>
      </c>
      <c r="AI48" s="92">
        <v>0</v>
      </c>
      <c r="AJ48" s="92">
        <v>1</v>
      </c>
      <c r="AK48" s="92">
        <v>3</v>
      </c>
      <c r="AL48" s="92">
        <v>0</v>
      </c>
      <c r="AM48" s="92">
        <v>0</v>
      </c>
      <c r="AN48" s="92">
        <v>1</v>
      </c>
      <c r="AO48" s="92">
        <v>6</v>
      </c>
      <c r="AP48" s="92">
        <v>8</v>
      </c>
      <c r="AQ48" s="92">
        <v>0</v>
      </c>
      <c r="AR48" s="92">
        <v>1</v>
      </c>
      <c r="AS48" s="92">
        <v>0</v>
      </c>
      <c r="AT48" s="92">
        <v>0</v>
      </c>
      <c r="AU48" s="92">
        <v>35</v>
      </c>
      <c r="AV48" s="92">
        <v>8</v>
      </c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4">
        <v>11.8</v>
      </c>
      <c r="EN48" s="94">
        <v>17</v>
      </c>
      <c r="EO48" s="94"/>
      <c r="EP48" s="94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</row>
    <row r="49" spans="1:158" hidden="1" x14ac:dyDescent="0.15">
      <c r="A49">
        <v>49</v>
      </c>
      <c r="B49" t="s">
        <v>690</v>
      </c>
      <c r="C49">
        <v>1876</v>
      </c>
      <c r="D49" s="92"/>
      <c r="E49" s="92"/>
      <c r="F49" s="92"/>
      <c r="G49" s="92"/>
      <c r="H49" s="92"/>
      <c r="I49" s="92"/>
      <c r="J49" s="93">
        <v>341</v>
      </c>
      <c r="K49" s="93">
        <v>922</v>
      </c>
      <c r="L49" s="93">
        <v>2704</v>
      </c>
      <c r="M49" s="93"/>
      <c r="N49" s="93"/>
      <c r="O49" s="93"/>
      <c r="P49" s="93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DZ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4">
        <v>3.2</v>
      </c>
      <c r="EN49" s="94">
        <v>3.5</v>
      </c>
      <c r="EO49" s="94"/>
      <c r="EP49" s="94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</row>
    <row r="50" spans="1:158" hidden="1" x14ac:dyDescent="0.15">
      <c r="A50">
        <v>50</v>
      </c>
      <c r="B50" t="s">
        <v>691</v>
      </c>
      <c r="C50">
        <v>1876</v>
      </c>
      <c r="D50" s="92"/>
      <c r="E50" s="92"/>
      <c r="F50" s="92"/>
      <c r="G50" s="92">
        <v>3</v>
      </c>
      <c r="H50" s="92">
        <v>13</v>
      </c>
      <c r="I50" s="92"/>
      <c r="J50" s="93">
        <v>1735</v>
      </c>
      <c r="K50" s="93">
        <v>2485</v>
      </c>
      <c r="L50" s="93">
        <v>1432</v>
      </c>
      <c r="M50" s="93">
        <v>33</v>
      </c>
      <c r="N50" s="93">
        <v>38.619999999999997</v>
      </c>
      <c r="O50" s="93">
        <v>237</v>
      </c>
      <c r="P50" s="93">
        <v>658</v>
      </c>
      <c r="Q50" s="92">
        <v>20</v>
      </c>
      <c r="R50" s="92">
        <v>23</v>
      </c>
      <c r="S50" s="92">
        <v>55</v>
      </c>
      <c r="T50" s="92">
        <v>4</v>
      </c>
      <c r="U50" s="92">
        <v>20</v>
      </c>
      <c r="V50" s="92">
        <v>1</v>
      </c>
      <c r="W50" s="92">
        <v>0</v>
      </c>
      <c r="X50" s="92">
        <v>1</v>
      </c>
      <c r="Y50" s="92">
        <v>4</v>
      </c>
      <c r="Z50" s="92">
        <v>9</v>
      </c>
      <c r="AA50" s="92">
        <v>2</v>
      </c>
      <c r="AB50" s="92">
        <v>1</v>
      </c>
      <c r="AC50" s="92">
        <v>0</v>
      </c>
      <c r="AD50" s="92">
        <v>0</v>
      </c>
      <c r="AE50" s="92">
        <v>0</v>
      </c>
      <c r="AF50" s="92">
        <v>5</v>
      </c>
      <c r="AG50" s="92">
        <v>6</v>
      </c>
      <c r="AH50" s="92">
        <v>0</v>
      </c>
      <c r="AI50" s="92">
        <v>1</v>
      </c>
      <c r="AJ50" s="92">
        <v>5</v>
      </c>
      <c r="AK50" s="92">
        <v>8</v>
      </c>
      <c r="AL50" s="92">
        <v>0</v>
      </c>
      <c r="AM50" s="92">
        <v>4</v>
      </c>
      <c r="AN50" s="92">
        <v>4</v>
      </c>
      <c r="AO50" s="92">
        <v>2</v>
      </c>
      <c r="AP50" s="92">
        <v>10</v>
      </c>
      <c r="AQ50" s="92">
        <v>0</v>
      </c>
      <c r="AR50" s="92">
        <v>2</v>
      </c>
      <c r="AS50" s="92">
        <v>0</v>
      </c>
      <c r="AT50" s="92">
        <v>59</v>
      </c>
      <c r="AU50" s="92">
        <v>12</v>
      </c>
      <c r="AV50" s="92">
        <v>11</v>
      </c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4"/>
      <c r="EN50" s="94"/>
      <c r="EO50" s="94"/>
      <c r="EP50" s="94"/>
      <c r="EQ50" s="92"/>
      <c r="ER50" s="92"/>
      <c r="ES50" s="92"/>
      <c r="ET50" s="92"/>
      <c r="EU50" s="92"/>
      <c r="EV50" s="92"/>
      <c r="EW50" s="92"/>
      <c r="EX50" s="92"/>
      <c r="EY50" s="92"/>
      <c r="EZ50" s="92"/>
      <c r="FA50" s="92"/>
      <c r="FB50" s="92"/>
    </row>
    <row r="51" spans="1:158" hidden="1" x14ac:dyDescent="0.15">
      <c r="A51">
        <v>51</v>
      </c>
      <c r="B51" t="s">
        <v>678</v>
      </c>
      <c r="C51">
        <v>1876</v>
      </c>
      <c r="D51" s="92"/>
      <c r="E51" s="92"/>
      <c r="F51" s="92"/>
      <c r="G51" s="92"/>
      <c r="H51" s="92"/>
      <c r="I51" s="92"/>
      <c r="J51" s="93"/>
      <c r="K51" s="93"/>
      <c r="L51" s="93"/>
      <c r="M51" s="93"/>
      <c r="N51" s="93"/>
      <c r="O51" s="93"/>
      <c r="P51" s="93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  <c r="DR51" s="92"/>
      <c r="DS51" s="92"/>
      <c r="DT51" s="92"/>
      <c r="DU51" s="92"/>
      <c r="DV51" s="92"/>
      <c r="DW51" s="92"/>
      <c r="DX51" s="92"/>
      <c r="DY51" s="92"/>
      <c r="DZ51" s="92"/>
      <c r="EA51" s="92"/>
      <c r="EB51" s="92"/>
      <c r="EC51" s="92"/>
      <c r="ED51" s="92"/>
      <c r="EE51" s="92"/>
      <c r="EF51" s="92"/>
      <c r="EG51" s="92"/>
      <c r="EH51" s="92"/>
      <c r="EI51" s="92"/>
      <c r="EJ51" s="92"/>
      <c r="EK51" s="92"/>
      <c r="EL51" s="92"/>
      <c r="EM51" s="94"/>
      <c r="EN51" s="94"/>
      <c r="EO51" s="94"/>
      <c r="EP51" s="94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</row>
    <row r="52" spans="1:158" hidden="1" x14ac:dyDescent="0.15">
      <c r="A52">
        <v>52</v>
      </c>
      <c r="B52" t="s">
        <v>692</v>
      </c>
      <c r="C52">
        <v>1876</v>
      </c>
      <c r="D52" s="92"/>
      <c r="E52" s="92"/>
      <c r="F52" s="92"/>
      <c r="G52" s="92">
        <v>15</v>
      </c>
      <c r="H52" s="92">
        <v>15</v>
      </c>
      <c r="I52" s="92"/>
      <c r="J52" s="93">
        <v>4353</v>
      </c>
      <c r="K52" s="93">
        <v>4338</v>
      </c>
      <c r="L52" s="93">
        <v>997</v>
      </c>
      <c r="M52" s="93"/>
      <c r="N52" s="93">
        <v>68.099999999999994</v>
      </c>
      <c r="O52" s="93">
        <v>125</v>
      </c>
      <c r="P52" s="93">
        <v>132</v>
      </c>
      <c r="Q52" s="92">
        <v>84</v>
      </c>
      <c r="R52" s="92">
        <v>59</v>
      </c>
      <c r="S52" s="92">
        <v>1986</v>
      </c>
      <c r="T52" s="92">
        <v>105</v>
      </c>
      <c r="U52" s="92">
        <v>19</v>
      </c>
      <c r="V52" s="92">
        <v>2</v>
      </c>
      <c r="W52" s="92">
        <v>0</v>
      </c>
      <c r="X52" s="92">
        <v>0</v>
      </c>
      <c r="Y52" s="92">
        <v>1</v>
      </c>
      <c r="Z52" s="92">
        <v>2</v>
      </c>
      <c r="AA52" s="92">
        <v>55</v>
      </c>
      <c r="AB52" s="92">
        <v>0</v>
      </c>
      <c r="AC52" s="92">
        <v>51</v>
      </c>
      <c r="AD52" s="92">
        <v>91</v>
      </c>
      <c r="AE52" s="92">
        <v>0</v>
      </c>
      <c r="AF52" s="92">
        <v>26</v>
      </c>
      <c r="AG52" s="92">
        <v>0</v>
      </c>
      <c r="AH52" s="92">
        <v>17</v>
      </c>
      <c r="AI52" s="92">
        <v>1</v>
      </c>
      <c r="AJ52" s="92">
        <v>76</v>
      </c>
      <c r="AK52" s="92">
        <v>21</v>
      </c>
      <c r="AL52" s="92">
        <v>0</v>
      </c>
      <c r="AM52" s="92">
        <v>24</v>
      </c>
      <c r="AN52" s="92">
        <v>5</v>
      </c>
      <c r="AO52" s="92">
        <v>49</v>
      </c>
      <c r="AP52" s="92">
        <v>14</v>
      </c>
      <c r="AQ52" s="92">
        <v>0</v>
      </c>
      <c r="AR52" s="92">
        <v>23</v>
      </c>
      <c r="AS52" s="92">
        <v>21</v>
      </c>
      <c r="AT52" s="92">
        <v>22</v>
      </c>
      <c r="AU52" s="92">
        <v>21</v>
      </c>
      <c r="AV52" s="92">
        <v>3</v>
      </c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  <c r="DQ52" s="92"/>
      <c r="DR52" s="92"/>
      <c r="DS52" s="92"/>
      <c r="DT52" s="92"/>
      <c r="DU52" s="92"/>
      <c r="DV52" s="92"/>
      <c r="DW52" s="92"/>
      <c r="DX52" s="92"/>
      <c r="DY52" s="92"/>
      <c r="DZ52" s="92"/>
      <c r="EA52" s="92"/>
      <c r="EB52" s="92"/>
      <c r="EC52" s="92"/>
      <c r="ED52" s="92"/>
      <c r="EE52" s="92"/>
      <c r="EF52" s="92"/>
      <c r="EG52" s="92"/>
      <c r="EH52" s="92"/>
      <c r="EI52" s="92"/>
      <c r="EJ52" s="92"/>
      <c r="EK52" s="92"/>
      <c r="EL52" s="92"/>
      <c r="EM52" s="94"/>
      <c r="EN52" s="94"/>
      <c r="EO52" s="94"/>
      <c r="EP52" s="94"/>
      <c r="EQ52" s="92"/>
      <c r="ER52" s="92"/>
      <c r="ES52" s="92"/>
      <c r="ET52" s="92"/>
      <c r="EU52" s="92"/>
      <c r="EV52" s="92"/>
      <c r="EW52" s="92"/>
      <c r="EX52" s="92"/>
      <c r="EY52" s="92"/>
      <c r="EZ52" s="92"/>
      <c r="FA52" s="92"/>
      <c r="FB52" s="92"/>
    </row>
    <row r="53" spans="1:158" hidden="1" x14ac:dyDescent="0.15">
      <c r="A53">
        <v>53</v>
      </c>
      <c r="B53" t="s">
        <v>680</v>
      </c>
      <c r="C53">
        <v>1876</v>
      </c>
      <c r="D53" s="92"/>
      <c r="E53" s="92"/>
      <c r="F53" s="92"/>
      <c r="G53" s="92">
        <v>10</v>
      </c>
      <c r="H53" s="92">
        <v>10</v>
      </c>
      <c r="I53" s="92"/>
      <c r="J53" s="93">
        <v>88672</v>
      </c>
      <c r="K53" s="93">
        <v>83646</v>
      </c>
      <c r="L53" s="93">
        <v>943</v>
      </c>
      <c r="M53" s="93"/>
      <c r="N53" s="93">
        <v>62.93</v>
      </c>
      <c r="O53" s="93"/>
      <c r="P53" s="93"/>
      <c r="Q53" s="92">
        <v>47</v>
      </c>
      <c r="R53" s="92">
        <v>35</v>
      </c>
      <c r="S53" s="92">
        <v>174</v>
      </c>
      <c r="T53" s="92">
        <v>7</v>
      </c>
      <c r="U53" s="92">
        <v>68</v>
      </c>
      <c r="V53" s="92">
        <v>13</v>
      </c>
      <c r="W53" s="92">
        <v>1</v>
      </c>
      <c r="X53" s="92">
        <v>19</v>
      </c>
      <c r="Y53" s="92">
        <v>7</v>
      </c>
      <c r="Z53" s="92">
        <v>26</v>
      </c>
      <c r="AA53" s="92">
        <v>19</v>
      </c>
      <c r="AB53" s="92">
        <v>21</v>
      </c>
      <c r="AC53" s="92">
        <v>19</v>
      </c>
      <c r="AD53" s="92">
        <v>19</v>
      </c>
      <c r="AE53" s="92">
        <v>0</v>
      </c>
      <c r="AF53" s="92">
        <v>37</v>
      </c>
      <c r="AG53" s="92">
        <v>9</v>
      </c>
      <c r="AH53" s="92">
        <v>4</v>
      </c>
      <c r="AI53" s="92">
        <v>0</v>
      </c>
      <c r="AJ53" s="92">
        <v>54</v>
      </c>
      <c r="AK53" s="92">
        <v>18</v>
      </c>
      <c r="AL53" s="92">
        <v>0</v>
      </c>
      <c r="AM53" s="92">
        <v>8</v>
      </c>
      <c r="AN53" s="92">
        <v>0</v>
      </c>
      <c r="AO53" s="92">
        <v>15</v>
      </c>
      <c r="AP53" s="92">
        <v>23</v>
      </c>
      <c r="AQ53" s="92">
        <v>0</v>
      </c>
      <c r="AR53" s="92">
        <v>18</v>
      </c>
      <c r="AS53" s="92">
        <v>13</v>
      </c>
      <c r="AT53" s="92">
        <v>83</v>
      </c>
      <c r="AU53" s="92">
        <v>50</v>
      </c>
      <c r="AV53" s="92">
        <v>3</v>
      </c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  <c r="DR53" s="92"/>
      <c r="DS53" s="92"/>
      <c r="DT53" s="92"/>
      <c r="DU53" s="92"/>
      <c r="DV53" s="92"/>
      <c r="DW53" s="92"/>
      <c r="DX53" s="92"/>
      <c r="DY53" s="92"/>
      <c r="DZ53" s="92"/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4">
        <v>6.2</v>
      </c>
      <c r="EN53" s="94">
        <v>18</v>
      </c>
      <c r="EO53" s="94"/>
      <c r="EP53" s="94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</row>
    <row r="54" spans="1:158" hidden="1" x14ac:dyDescent="0.15">
      <c r="A54">
        <v>54</v>
      </c>
      <c r="B54" t="s">
        <v>683</v>
      </c>
      <c r="C54">
        <v>1876</v>
      </c>
      <c r="D54" s="92"/>
      <c r="E54" s="92"/>
      <c r="F54" s="92"/>
      <c r="G54" s="92">
        <v>15</v>
      </c>
      <c r="H54" s="92">
        <v>15</v>
      </c>
      <c r="I54" s="92" t="s">
        <v>671</v>
      </c>
      <c r="J54" s="93">
        <v>16201</v>
      </c>
      <c r="K54" s="93">
        <v>22295</v>
      </c>
      <c r="L54" s="93">
        <v>1376</v>
      </c>
      <c r="M54" s="93"/>
      <c r="N54" s="93">
        <v>71.760000000000005</v>
      </c>
      <c r="O54" s="93">
        <v>1380</v>
      </c>
      <c r="P54" s="93">
        <v>401</v>
      </c>
      <c r="Q54" s="92">
        <v>322</v>
      </c>
      <c r="R54" s="92">
        <v>133</v>
      </c>
      <c r="S54" s="92">
        <v>2076</v>
      </c>
      <c r="T54" s="92">
        <v>0</v>
      </c>
      <c r="U54" s="92">
        <v>30</v>
      </c>
      <c r="V54" s="92">
        <v>0</v>
      </c>
      <c r="W54" s="92">
        <v>10</v>
      </c>
      <c r="X54" s="92">
        <v>16</v>
      </c>
      <c r="Y54" s="92">
        <v>13</v>
      </c>
      <c r="Z54" s="92">
        <v>8</v>
      </c>
      <c r="AA54" s="92">
        <v>26</v>
      </c>
      <c r="AB54" s="92">
        <v>147</v>
      </c>
      <c r="AC54" s="92">
        <v>35</v>
      </c>
      <c r="AD54" s="92">
        <v>92</v>
      </c>
      <c r="AE54" s="92">
        <v>0</v>
      </c>
      <c r="AF54" s="92">
        <v>12</v>
      </c>
      <c r="AG54" s="92">
        <v>29</v>
      </c>
      <c r="AH54" s="92">
        <v>17</v>
      </c>
      <c r="AI54" s="92">
        <v>1</v>
      </c>
      <c r="AJ54" s="92">
        <v>83</v>
      </c>
      <c r="AK54" s="92">
        <v>10</v>
      </c>
      <c r="AL54" s="92">
        <v>0</v>
      </c>
      <c r="AM54" s="92">
        <v>0</v>
      </c>
      <c r="AN54" s="92">
        <v>6</v>
      </c>
      <c r="AO54" s="92">
        <v>47</v>
      </c>
      <c r="AP54" s="92">
        <v>0</v>
      </c>
      <c r="AQ54" s="92">
        <v>0</v>
      </c>
      <c r="AR54" s="92">
        <v>0</v>
      </c>
      <c r="AS54" s="92">
        <v>28</v>
      </c>
      <c r="AT54" s="92">
        <v>162</v>
      </c>
      <c r="AU54" s="92">
        <v>0</v>
      </c>
      <c r="AV54" s="92">
        <v>15</v>
      </c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  <c r="DQ54" s="92"/>
      <c r="DR54" s="92"/>
      <c r="DS54" s="92"/>
      <c r="DT54" s="92"/>
      <c r="DU54" s="92"/>
      <c r="DV54" s="92"/>
      <c r="DW54" s="92"/>
      <c r="DX54" s="92"/>
      <c r="DY54" s="92"/>
      <c r="DZ54" s="92"/>
      <c r="EA54" s="92"/>
      <c r="EB54" s="92"/>
      <c r="EC54" s="92"/>
      <c r="ED54" s="92"/>
      <c r="EE54" s="92"/>
      <c r="EF54" s="92"/>
      <c r="EG54" s="92"/>
      <c r="EH54" s="92"/>
      <c r="EI54" s="92"/>
      <c r="EJ54" s="92"/>
      <c r="EK54" s="92"/>
      <c r="EL54" s="92"/>
      <c r="EM54" s="94"/>
      <c r="EN54" s="94"/>
      <c r="EO54" s="94"/>
      <c r="EP54" s="94"/>
      <c r="EQ54" s="92"/>
      <c r="ER54" s="92"/>
      <c r="ES54" s="92"/>
      <c r="ET54" s="92"/>
      <c r="EU54" s="92"/>
      <c r="EV54" s="92"/>
      <c r="EW54" s="92"/>
      <c r="EX54" s="92"/>
      <c r="EY54" s="92"/>
      <c r="EZ54" s="92"/>
      <c r="FA54" s="92"/>
      <c r="FB54" s="92"/>
    </row>
    <row r="55" spans="1:158" hidden="1" x14ac:dyDescent="0.15">
      <c r="A55">
        <v>55</v>
      </c>
      <c r="B55" t="s">
        <v>693</v>
      </c>
      <c r="C55">
        <v>1876</v>
      </c>
      <c r="D55" s="92"/>
      <c r="E55" s="92"/>
      <c r="F55" s="92"/>
      <c r="G55" s="92">
        <v>3</v>
      </c>
      <c r="H55" s="92">
        <v>13</v>
      </c>
      <c r="I55" s="92"/>
      <c r="J55" s="93">
        <v>4164</v>
      </c>
      <c r="K55" s="93">
        <v>6927</v>
      </c>
      <c r="L55" s="93">
        <v>1664</v>
      </c>
      <c r="M55" s="93">
        <v>38</v>
      </c>
      <c r="N55" s="93">
        <v>62.62</v>
      </c>
      <c r="O55" s="93">
        <v>556</v>
      </c>
      <c r="P55" s="93">
        <v>568</v>
      </c>
      <c r="Q55" s="92">
        <v>82</v>
      </c>
      <c r="R55" s="92">
        <v>33</v>
      </c>
      <c r="S55" s="92">
        <v>45</v>
      </c>
      <c r="T55" s="92">
        <v>1</v>
      </c>
      <c r="U55" s="92">
        <v>31</v>
      </c>
      <c r="V55" s="92">
        <v>13</v>
      </c>
      <c r="W55" s="92">
        <v>2</v>
      </c>
      <c r="X55" s="92">
        <v>10</v>
      </c>
      <c r="Y55" s="92">
        <v>8</v>
      </c>
      <c r="Z55" s="92">
        <v>22</v>
      </c>
      <c r="AA55" s="92">
        <v>6</v>
      </c>
      <c r="AB55" s="92">
        <v>4</v>
      </c>
      <c r="AC55" s="92">
        <v>1</v>
      </c>
      <c r="AD55" s="92">
        <v>1</v>
      </c>
      <c r="AE55" s="92">
        <v>0</v>
      </c>
      <c r="AF55" s="92">
        <v>4</v>
      </c>
      <c r="AG55" s="92">
        <v>26</v>
      </c>
      <c r="AH55" s="92">
        <v>1</v>
      </c>
      <c r="AI55" s="92">
        <v>0</v>
      </c>
      <c r="AJ55" s="92">
        <v>21</v>
      </c>
      <c r="AK55" s="92">
        <v>27</v>
      </c>
      <c r="AL55" s="92">
        <v>0</v>
      </c>
      <c r="AM55" s="92">
        <v>1</v>
      </c>
      <c r="AN55" s="92">
        <v>2</v>
      </c>
      <c r="AO55" s="92">
        <v>12</v>
      </c>
      <c r="AP55" s="92">
        <v>31</v>
      </c>
      <c r="AQ55" s="92">
        <v>0</v>
      </c>
      <c r="AR55" s="92">
        <v>4</v>
      </c>
      <c r="AS55" s="92">
        <v>5</v>
      </c>
      <c r="AT55" s="92">
        <v>101</v>
      </c>
      <c r="AU55" s="92">
        <v>58</v>
      </c>
      <c r="AV55" s="92">
        <v>2</v>
      </c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  <c r="DR55" s="92"/>
      <c r="DS55" s="92"/>
      <c r="DT55" s="92"/>
      <c r="DU55" s="92"/>
      <c r="DV55" s="92"/>
      <c r="DW55" s="92"/>
      <c r="DX55" s="92"/>
      <c r="DY55" s="92"/>
      <c r="DZ55" s="92"/>
      <c r="EA55" s="92"/>
      <c r="EB55" s="92"/>
      <c r="EC55" s="92"/>
      <c r="ED55" s="92"/>
      <c r="EE55" s="92"/>
      <c r="EF55" s="92"/>
      <c r="EG55" s="92"/>
      <c r="EH55" s="92"/>
      <c r="EI55" s="92"/>
      <c r="EJ55" s="92"/>
      <c r="EK55" s="92"/>
      <c r="EL55" s="92"/>
      <c r="EM55" s="94"/>
      <c r="EN55" s="94"/>
      <c r="EO55" s="94"/>
      <c r="EP55" s="94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</row>
    <row r="56" spans="1:158" hidden="1" x14ac:dyDescent="0.15">
      <c r="A56">
        <v>56</v>
      </c>
      <c r="B56" t="s">
        <v>18</v>
      </c>
      <c r="C56">
        <v>1876</v>
      </c>
      <c r="D56" s="92"/>
      <c r="E56" s="92"/>
      <c r="F56" s="92"/>
      <c r="G56" s="92">
        <v>0</v>
      </c>
      <c r="H56" s="92">
        <v>0</v>
      </c>
      <c r="I56" s="92"/>
      <c r="J56" s="93">
        <v>2664</v>
      </c>
      <c r="K56" s="93">
        <v>5867</v>
      </c>
      <c r="L56" s="93">
        <v>2202</v>
      </c>
      <c r="M56" s="93"/>
      <c r="N56" s="93">
        <v>45.91</v>
      </c>
      <c r="O56" s="93"/>
      <c r="P56" s="93">
        <v>759</v>
      </c>
      <c r="Q56" s="92">
        <v>2</v>
      </c>
      <c r="R56" s="92">
        <v>8</v>
      </c>
      <c r="S56" s="92">
        <v>24</v>
      </c>
      <c r="T56" s="92">
        <v>0</v>
      </c>
      <c r="U56" s="92">
        <v>10</v>
      </c>
      <c r="V56" s="92">
        <v>7</v>
      </c>
      <c r="W56" s="92">
        <v>0</v>
      </c>
      <c r="X56" s="92">
        <v>2</v>
      </c>
      <c r="Y56" s="92">
        <v>0</v>
      </c>
      <c r="Z56" s="92">
        <v>56</v>
      </c>
      <c r="AA56" s="92">
        <v>10</v>
      </c>
      <c r="AB56" s="92">
        <v>4</v>
      </c>
      <c r="AC56" s="92">
        <v>20</v>
      </c>
      <c r="AD56" s="92">
        <v>1</v>
      </c>
      <c r="AE56" s="92">
        <v>0</v>
      </c>
      <c r="AF56" s="92">
        <v>2</v>
      </c>
      <c r="AG56" s="92">
        <v>1</v>
      </c>
      <c r="AH56" s="92">
        <v>0</v>
      </c>
      <c r="AI56" s="92">
        <v>0</v>
      </c>
      <c r="AJ56" s="92">
        <v>38</v>
      </c>
      <c r="AK56" s="92">
        <v>5</v>
      </c>
      <c r="AL56" s="92">
        <v>0</v>
      </c>
      <c r="AM56" s="92">
        <v>3</v>
      </c>
      <c r="AN56" s="92">
        <v>1</v>
      </c>
      <c r="AO56" s="92">
        <v>0</v>
      </c>
      <c r="AP56" s="92">
        <v>0</v>
      </c>
      <c r="AQ56" s="92">
        <v>0</v>
      </c>
      <c r="AR56" s="92">
        <v>0</v>
      </c>
      <c r="AS56" s="92">
        <v>2</v>
      </c>
      <c r="AT56" s="92">
        <v>32</v>
      </c>
      <c r="AU56" s="92">
        <v>173</v>
      </c>
      <c r="AV56" s="92">
        <v>0</v>
      </c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92"/>
      <c r="DU56" s="92"/>
      <c r="DV56" s="92"/>
      <c r="DW56" s="92"/>
      <c r="DX56" s="92"/>
      <c r="DY56" s="92"/>
      <c r="DZ56" s="92"/>
      <c r="EA56" s="92"/>
      <c r="EB56" s="92"/>
      <c r="EC56" s="92"/>
      <c r="ED56" s="92"/>
      <c r="EE56" s="92"/>
      <c r="EF56" s="92"/>
      <c r="EG56" s="92"/>
      <c r="EH56" s="92"/>
      <c r="EI56" s="92"/>
      <c r="EJ56" s="92"/>
      <c r="EK56" s="92"/>
      <c r="EL56" s="92"/>
      <c r="EM56" s="94"/>
      <c r="EN56" s="94"/>
      <c r="EO56" s="94"/>
      <c r="EP56" s="94"/>
      <c r="EQ56" s="92"/>
      <c r="ER56" s="92"/>
      <c r="ES56" s="92"/>
      <c r="ET56" s="92"/>
      <c r="EU56" s="92"/>
      <c r="EV56" s="92"/>
      <c r="EW56" s="92"/>
      <c r="EX56" s="92"/>
      <c r="EY56" s="92"/>
      <c r="EZ56" s="92"/>
      <c r="FA56" s="92"/>
      <c r="FB56" s="92"/>
    </row>
    <row r="57" spans="1:158" hidden="1" x14ac:dyDescent="0.15">
      <c r="A57">
        <v>57</v>
      </c>
      <c r="B57" t="s">
        <v>25</v>
      </c>
      <c r="C57">
        <v>1876</v>
      </c>
      <c r="D57" s="92"/>
      <c r="E57" s="92"/>
      <c r="F57" s="92"/>
      <c r="G57" s="92">
        <v>17</v>
      </c>
      <c r="H57" s="92">
        <v>17</v>
      </c>
      <c r="I57" s="92"/>
      <c r="J57" s="93">
        <v>40241</v>
      </c>
      <c r="K57" s="93">
        <v>98374</v>
      </c>
      <c r="L57" s="93">
        <v>2445</v>
      </c>
      <c r="M57" s="93">
        <v>20.5</v>
      </c>
      <c r="N57" s="93">
        <v>53.28</v>
      </c>
      <c r="O57" s="93">
        <v>7481</v>
      </c>
      <c r="P57" s="93">
        <v>779</v>
      </c>
      <c r="Q57" s="92">
        <v>292</v>
      </c>
      <c r="R57" s="92">
        <v>252</v>
      </c>
      <c r="S57" s="92"/>
      <c r="T57" s="92"/>
      <c r="U57" s="92">
        <v>885</v>
      </c>
      <c r="V57" s="92">
        <v>616</v>
      </c>
      <c r="W57" s="92">
        <v>93</v>
      </c>
      <c r="X57" s="92">
        <v>50</v>
      </c>
      <c r="Y57" s="92">
        <v>525</v>
      </c>
      <c r="Z57" s="92">
        <v>342</v>
      </c>
      <c r="AA57" s="92">
        <v>172</v>
      </c>
      <c r="AB57" s="92">
        <v>146</v>
      </c>
      <c r="AC57" s="92">
        <v>51</v>
      </c>
      <c r="AD57" s="92">
        <v>9</v>
      </c>
      <c r="AE57" s="92">
        <v>0</v>
      </c>
      <c r="AF57" s="92"/>
      <c r="AG57" s="92">
        <v>147</v>
      </c>
      <c r="AH57" s="92">
        <v>6</v>
      </c>
      <c r="AI57" s="92">
        <v>7</v>
      </c>
      <c r="AJ57" s="92">
        <v>124</v>
      </c>
      <c r="AK57" s="92">
        <v>239</v>
      </c>
      <c r="AL57" s="92">
        <v>0</v>
      </c>
      <c r="AM57" s="92"/>
      <c r="AN57" s="92">
        <v>40</v>
      </c>
      <c r="AO57" s="92">
        <v>79</v>
      </c>
      <c r="AP57" s="92">
        <v>322</v>
      </c>
      <c r="AQ57" s="92">
        <v>0</v>
      </c>
      <c r="AR57" s="92"/>
      <c r="AS57" s="92"/>
      <c r="AT57" s="92"/>
      <c r="AU57" s="92">
        <v>68</v>
      </c>
      <c r="AV57" s="92">
        <v>0</v>
      </c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  <c r="DR57" s="92"/>
      <c r="DS57" s="92"/>
      <c r="DT57" s="92"/>
      <c r="DU57" s="92"/>
      <c r="DV57" s="92"/>
      <c r="DW57" s="92"/>
      <c r="DX57" s="92"/>
      <c r="DY57" s="92"/>
      <c r="DZ57" s="92"/>
      <c r="EA57" s="92"/>
      <c r="EB57" s="92"/>
      <c r="EC57" s="92"/>
      <c r="ED57" s="92"/>
      <c r="EE57" s="92"/>
      <c r="EF57" s="92"/>
      <c r="EG57" s="92"/>
      <c r="EH57" s="92"/>
      <c r="EI57" s="92"/>
      <c r="EJ57" s="92"/>
      <c r="EK57" s="92"/>
      <c r="EL57" s="92"/>
      <c r="EM57" s="94">
        <v>17</v>
      </c>
      <c r="EN57" s="94">
        <v>76</v>
      </c>
      <c r="EO57" s="94"/>
      <c r="EP57" s="94"/>
      <c r="EQ57" s="92"/>
      <c r="ER57" s="92"/>
      <c r="ES57" s="92"/>
      <c r="ET57" s="92"/>
      <c r="EU57" s="92"/>
      <c r="EV57" s="92"/>
      <c r="EW57" s="92"/>
      <c r="EX57" s="92"/>
      <c r="EY57" s="92"/>
      <c r="EZ57" s="92"/>
      <c r="FA57" s="92"/>
      <c r="FB57" s="92"/>
    </row>
    <row r="58" spans="1:158" hidden="1" x14ac:dyDescent="0.15">
      <c r="A58">
        <v>58</v>
      </c>
      <c r="B58" t="s">
        <v>685</v>
      </c>
      <c r="C58">
        <v>1876</v>
      </c>
      <c r="D58" s="92"/>
      <c r="E58" s="92"/>
      <c r="F58" s="92"/>
      <c r="G58" s="92"/>
      <c r="H58" s="92"/>
      <c r="I58" s="92"/>
      <c r="J58" s="93"/>
      <c r="K58" s="93"/>
      <c r="L58" s="93"/>
      <c r="M58" s="93"/>
      <c r="N58" s="93"/>
      <c r="O58" s="93"/>
      <c r="P58" s="93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>
        <v>0</v>
      </c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  <c r="DR58" s="92"/>
      <c r="DS58" s="92"/>
      <c r="DT58" s="92"/>
      <c r="DU58" s="92"/>
      <c r="DV58" s="92"/>
      <c r="DW58" s="92"/>
      <c r="DX58" s="92"/>
      <c r="DY58" s="92"/>
      <c r="DZ58" s="92"/>
      <c r="EA58" s="92"/>
      <c r="EB58" s="92"/>
      <c r="EC58" s="92"/>
      <c r="ED58" s="92"/>
      <c r="EE58" s="92"/>
      <c r="EF58" s="92"/>
      <c r="EG58" s="92"/>
      <c r="EH58" s="92"/>
      <c r="EI58" s="92"/>
      <c r="EJ58" s="92"/>
      <c r="EK58" s="92"/>
      <c r="EL58" s="92"/>
      <c r="EM58" s="94"/>
      <c r="EN58" s="94"/>
      <c r="EO58" s="94"/>
      <c r="EP58" s="94"/>
      <c r="EQ58" s="92"/>
      <c r="ER58" s="92"/>
      <c r="ES58" s="92"/>
      <c r="ET58" s="92"/>
      <c r="EU58" s="92"/>
      <c r="EV58" s="92"/>
      <c r="EW58" s="92"/>
      <c r="EX58" s="92"/>
      <c r="EY58" s="92"/>
      <c r="EZ58" s="92"/>
      <c r="FA58" s="92"/>
      <c r="FB58" s="92"/>
    </row>
    <row r="64" spans="1:158" x14ac:dyDescent="0.15">
      <c r="EI64" s="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Source</vt:lpstr>
      <vt:lpstr>Uebersicht der Auszeichnungen</vt:lpstr>
      <vt:lpstr>Class 22</vt:lpstr>
      <vt:lpstr>exh w awards in different class</vt:lpstr>
      <vt:lpstr>Verzeichniß der zuerkannten Pre</vt:lpstr>
      <vt:lpstr>notes</vt:lpstr>
      <vt:lpstr>rpat100513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Dang, Hong Phuc</cp:lastModifiedBy>
  <dcterms:modified xsi:type="dcterms:W3CDTF">2024-01-12T17:30:13Z</dcterms:modified>
</cp:coreProperties>
</file>